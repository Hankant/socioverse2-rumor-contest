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b5584042c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要检验" sheetId="1" r:id="R4ec4bb01ecdf4c1c"/>
    <x:sheet xmlns:r="http://schemas.openxmlformats.org/officeDocument/2006/relationships" name="水平对比" sheetId="2" r:id="Racfb3a503c0c4752"/>
    <x:sheet xmlns:r="http://schemas.openxmlformats.org/officeDocument/2006/relationships" name="调节效应" sheetId="3" r:id="R68df4f934a5e44cc"/>
    <x:sheet xmlns:r="http://schemas.openxmlformats.org/officeDocument/2006/relationships" name="稳健性分析" sheetId="4" r:id="R0be4cf776b8f44b4"/>
    <x:sheet xmlns:r="http://schemas.openxmlformats.org/officeDocument/2006/relationships" name="情景指标" sheetId="5" r:id="Rdc1cd82daa654e3c"/>
    <x:sheet xmlns:r="http://schemas.openxmlformats.org/officeDocument/2006/relationships" name="初始相信者" sheetId="6" r:id="R74c3780c42554947"/>
    <x:sheet xmlns:r="http://schemas.openxmlformats.org/officeDocument/2006/relationships" name="回应前队列" sheetId="7" r:id="Ra16f2dfa1bb4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E+00"/>
    <x:numFmt numFmtId="203" formatCode="0.00"/>
  </x:numFmts>
  <x:fonts count="5">
    <x:font>
      <x:sz val="11"/>
      <x:name val="Carlito"/>
    </x:font>
    <x:font>
      <x:sz val="10"/>
      <x:color rgb="FF243247"/>
      <x:name val="Microsoft YaHei"/>
    </x:font>
    <x:font>
      <x:b/>
      <x:sz val="14"/>
      <x:color rgb="FF182C45"/>
      <x:name val="Microsoft YaHei"/>
    </x:font>
    <x:font>
      <x:sz val="10"/>
      <x:color rgb="FF526075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15d3ba8b5c42dd" /><Relationship Type="http://schemas.openxmlformats.org/officeDocument/2006/relationships/theme" Target="/xl/theme/theme1.xml" Id="Ra4fee878e306447c" /><Relationship Type="http://schemas.openxmlformats.org/officeDocument/2006/relationships/sharedStrings" Target="/xl/sharedStrings.xml" Id="Rbb4076569fcd471d" /><Relationship Type="http://schemas.openxmlformats.org/officeDocument/2006/relationships/worksheet" Target="/xl/worksheets/sheet1.xml" Id="R4ec4bb01ecdf4c1c" /><Relationship Type="http://schemas.openxmlformats.org/officeDocument/2006/relationships/worksheet" Target="/xl/worksheets/sheet2.xml" Id="Racfb3a503c0c4752" /><Relationship Type="http://schemas.openxmlformats.org/officeDocument/2006/relationships/worksheet" Target="/xl/worksheets/sheet3.xml" Id="R68df4f934a5e44cc" /><Relationship Type="http://schemas.openxmlformats.org/officeDocument/2006/relationships/worksheet" Target="/xl/worksheets/sheet4.xml" Id="R0be4cf776b8f44b4" /><Relationship Type="http://schemas.openxmlformats.org/officeDocument/2006/relationships/worksheet" Target="/xl/worksheets/sheet5.xml" Id="Rdc1cd82daa654e3c" /><Relationship Type="http://schemas.openxmlformats.org/officeDocument/2006/relationships/worksheet" Target="/xl/worksheets/sheet6.xml" Id="R74c3780c42554947" /><Relationship Type="http://schemas.openxmlformats.org/officeDocument/2006/relationships/worksheet" Target="/xl/worksheets/sheet7.xml" Id="Ra16f2dfa1bb44e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1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21" hidden="0" customWidth="1"/>
    <x:col min="3" max="3" width="32" hidden="0" customWidth="1"/>
    <x:col min="4" max="4" width="14" hidden="0" customWidth="1"/>
    <x:col min="5" max="5" width="12" hidden="0" customWidth="1"/>
    <x:col min="6" max="6" width="12" hidden="0" customWidth="1"/>
    <x:col min="7" max="7" width="17" hidden="0" customWidth="1"/>
    <x:col min="8" max="8" width="17" hidden="0" customWidth="1"/>
    <x:col min="9" max="9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四因素水平差异与DGC调节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54情景；TBU9与PRUD3分别计时。主效应8项、交互6项Holm；推断值由分析代码计算，修改原始数据后须重新拟合。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8" t="str">
        <x:v>结局</x:v>
      </x:c>
      <x:c r="B6" s="8" t="str">
        <x:v>检验类型</x:v>
      </x:c>
      <x:c r="C6" s="8" t="str">
        <x:v>因素</x:v>
      </x:c>
      <x:c r="D6" s="8" t="str">
        <x:v>F</x:v>
      </x:c>
      <x:c r="E6" s="8" t="str">
        <x:v>分子df</x:v>
      </x:c>
      <x:c r="F6" s="8" t="str">
        <x:v>分母df</x:v>
      </x:c>
      <x:c r="G6" s="8" t="str">
        <x:v>原始p</x:v>
      </x:c>
      <x:c r="H6" s="8" t="str">
        <x:v>Holm调整p</x:v>
      </x:c>
      <x:c r="I6" s="8" t="str">
        <x:v>检验结果</x:v>
      </x:c>
    </x:row>
    <x:row r="7" ht="23" customHeight="1">
      <x:c r="A7" s="2" t="str">
        <x:v>TBU9</x:v>
      </x:c>
      <x:c r="B7" s="2" t="str">
        <x:v>平均水平差异</x:v>
      </x:c>
      <x:c r="C7" s="2" t="str">
        <x:v>Government credibility GC</x:v>
      </x:c>
      <x:c r="D7" s="9" t="n">
        <x:v>23.523917959461983</x:v>
      </x:c>
      <x:c r="E7" s="10" t="n">
        <x:v>2</x:v>
      </x:c>
      <x:c r="F7" s="10" t="n">
        <x:v>36</x:v>
      </x:c>
      <x:c r="G7" s="11" t="n">
        <x:v>2.921024866701316e-7</x:v>
      </x:c>
      <x:c r="H7" s="11" t="n">
        <x:v>0.000001460512433350658</x:v>
      </x:c>
      <x:c r="I7" s="2" t="str">
        <x:v>显著</x:v>
      </x:c>
    </x:row>
    <x:row r="8" ht="23" customHeight="1">
      <x:c r="A8" s="2" t="str">
        <x:v>TBU9</x:v>
      </x:c>
      <x:c r="B8" s="2" t="str">
        <x:v>平均水平差异</x:v>
      </x:c>
      <x:c r="C8" s="2" t="str">
        <x:v>Response timing RT</x:v>
      </x:c>
      <x:c r="D8" s="9" t="n">
        <x:v>139.74253445328077</x:v>
      </x:c>
      <x:c r="E8" s="10" t="n">
        <x:v>2</x:v>
      </x:c>
      <x:c r="F8" s="10" t="n">
        <x:v>36</x:v>
      </x:c>
      <x:c r="G8" s="11" t="n">
        <x:v>1.0760350879157502e-17</x:v>
      </x:c>
      <x:c r="H8" s="11" t="n">
        <x:v>8.608280703326002e-17</x:v>
      </x:c>
      <x:c r="I8" s="2" t="str">
        <x:v>显著</x:v>
      </x:c>
    </x:row>
    <x:row r="9" ht="23" customHeight="1">
      <x:c r="A9" s="2" t="str">
        <x:v>TBU9</x:v>
      </x:c>
      <x:c r="B9" s="2" t="str">
        <x:v>平均水平差异</x:v>
      </x:c>
      <x:c r="C9" s="2" t="str">
        <x:v>Targeting capacity TC</x:v>
      </x:c>
      <x:c r="D9" s="9" t="n">
        <x:v>34.19672464705187</x:v>
      </x:c>
      <x:c r="E9" s="10" t="n">
        <x:v>1</x:v>
      </x:c>
      <x:c r="F9" s="10" t="n">
        <x:v>36</x:v>
      </x:c>
      <x:c r="G9" s="11" t="n">
        <x:v>0.000001110070808058472</x:v>
      </x:c>
      <x:c r="H9" s="11" t="n">
        <x:v>0.000004440283232233888</x:v>
      </x:c>
      <x:c r="I9" s="2" t="str">
        <x:v>显著</x:v>
      </x:c>
    </x:row>
    <x:row r="10" ht="23" customHeight="1">
      <x:c r="A10" s="2" t="str">
        <x:v>TBU9</x:v>
      </x:c>
      <x:c r="B10" s="2" t="str">
        <x:v>平均水平差异</x:v>
      </x:c>
      <x:c r="C10" s="2" t="str">
        <x:v>Group cocooning DGC</x:v>
      </x:c>
      <x:c r="D10" s="9" t="n">
        <x:v>0.04063095909251959</x:v>
      </x:c>
      <x:c r="E10" s="10" t="n">
        <x:v>2</x:v>
      </x:c>
      <x:c r="F10" s="10" t="n">
        <x:v>36</x:v>
      </x:c>
      <x:c r="G10" s="11" t="n">
        <x:v>0.9602273781262931</x:v>
      </x:c>
      <x:c r="H10" s="11" t="n">
        <x:v>1</x:v>
      </x:c>
      <x:c r="I10" s="2" t="str">
        <x:v>未获显著支持</x:v>
      </x:c>
    </x:row>
    <x:row r="11" ht="23" customHeight="1">
      <x:c r="A11" s="2" t="str">
        <x:v>PRUD3</x:v>
      </x:c>
      <x:c r="B11" s="2" t="str">
        <x:v>平均水平差异</x:v>
      </x:c>
      <x:c r="C11" s="2" t="str">
        <x:v>Government credibility GC</x:v>
      </x:c>
      <x:c r="D11" s="9" t="n">
        <x:v>35.66608951371092</x:v>
      </x:c>
      <x:c r="E11" s="10" t="n">
        <x:v>2</x:v>
      </x:c>
      <x:c r="F11" s="10" t="n">
        <x:v>36</x:v>
      </x:c>
      <x:c r="G11" s="11" t="n">
        <x:v>2.8860641429992912e-9</x:v>
      </x:c>
      <x:c r="H11" s="11" t="n">
        <x:v>1.7316384857995748e-8</x:v>
      </x:c>
      <x:c r="I11" s="2" t="str">
        <x:v>显著</x:v>
      </x:c>
    </x:row>
    <x:row r="12" ht="23" customHeight="1">
      <x:c r="A12" s="2" t="str">
        <x:v>PRUD3</x:v>
      </x:c>
      <x:c r="B12" s="2" t="str">
        <x:v>平均水平差异</x:v>
      </x:c>
      <x:c r="C12" s="2" t="str">
        <x:v>Response timing RT</x:v>
      </x:c>
      <x:c r="D12" s="9" t="n">
        <x:v>1.3234399531092327</x:v>
      </x:c>
      <x:c r="E12" s="10" t="n">
        <x:v>2</x:v>
      </x:c>
      <x:c r="F12" s="10" t="n">
        <x:v>36</x:v>
      </x:c>
      <x:c r="G12" s="11" t="n">
        <x:v>0.2788593026437732</x:v>
      </x:c>
      <x:c r="H12" s="11" t="n">
        <x:v>0.8365779079313196</x:v>
      </x:c>
      <x:c r="I12" s="2" t="str">
        <x:v>未获显著支持</x:v>
      </x:c>
    </x:row>
    <x:row r="13" ht="23" customHeight="1">
      <x:c r="A13" s="2" t="str">
        <x:v>PRUD3</x:v>
      </x:c>
      <x:c r="B13" s="2" t="str">
        <x:v>平均水平差异</x:v>
      </x:c>
      <x:c r="C13" s="2" t="str">
        <x:v>Targeting capacity TC</x:v>
      </x:c>
      <x:c r="D13" s="9" t="n">
        <x:v>62.13904157609309</x:v>
      </x:c>
      <x:c r="E13" s="10" t="n">
        <x:v>1</x:v>
      </x:c>
      <x:c r="F13" s="10" t="n">
        <x:v>36</x:v>
      </x:c>
      <x:c r="G13" s="11" t="n">
        <x:v>2.365405774714725e-9</x:v>
      </x:c>
      <x:c r="H13" s="11" t="n">
        <x:v>1.6557840423003076e-8</x:v>
      </x:c>
      <x:c r="I13" s="2" t="str">
        <x:v>显著</x:v>
      </x:c>
    </x:row>
    <x:row r="14" ht="23" customHeight="1">
      <x:c r="A14" s="2" t="str">
        <x:v>PRUD3</x:v>
      </x:c>
      <x:c r="B14" s="2" t="str">
        <x:v>平均水平差异</x:v>
      </x:c>
      <x:c r="C14" s="2" t="str">
        <x:v>Group cocooning DGC</x:v>
      </x:c>
      <x:c r="D14" s="9" t="n">
        <x:v>0.3129511762014266</x:v>
      </x:c>
      <x:c r="E14" s="10" t="n">
        <x:v>2</x:v>
      </x:c>
      <x:c r="F14" s="10" t="n">
        <x:v>36</x:v>
      </x:c>
      <x:c r="G14" s="11" t="n">
        <x:v>0.7332549712894847</x:v>
      </x:c>
      <x:c r="H14" s="11" t="n">
        <x:v>1</x:v>
      </x:c>
      <x:c r="I14" s="2" t="str">
        <x:v>未获显著支持</x:v>
      </x:c>
    </x:row>
    <x:row r="15" ht="23" customHeight="1">
      <x:c r="A15" s="2" t="str">
        <x:v>TBU9</x:v>
      </x:c>
      <x:c r="B15" s="2" t="str">
        <x:v>DGC调节</x:v>
      </x:c>
      <x:c r="C15" s="2" t="str">
        <x:v>Government credibility GC</x:v>
      </x:c>
      <x:c r="D15" s="9" t="n">
        <x:v>1.6873637531899242</x:v>
      </x:c>
      <x:c r="E15" s="10" t="n">
        <x:v>4</x:v>
      </x:c>
      <x:c r="F15" s="10" t="n">
        <x:v>36</x:v>
      </x:c>
      <x:c r="G15" s="11" t="n">
        <x:v>0.17427774979462263</x:v>
      </x:c>
      <x:c r="H15" s="11" t="n">
        <x:v>1</x:v>
      </x:c>
      <x:c r="I15" s="2" t="str">
        <x:v>未获显著支持</x:v>
      </x:c>
    </x:row>
    <x:row r="16" ht="23" customHeight="1">
      <x:c r="A16" s="2" t="str">
        <x:v>TBU9</x:v>
      </x:c>
      <x:c r="B16" s="2" t="str">
        <x:v>DGC调节</x:v>
      </x:c>
      <x:c r="C16" s="2" t="str">
        <x:v>Response timing RT</x:v>
      </x:c>
      <x:c r="D16" s="9" t="n">
        <x:v>0.47383765166479613</x:v>
      </x:c>
      <x:c r="E16" s="10" t="n">
        <x:v>4</x:v>
      </x:c>
      <x:c r="F16" s="10" t="n">
        <x:v>36</x:v>
      </x:c>
      <x:c r="G16" s="11" t="n">
        <x:v>0.7545971920963155</x:v>
      </x:c>
      <x:c r="H16" s="11" t="n">
        <x:v>1</x:v>
      </x:c>
      <x:c r="I16" s="2" t="str">
        <x:v>未获显著支持</x:v>
      </x:c>
    </x:row>
    <x:row r="17" ht="23" customHeight="1">
      <x:c r="A17" s="2" t="str">
        <x:v>TBU9</x:v>
      </x:c>
      <x:c r="B17" s="2" t="str">
        <x:v>DGC调节</x:v>
      </x:c>
      <x:c r="C17" s="2" t="str">
        <x:v>Targeting capacity TC</x:v>
      </x:c>
      <x:c r="D17" s="9" t="n">
        <x:v>0.8952021590998175</x:v>
      </x:c>
      <x:c r="E17" s="10" t="n">
        <x:v>2</x:v>
      </x:c>
      <x:c r="F17" s="10" t="n">
        <x:v>36</x:v>
      </x:c>
      <x:c r="G17" s="11" t="n">
        <x:v>0.41742391004553714</x:v>
      </x:c>
      <x:c r="H17" s="11" t="n">
        <x:v>1</x:v>
      </x:c>
      <x:c r="I17" s="2" t="str">
        <x:v>未获显著支持</x:v>
      </x:c>
    </x:row>
    <x:row r="18" ht="23" customHeight="1">
      <x:c r="A18" s="2" t="str">
        <x:v>PRUD3</x:v>
      </x:c>
      <x:c r="B18" s="2" t="str">
        <x:v>DGC调节</x:v>
      </x:c>
      <x:c r="C18" s="2" t="str">
        <x:v>Government credibility GC</x:v>
      </x:c>
      <x:c r="D18" s="9" t="n">
        <x:v>0.6684789960250495</x:v>
      </x:c>
      <x:c r="E18" s="10" t="n">
        <x:v>4</x:v>
      </x:c>
      <x:c r="F18" s="10" t="n">
        <x:v>36</x:v>
      </x:c>
      <x:c r="G18" s="11" t="n">
        <x:v>0.6180760748659448</x:v>
      </x:c>
      <x:c r="H18" s="11" t="n">
        <x:v>1</x:v>
      </x:c>
      <x:c r="I18" s="2" t="str">
        <x:v>未获显著支持</x:v>
      </x:c>
    </x:row>
    <x:row r="19" ht="23" customHeight="1">
      <x:c r="A19" s="2" t="str">
        <x:v>PRUD3</x:v>
      </x:c>
      <x:c r="B19" s="2" t="str">
        <x:v>DGC调节</x:v>
      </x:c>
      <x:c r="C19" s="2" t="str">
        <x:v>Response timing RT</x:v>
      </x:c>
      <x:c r="D19" s="9" t="n">
        <x:v>0.6144449761374204</x:v>
      </x:c>
      <x:c r="E19" s="10" t="n">
        <x:v>4</x:v>
      </x:c>
      <x:c r="F19" s="10" t="n">
        <x:v>36</x:v>
      </x:c>
      <x:c r="G19" s="11" t="n">
        <x:v>0.6549966559705531</x:v>
      </x:c>
      <x:c r="H19" s="11" t="n">
        <x:v>1</x:v>
      </x:c>
      <x:c r="I19" s="2" t="str">
        <x:v>未获显著支持</x:v>
      </x:c>
    </x:row>
    <x:row r="20" ht="23" customHeight="1">
      <x:c r="A20" s="2" t="str">
        <x:v>PRUD3</x:v>
      </x:c>
      <x:c r="B20" s="2" t="str">
        <x:v>DGC调节</x:v>
      </x:c>
      <x:c r="C20" s="2" t="str">
        <x:v>Targeting capacity TC</x:v>
      </x:c>
      <x:c r="D20" s="9" t="n">
        <x:v>0.22501356896746247</x:v>
      </x:c>
      <x:c r="E20" s="10" t="n">
        <x:v>2</x:v>
      </x:c>
      <x:c r="F20" s="10" t="n">
        <x:v>36</x:v>
      </x:c>
      <x:c r="G20" s="11" t="n">
        <x:v>0.7996199222322096</x:v>
      </x:c>
      <x:c r="H20" s="11" t="n">
        <x:v>1</x:v>
      </x:c>
      <x:c r="I20" s="2" t="str">
        <x:v>未获显著支持</x:v>
      </x:c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 t="str">
        <x:v>各水平等权均值与逐项95%区间</x:v>
      </x:c>
      <x:c r="B22" s="2"/>
      <x:c r="C22" s="2"/>
      <x:c r="D22" s="2"/>
      <x:c r="E22" s="2"/>
      <x:c r="F22" s="2"/>
      <x:c r="G22" s="2"/>
      <x:c r="H22" s="2"/>
      <x:c r="I22" s="2"/>
    </x:row>
    <x:row r="24" ht="30" customHeight="1">
      <x:c r="A24" s="14" t="str">
        <x:v>结局</x:v>
      </x:c>
      <x:c r="B24" s="14" t="str">
        <x:v>因素</x:v>
      </x:c>
      <x:c r="C24" s="14" t="str">
        <x:v>水平</x:v>
      </x:c>
      <x:c r="D24" s="14" t="str">
        <x:v>情景数</x:v>
      </x:c>
      <x:c r="E24" s="14" t="str">
        <x:v>等权均值</x:v>
      </x:c>
      <x:c r="F24" s="14" t="str">
        <x:v>95%下限</x:v>
      </x:c>
      <x:c r="G24" s="14" t="str">
        <x:v>95%上限</x:v>
      </x:c>
    </x:row>
    <x:row r="25" ht="23" customHeight="1">
      <x:c r="A25" s="2" t="str">
        <x:v>TBU9</x:v>
      </x:c>
      <x:c r="B25" s="2" t="str">
        <x:v>Government credibility GC</x:v>
      </x:c>
      <x:c r="C25" s="19" t="n">
        <x:v>0.25</x:v>
      </x:c>
      <x:c r="D25" s="2" t="n">
        <x:v>18</x:v>
      </x:c>
      <x:c r="E25" s="9" t="n">
        <x:f>AVERAGEIFS('情景指标'!$I$7:$I$60,'情景指标'!$E$7:$E$60,C25)</x:f>
        <x:v>6.64069351537726</x:v>
      </x:c>
      <x:c r="F25" s="9" t="n">
        <x:v>6.156202671842533</x:v>
      </x:c>
      <x:c r="G25" s="9" t="n">
        <x:v>7.1251843589119845</x:v>
      </x:c>
    </x:row>
    <x:row r="26" ht="23" customHeight="1">
      <x:c r="A26" s="2" t="str">
        <x:v>TBU9</x:v>
      </x:c>
      <x:c r="B26" s="2" t="str">
        <x:v>Government credibility GC</x:v>
      </x:c>
      <x:c r="C26" s="19" t="n">
        <x:v>0.5</x:v>
      </x:c>
      <x:c r="D26" s="2" t="n">
        <x:v>18</x:v>
      </x:c>
      <x:c r="E26" s="9" t="n">
        <x:f>AVERAGEIFS('情景指标'!$I$7:$I$60,'情景指标'!$E$7:$E$60,C26)</x:f>
        <x:v>5.044025270341404</x:v>
      </x:c>
      <x:c r="F26" s="9" t="n">
        <x:v>4.799921006525218</x:v>
      </x:c>
      <x:c r="G26" s="9" t="n">
        <x:v>5.288129534157586</x:v>
      </x:c>
    </x:row>
    <x:row r="27" ht="23" customHeight="1">
      <x:c r="A27" s="2" t="str">
        <x:v>TBU9</x:v>
      </x:c>
      <x:c r="B27" s="2" t="str">
        <x:v>Government credibility GC</x:v>
      </x:c>
      <x:c r="C27" s="19" t="n">
        <x:v>0.75</x:v>
      </x:c>
      <x:c r="D27" s="2" t="n">
        <x:v>18</x:v>
      </x:c>
      <x:c r="E27" s="9" t="n">
        <x:f>AVERAGEIFS('情景指标'!$I$7:$I$60,'情景指标'!$E$7:$E$60,C27)</x:f>
        <x:v>4.572441245064584</x:v>
      </x:c>
      <x:c r="F27" s="9" t="n">
        <x:v>4.148151351615184</x:v>
      </x:c>
      <x:c r="G27" s="9" t="n">
        <x:v>4.996731138513985</x:v>
      </x:c>
    </x:row>
    <x:row r="28" ht="23" customHeight="1">
      <x:c r="A28" s="2" t="str">
        <x:v>TBU9</x:v>
      </x:c>
      <x:c r="B28" s="2" t="str">
        <x:v>Response timing RT</x:v>
      </x:c>
      <x:c r="C28" s="19" t="n">
        <x:v>2</x:v>
      </x:c>
      <x:c r="D28" s="2" t="n">
        <x:v>18</x:v>
      </x:c>
      <x:c r="E28" s="9" t="n">
        <x:f>AVERAGEIFS('情景指标'!$I$7:$I$60,'情景指标'!$C$7:$C$60,C28)</x:f>
        <x:v>3.2052937518269364</x:v>
      </x:c>
      <x:c r="F28" s="9" t="n">
        <x:v>2.8329522492388963</x:v>
      </x:c>
      <x:c r="G28" s="9" t="n">
        <x:v>3.5776352544149765</x:v>
      </x:c>
    </x:row>
    <x:row r="29" ht="23" customHeight="1">
      <x:c r="A29" s="2" t="str">
        <x:v>TBU9</x:v>
      </x:c>
      <x:c r="B29" s="2" t="str">
        <x:v>Response timing RT</x:v>
      </x:c>
      <x:c r="C29" s="19" t="n">
        <x:v>4</x:v>
      </x:c>
      <x:c r="D29" s="2" t="n">
        <x:v>18</x:v>
      </x:c>
      <x:c r="E29" s="9" t="n">
        <x:f>AVERAGEIFS('情景指标'!$I$7:$I$60,'情景指标'!$C$7:$C$60,C29)</x:f>
        <x:v>5.449928407561235</x:v>
      </x:c>
      <x:c r="F29" s="9" t="n">
        <x:v>5.014402046036393</x:v>
      </x:c>
      <x:c r="G29" s="9" t="n">
        <x:v>5.885454769086076</x:v>
      </x:c>
    </x:row>
    <x:row r="30" ht="23" customHeight="1">
      <x:c r="A30" s="2" t="str">
        <x:v>TBU9</x:v>
      </x:c>
      <x:c r="B30" s="2" t="str">
        <x:v>Response timing RT</x:v>
      </x:c>
      <x:c r="C30" s="19" t="n">
        <x:v>7</x:v>
      </x:c>
      <x:c r="D30" s="2" t="n">
        <x:v>18</x:v>
      </x:c>
      <x:c r="E30" s="9" t="n">
        <x:f>AVERAGEIFS('情景指标'!$I$7:$I$60,'情景指标'!$C$7:$C$60,C30)</x:f>
        <x:v>7.6019378713950765</x:v>
      </x:c>
      <x:c r="F30" s="9" t="n">
        <x:v>7.219813838346971</x:v>
      </x:c>
      <x:c r="G30" s="9" t="n">
        <x:v>7.984061904443179</x:v>
      </x:c>
    </x:row>
    <x:row r="31" ht="23" customHeight="1">
      <x:c r="A31" s="2" t="str">
        <x:v>TBU9</x:v>
      </x:c>
      <x:c r="B31" s="2" t="str">
        <x:v>Targeting capacity TC</x:v>
      </x:c>
      <x:c r="C31" s="19" t="n">
        <x:v>0.2</x:v>
      </x:c>
      <x:c r="D31" s="2" t="n">
        <x:v>27</x:v>
      </x:c>
      <x:c r="E31" s="9" t="n">
        <x:f>AVERAGEIFS('情景指标'!$I$7:$I$60,'情景指标'!$D$7:$D$60,C31)</x:f>
        <x:v>6.0810074473007605</x:v>
      </x:c>
      <x:c r="F31" s="9" t="n">
        <x:v>5.684430229673808</x:v>
      </x:c>
      <x:c r="G31" s="9" t="n">
        <x:v>6.47758466492771</x:v>
      </x:c>
    </x:row>
    <x:row r="32" ht="23" customHeight="1">
      <x:c r="A32" s="2" t="str">
        <x:v>TBU9</x:v>
      </x:c>
      <x:c r="B32" s="2" t="str">
        <x:v>Targeting capacity TC</x:v>
      </x:c>
      <x:c r="C32" s="19" t="n">
        <x:v>0.8</x:v>
      </x:c>
      <x:c r="D32" s="2" t="n">
        <x:v>27</x:v>
      </x:c>
      <x:c r="E32" s="9" t="n">
        <x:f>AVERAGEIFS('情景指标'!$I$7:$I$60,'情景指标'!$D$7:$D$60,C32)</x:f>
        <x:v>4.757099239888073</x:v>
      </x:c>
      <x:c r="F32" s="9" t="n">
        <x:v>4.525702676676406</x:v>
      </x:c>
      <x:c r="G32" s="9" t="n">
        <x:v>4.988495803099736</x:v>
      </x:c>
    </x:row>
    <x:row r="33" ht="23" customHeight="1">
      <x:c r="A33" s="2" t="str">
        <x:v>TBU9</x:v>
      </x:c>
      <x:c r="B33" s="2" t="str">
        <x:v>Group cocooning DGC</x:v>
      </x:c>
      <x:c r="C33" s="19" t="n">
        <x:v>0</x:v>
      </x:c>
      <x:c r="D33" s="2" t="n">
        <x:v>18</x:v>
      </x:c>
      <x:c r="E33" s="9" t="n">
        <x:f>AVERAGEIFS('情景指标'!$I$7:$I$60,'情景指标'!$B$7:$B$60,C33)</x:f>
        <x:v>5.3716269841269835</x:v>
      </x:c>
      <x:c r="F33" s="9" t="n">
        <x:v>4.849863538343556</x:v>
      </x:c>
      <x:c r="G33" s="9" t="n">
        <x:v>5.8933904299104105</x:v>
      </x:c>
    </x:row>
    <x:row r="34" ht="23" customHeight="1">
      <x:c r="A34" s="2" t="str">
        <x:v>TBU9</x:v>
      </x:c>
      <x:c r="B34" s="2" t="str">
        <x:v>Group cocooning DGC</x:v>
      </x:c>
      <x:c r="C34" s="19" t="n">
        <x:v>0.2</x:v>
      </x:c>
      <x:c r="D34" s="2" t="n">
        <x:v>18</x:v>
      </x:c>
      <x:c r="E34" s="9" t="n">
        <x:f>AVERAGEIFS('情景指标'!$I$7:$I$60,'情景指标'!$B$7:$B$60,C34)</x:f>
        <x:v>5.458066800855758</x:v>
      </x:c>
      <x:c r="F34" s="9" t="n">
        <x:v>5.126811359534964</x:v>
      </x:c>
      <x:c r="G34" s="9" t="n">
        <x:v>5.789322242176548</x:v>
      </x:c>
    </x:row>
    <x:row r="35" ht="23" customHeight="1">
      <x:c r="A35" s="2" t="str">
        <x:v>TBU9</x:v>
      </x:c>
      <x:c r="B35" s="2" t="str">
        <x:v>Group cocooning DGC</x:v>
      </x:c>
      <x:c r="C35" s="19" t="n">
        <x:v>0.4</x:v>
      </x:c>
      <x:c r="D35" s="2" t="n">
        <x:v>18</x:v>
      </x:c>
      <x:c r="E35" s="9" t="n">
        <x:f>AVERAGEIFS('情景指标'!$I$7:$I$60,'情景指标'!$B$7:$B$60,C35)</x:f>
        <x:v>5.427466245800506</x:v>
      </x:c>
      <x:c r="F35" s="9" t="n">
        <x:v>5.123537106024298</x:v>
      </x:c>
      <x:c r="G35" s="9" t="n">
        <x:v>5.731395385576715</x:v>
      </x:c>
    </x:row>
    <x:row r="36" ht="23" customHeight="1">
      <x:c r="A36" s="2" t="str">
        <x:v>PRUD3</x:v>
      </x:c>
      <x:c r="B36" s="2" t="str">
        <x:v>Government credibility GC</x:v>
      </x:c>
      <x:c r="C36" s="19" t="n">
        <x:v>0.25</x:v>
      </x:c>
      <x:c r="D36" s="2" t="n">
        <x:v>18</x:v>
      </x:c>
      <x:c r="E36" s="9" t="n">
        <x:f>AVERAGEIFS('情景指标'!$J$7:$J$60,'情景指标'!$E$7:$E$60,C36)</x:f>
        <x:v>2.314289296689676</x:v>
      </x:c>
      <x:c r="F36" s="9" t="n">
        <x:v>2.0712730019912833</x:v>
      </x:c>
      <x:c r="G36" s="9" t="n">
        <x:v>2.5573055913880696</x:v>
      </x:c>
    </x:row>
    <x:row r="37" ht="23" customHeight="1">
      <x:c r="A37" s="2" t="str">
        <x:v>PRUD3</x:v>
      </x:c>
      <x:c r="B37" s="2" t="str">
        <x:v>Government credibility GC</x:v>
      </x:c>
      <x:c r="C37" s="19" t="n">
        <x:v>0.5</x:v>
      </x:c>
      <x:c r="D37" s="2" t="n">
        <x:v>18</x:v>
      </x:c>
      <x:c r="E37" s="9" t="n">
        <x:f>AVERAGEIFS('情景指标'!$J$7:$J$60,'情景指标'!$E$7:$E$60,C37)</x:f>
        <x:v>1.3218906555433114</x:v>
      </x:c>
      <x:c r="F37" s="9" t="n">
        <x:v>1.187827263219872</x:v>
      </x:c>
      <x:c r="G37" s="9" t="n">
        <x:v>1.455954047866749</x:v>
      </x:c>
    </x:row>
    <x:row r="38" ht="23" customHeight="1">
      <x:c r="A38" s="2" t="str">
        <x:v>PRUD3</x:v>
      </x:c>
      <x:c r="B38" s="2" t="str">
        <x:v>Government credibility GC</x:v>
      </x:c>
      <x:c r="C38" s="19" t="n">
        <x:v>0.75</x:v>
      </x:c>
      <x:c r="D38" s="2" t="n">
        <x:v>18</x:v>
      </x:c>
      <x:c r="E38" s="9" t="n">
        <x:f>AVERAGEIFS('情景指标'!$J$7:$J$60,'情景指标'!$E$7:$E$60,C38)</x:f>
        <x:v>1.0245133780174893</x:v>
      </x:c>
      <x:c r="F38" s="9" t="n">
        <x:v>0.8063107692837317</x:v>
      </x:c>
      <x:c r="G38" s="9" t="n">
        <x:v>1.242715986751247</x:v>
      </x:c>
    </x:row>
    <x:row r="39" ht="23" customHeight="1">
      <x:c r="A39" s="2" t="str">
        <x:v>PRUD3</x:v>
      </x:c>
      <x:c r="B39" s="2" t="str">
        <x:v>Response timing RT</x:v>
      </x:c>
      <x:c r="C39" s="19" t="n">
        <x:v>2</x:v>
      </x:c>
      <x:c r="D39" s="2" t="n">
        <x:v>18</x:v>
      </x:c>
      <x:c r="E39" s="9" t="n">
        <x:f>AVERAGEIFS('情景指标'!$J$7:$J$60,'情景指标'!$C$7:$C$60,C39)</x:f>
        <x:v>1.450587341804435</x:v>
      </x:c>
      <x:c r="F39" s="9" t="n">
        <x:v>1.3247260564059644</x:v>
      </x:c>
      <x:c r="G39" s="9" t="n">
        <x:v>1.5764486272029048</x:v>
      </x:c>
    </x:row>
    <x:row r="40" ht="23" customHeight="1">
      <x:c r="A40" s="2" t="str">
        <x:v>PRUD3</x:v>
      </x:c>
      <x:c r="B40" s="2" t="str">
        <x:v>Response timing RT</x:v>
      </x:c>
      <x:c r="C40" s="19" t="n">
        <x:v>4</x:v>
      </x:c>
      <x:c r="D40" s="2" t="n">
        <x:v>18</x:v>
      </x:c>
      <x:c r="E40" s="9" t="n">
        <x:f>AVERAGEIFS('情景指标'!$J$7:$J$60,'情景指标'!$C$7:$C$60,C40)</x:f>
        <x:v>1.5944746555392508</x:v>
      </x:c>
      <x:c r="F40" s="9" t="n">
        <x:v>1.3211348921599606</x:v>
      </x:c>
      <x:c r="G40" s="9" t="n">
        <x:v>1.8678144189185406</x:v>
      </x:c>
    </x:row>
    <x:row r="41" ht="23" customHeight="1">
      <x:c r="A41" s="2" t="str">
        <x:v>PRUD3</x:v>
      </x:c>
      <x:c r="B41" s="2" t="str">
        <x:v>Response timing RT</x:v>
      </x:c>
      <x:c r="C41" s="19" t="n">
        <x:v>7</x:v>
      </x:c>
      <x:c r="D41" s="2" t="n">
        <x:v>18</x:v>
      </x:c>
      <x:c r="E41" s="9" t="n">
        <x:f>AVERAGEIFS('情景指标'!$J$7:$J$60,'情景指标'!$C$7:$C$60,C41)</x:f>
        <x:v>1.6156313329067915</x:v>
      </x:c>
      <x:c r="F41" s="9" t="n">
        <x:v>1.4310057612705187</x:v>
      </x:c>
      <x:c r="G41" s="9" t="n">
        <x:v>1.8002569045430634</x:v>
      </x:c>
    </x:row>
    <x:row r="42" ht="23" customHeight="1">
      <x:c r="A42" s="2" t="str">
        <x:v>PRUD3</x:v>
      </x:c>
      <x:c r="B42" s="2" t="str">
        <x:v>Targeting capacity TC</x:v>
      </x:c>
      <x:c r="C42" s="19" t="n">
        <x:v>0.2</x:v>
      </x:c>
      <x:c r="D42" s="2" t="n">
        <x:v>27</x:v>
      </x:c>
      <x:c r="E42" s="9" t="n">
        <x:f>AVERAGEIFS('情景指标'!$J$7:$J$60,'情景指标'!$D$7:$D$60,C42)</x:f>
        <x:v>2.010974440004526</x:v>
      </x:c>
      <x:c r="F42" s="9" t="n">
        <x:v>1.8214820972813535</x:v>
      </x:c>
      <x:c r="G42" s="9" t="n">
        <x:v>2.200466782727699</x:v>
      </x:c>
    </x:row>
    <x:row r="43" ht="23" customHeight="1">
      <x:c r="A43" s="2" t="str">
        <x:v>PRUD3</x:v>
      </x:c>
      <x:c r="B43" s="2" t="str">
        <x:v>Targeting capacity TC</x:v>
      </x:c>
      <x:c r="C43" s="19" t="n">
        <x:v>0.8</x:v>
      </x:c>
      <x:c r="D43" s="2" t="n">
        <x:v>27</x:v>
      </x:c>
      <x:c r="E43" s="9" t="n">
        <x:f>AVERAGEIFS('情景指标'!$J$7:$J$60,'情景指标'!$D$7:$D$60,C43)</x:f>
        <x:v>1.0961544468291253</x:v>
      </x:c>
      <x:c r="F43" s="9" t="n">
        <x:v>0.9565506292765633</x:v>
      </x:c>
      <x:c r="G43" s="9" t="n">
        <x:v>1.235758264381686</x:v>
      </x:c>
    </x:row>
    <x:row r="44" ht="23" customHeight="1">
      <x:c r="A44" s="2" t="str">
        <x:v>PRUD3</x:v>
      </x:c>
      <x:c r="B44" s="2" t="str">
        <x:v>Group cocooning DGC</x:v>
      </x:c>
      <x:c r="C44" s="19" t="n">
        <x:v>0</x:v>
      </x:c>
      <x:c r="D44" s="2" t="n">
        <x:v>18</x:v>
      </x:c>
      <x:c r="E44" s="9" t="n">
        <x:f>AVERAGEIFS('情景指标'!$J$7:$J$60,'情景指标'!$B$7:$B$60,C44)</x:f>
        <x:v>1.5506914381914383</x:v>
      </x:c>
      <x:c r="F44" s="9" t="n">
        <x:v>1.2711084835307975</x:v>
      </x:c>
      <x:c r="G44" s="9" t="n">
        <x:v>1.830274392852079</x:v>
      </x:c>
    </x:row>
    <x:row r="45" ht="23" customHeight="1">
      <x:c r="A45" s="2" t="str">
        <x:v>PRUD3</x:v>
      </x:c>
      <x:c r="B45" s="2" t="str">
        <x:v>Group cocooning DGC</x:v>
      </x:c>
      <x:c r="C45" s="19" t="n">
        <x:v>0.2</x:v>
      </x:c>
      <x:c r="D45" s="2" t="n">
        <x:v>18</x:v>
      </x:c>
      <x:c r="E45" s="9" t="n">
        <x:f>AVERAGEIFS('情景指标'!$J$7:$J$60,'情景指标'!$B$7:$B$60,C45)</x:f>
        <x:v>1.5130306920748098</x:v>
      </x:c>
      <x:c r="F45" s="9" t="n">
        <x:v>1.3555795672889046</x:v>
      </x:c>
      <x:c r="G45" s="9" t="n">
        <x:v>1.6704818168607136</x:v>
      </x:c>
    </x:row>
    <x:row r="46" ht="23" customHeight="1">
      <x:c r="A46" s="2" t="str">
        <x:v>PRUD3</x:v>
      </x:c>
      <x:c r="B46" s="2" t="str">
        <x:v>Group cocooning DGC</x:v>
      </x:c>
      <x:c r="C46" s="19" t="n">
        <x:v>0.4</x:v>
      </x:c>
      <x:c r="D46" s="2" t="n">
        <x:v>18</x:v>
      </x:c>
      <x:c r="E46" s="9" t="n">
        <x:f>AVERAGEIFS('情景指标'!$J$7:$J$60,'情景指标'!$B$7:$B$60,C46)</x:f>
        <x:v>1.596971199984229</x:v>
      </x:c>
      <x:c r="F46" s="9" t="n">
        <x:v>1.449713582608077</x:v>
      </x:c>
      <x:c r="G46" s="9" t="n">
        <x:v>1.7442288173603808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32" hidden="0" customWidth="1"/>
    <x:col min="3" max="3" width="12" hidden="0" customWidth="1"/>
    <x:col min="4" max="4" width="12" hidden="0" customWidth="1"/>
    <x:col min="5" max="5" width="16" hidden="0" customWidth="1"/>
    <x:col min="6" max="6" width="15" hidden="0" customWidth="1"/>
    <x:col min="7" max="7" width="14" hidden="0" customWidth="1"/>
    <x:col min="8" max="8" width="10" hidden="0" customWidth="1"/>
    <x:col min="9" max="9" width="16" hidden="0" customWidth="1"/>
    <x:col min="10" max="10" width="16" hidden="0" customWidth="1"/>
    <x:col min="11" max="11" width="17" hidden="0" customWidth="1"/>
    <x:col min="12" max="12" width="19" hidden="0" customWidth="1"/>
    <x:col min="13" max="13" width="20" hidden="0" customWidth="1"/>
    <x:col min="14" max="14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全部20项两两水平对比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差异为高减低。普通95%区间为逐项区间；同时区间覆盖20项对比，采用Bonferroni。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8" t="str">
        <x:v>结局</x:v>
      </x:c>
      <x:c r="B6" s="8" t="str">
        <x:v>因素</x:v>
      </x:c>
      <x:c r="C6" s="8" t="str">
        <x:v>低水平</x:v>
      </x:c>
      <x:c r="D6" s="8" t="str">
        <x:v>高水平</x:v>
      </x:c>
      <x:c r="E6" s="8" t="str">
        <x:v>差异 步</x:v>
      </x:c>
      <x:c r="F6" s="8" t="str">
        <x:v>标准误</x:v>
      </x:c>
      <x:c r="G6" s="8" t="str">
        <x:v>t</x:v>
      </x:c>
      <x:c r="H6" s="8" t="str">
        <x:v>df</x:v>
      </x:c>
      <x:c r="I6" s="8" t="str">
        <x:v>95%下限</x:v>
      </x:c>
      <x:c r="J6" s="8" t="str">
        <x:v>95%上限</x:v>
      </x:c>
      <x:c r="K6" s="8" t="str">
        <x:v>原始p</x:v>
      </x:c>
      <x:c r="L6" s="8" t="str">
        <x:v>20项Holm p</x:v>
      </x:c>
      <x:c r="M6" s="8" t="str">
        <x:v>同时95%下限</x:v>
      </x:c>
      <x:c r="N6" s="8" t="str">
        <x:v>同时95%上限</x:v>
      </x:c>
    </x:row>
    <x:row r="7" ht="23" customHeight="1">
      <x:c r="A7" s="2" t="str">
        <x:v>TBU9</x:v>
      </x:c>
      <x:c r="B7" s="2" t="str">
        <x:v>Government credibility GC</x:v>
      </x:c>
      <x:c r="C7" s="19" t="n">
        <x:v>0.25</x:v>
      </x:c>
      <x:c r="D7" s="19" t="n">
        <x:v>0.5</x:v>
      </x:c>
      <x:c r="E7" s="9" t="n">
        <x:v>-1.5966682450358571</x:v>
      </x:c>
      <x:c r="F7" s="9" t="n">
        <x:v>0.2674979942348731</x:v>
      </x:c>
      <x:c r="G7" s="9" t="n">
        <x:v>-5.968898008386275</x:v>
      </x:c>
      <x:c r="H7" s="10" t="n">
        <x:v>36</x:v>
      </x:c>
      <x:c r="I7" s="9" t="n">
        <x:v>-2.139179322417906</x:v>
      </x:c>
      <x:c r="J7" s="9" t="n">
        <x:v>-1.054157167653808</x:v>
      </x:c>
      <x:c r="K7" s="11" t="n">
        <x:v>7.647194455346044e-7</x:v>
      </x:c>
      <x:c r="L7" s="11" t="n">
        <x:v>0.000009941352791949857</x:v>
      </x:c>
      <x:c r="M7" s="9" t="n">
        <x:v>-2.4662317519598966</x:v>
      </x:c>
      <x:c r="N7" s="9" t="n">
        <x:v>-0.7271047381118177</x:v>
      </x:c>
    </x:row>
    <x:row r="8" ht="23" customHeight="1">
      <x:c r="A8" s="2" t="str">
        <x:v>TBU9</x:v>
      </x:c>
      <x:c r="B8" s="2" t="str">
        <x:v>Government credibility GC</x:v>
      </x:c>
      <x:c r="C8" s="19" t="n">
        <x:v>0.25</x:v>
      </x:c>
      <x:c r="D8" s="19" t="n">
        <x:v>0.75</x:v>
      </x:c>
      <x:c r="E8" s="9" t="n">
        <x:v>-2.0682522703126747</x:v>
      </x:c>
      <x:c r="F8" s="9" t="n">
        <x:v>0.31754614152816374</x:v>
      </x:c>
      <x:c r="G8" s="9" t="n">
        <x:v>-6.513233825986318</x:v>
      </x:c>
      <x:c r="H8" s="10" t="n">
        <x:v>36</x:v>
      </x:c>
      <x:c r="I8" s="9" t="n">
        <x:v>-2.7122656949804327</x:v>
      </x:c>
      <x:c r="J8" s="9" t="n">
        <x:v>-1.4242388456449167</x:v>
      </x:c>
      <x:c r="K8" s="11" t="n">
        <x:v>1.4404671560138663e-7</x:v>
      </x:c>
      <x:c r="L8" s="11" t="n">
        <x:v>0.000002016654018419413</x:v>
      </x:c>
      <x:c r="M8" s="9" t="n">
        <x:v>-3.1005087447106776</x:v>
      </x:c>
      <x:c r="N8" s="9" t="n">
        <x:v>-1.0359957959146717</x:v>
      </x:c>
    </x:row>
    <x:row r="9" ht="23" customHeight="1">
      <x:c r="A9" s="2" t="str">
        <x:v>TBU9</x:v>
      </x:c>
      <x:c r="B9" s="2" t="str">
        <x:v>Government credibility GC</x:v>
      </x:c>
      <x:c r="C9" s="19" t="n">
        <x:v>0.5</x:v>
      </x:c>
      <x:c r="D9" s="19" t="n">
        <x:v>0.75</x:v>
      </x:c>
      <x:c r="E9" s="9" t="n">
        <x:v>-0.47158402527681775</x:v>
      </x:c>
      <x:c r="F9" s="9" t="n">
        <x:v>0.24135889365489305</x:v>
      </x:c>
      <x:c r="G9" s="9" t="n">
        <x:v>-1.9538705126445932</x:v>
      </x:c>
      <x:c r="H9" s="10" t="n">
        <x:v>36</x:v>
      </x:c>
      <x:c r="I9" s="9" t="n">
        <x:v>-0.9610825495815848</x:v>
      </x:c>
      <x:c r="J9" s="9" t="n">
        <x:v>0.017914499027949282</x:v>
      </x:c>
      <x:c r="K9" s="11" t="n">
        <x:v>0.05852018683865589</x:v>
      </x:c>
      <x:c r="L9" s="11" t="n">
        <x:v>0.5852018683865589</x:v>
      </x:c>
      <x:c r="M9" s="9" t="n">
        <x:v>-1.2561763979941079</x:v>
      </x:c>
      <x:c r="N9" s="9" t="n">
        <x:v>0.31300834744047235</x:v>
      </x:c>
    </x:row>
    <x:row r="10" ht="23" customHeight="1">
      <x:c r="A10" s="2" t="str">
        <x:v>TBU9</x:v>
      </x:c>
      <x:c r="B10" s="2" t="str">
        <x:v>Response timing RT</x:v>
      </x:c>
      <x:c r="C10" s="19" t="n">
        <x:v>2</x:v>
      </x:c>
      <x:c r="D10" s="19" t="n">
        <x:v>4</x:v>
      </x:c>
      <x:c r="E10" s="9" t="n">
        <x:v>2.2446346557342984</x:v>
      </x:c>
      <x:c r="F10" s="9" t="n">
        <x:v>0.2825280156015076</x:v>
      </x:c>
      <x:c r="G10" s="9" t="n">
        <x:v>7.944821510728513</x:v>
      </x:c>
      <x:c r="H10" s="10" t="n">
        <x:v>36</x:v>
      </x:c>
      <x:c r="I10" s="9" t="n">
        <x:v>1.67164128218397</x:v>
      </x:c>
      <x:c r="J10" s="9" t="n">
        <x:v>2.817628029284627</x:v>
      </x:c>
      <x:c r="K10" s="11" t="n">
        <x:v>1.9723984086591275e-9</x:v>
      </x:c>
      <x:c r="L10" s="11" t="n">
        <x:v>3.550317135586429e-8</x:v>
      </x:c>
      <x:c r="M10" s="9" t="n">
        <x:v>1.3262126213805603</x:v>
      </x:c>
      <x:c r="N10" s="9" t="n">
        <x:v>3.1630566900880366</x:v>
      </x:c>
    </x:row>
    <x:row r="11" ht="23" customHeight="1">
      <x:c r="A11" s="2" t="str">
        <x:v>TBU9</x:v>
      </x:c>
      <x:c r="B11" s="2" t="str">
        <x:v>Response timing RT</x:v>
      </x:c>
      <x:c r="C11" s="19" t="n">
        <x:v>2</x:v>
      </x:c>
      <x:c r="D11" s="19" t="n">
        <x:v>7</x:v>
      </x:c>
      <x:c r="E11" s="9" t="n">
        <x:v>4.396644119568138</x:v>
      </x:c>
      <x:c r="F11" s="9" t="n">
        <x:v>0.26307091273344946</x:v>
      </x:c>
      <x:c r="G11" s="9" t="n">
        <x:v>16.712771753762592</x:v>
      </x:c>
      <x:c r="H11" s="10" t="n">
        <x:v>36</x:v>
      </x:c>
      <x:c r="I11" s="9" t="n">
        <x:v>3.8631115796209774</x:v>
      </x:c>
      <x:c r="J11" s="9" t="n">
        <x:v>4.930176659515299</x:v>
      </x:c>
      <x:c r="K11" s="11" t="n">
        <x:v>1.5192714387708195e-18</x:v>
      </x:c>
      <x:c r="L11" s="11" t="n">
        <x:v>3.038542877541639e-17</x:v>
      </x:c>
      <x:c r="M11" s="9" t="n">
        <x:v>3.541471855190898</x:v>
      </x:c>
      <x:c r="N11" s="9" t="n">
        <x:v>5.2518163839453775</x:v>
      </x:c>
    </x:row>
    <x:row r="12" ht="23" customHeight="1">
      <x:c r="A12" s="2" t="str">
        <x:v>TBU9</x:v>
      </x:c>
      <x:c r="B12" s="2" t="str">
        <x:v>Response timing RT</x:v>
      </x:c>
      <x:c r="C12" s="19" t="n">
        <x:v>4</x:v>
      </x:c>
      <x:c r="D12" s="19" t="n">
        <x:v>7</x:v>
      </x:c>
      <x:c r="E12" s="9" t="n">
        <x:v>2.1520094638338394</x:v>
      </x:c>
      <x:c r="F12" s="9" t="n">
        <x:v>0.28568594599539354</x:v>
      </x:c>
      <x:c r="G12" s="9" t="n">
        <x:v>7.5327802924843175</x:v>
      </x:c>
      <x:c r="H12" s="10" t="n">
        <x:v>36</x:v>
      </x:c>
      <x:c r="I12" s="9" t="n">
        <x:v>1.572611510596157</x:v>
      </x:c>
      <x:c r="J12" s="9" t="n">
        <x:v>2.731407417071522</x:v>
      </x:c>
      <x:c r="K12" s="11" t="n">
        <x:v>6.650827095814813e-9</x:v>
      </x:c>
      <x:c r="L12" s="11" t="n">
        <x:v>1.0641323353303701e-7</x:v>
      </x:c>
      <x:c r="M12" s="9" t="n">
        <x:v>1.2233218533370578</x:v>
      </x:c>
      <x:c r="N12" s="9" t="n">
        <x:v>3.080697074330621</x:v>
      </x:c>
    </x:row>
    <x:row r="13" ht="23" customHeight="1">
      <x:c r="A13" s="2" t="str">
        <x:v>TBU9</x:v>
      </x:c>
      <x:c r="B13" s="2" t="str">
        <x:v>Targeting capacity TC</x:v>
      </x:c>
      <x:c r="C13" s="19" t="n">
        <x:v>0.2</x:v>
      </x:c>
      <x:c r="D13" s="19" t="n">
        <x:v>0.8</x:v>
      </x:c>
      <x:c r="E13" s="9" t="n">
        <x:v>-1.323908207412687</x:v>
      </x:c>
      <x:c r="F13" s="9" t="n">
        <x:v>0.22639436804214938</x:v>
      </x:c>
      <x:c r="G13" s="9" t="n">
        <x:v>-5.847796563411887</x:v>
      </x:c>
      <x:c r="H13" s="10" t="n">
        <x:v>36</x:v>
      </x:c>
      <x:c r="I13" s="9" t="n">
        <x:v>-1.7830572670947304</x:v>
      </x:c>
      <x:c r="J13" s="9" t="n">
        <x:v>-0.8647591477306438</x:v>
      </x:c>
      <x:c r="K13" s="11" t="n">
        <x:v>0.0000011100708080584694</x:v>
      </x:c>
      <x:c r="L13" s="11" t="n">
        <x:v>0.000013320849696701632</x:v>
      </x:c>
      <x:c r="M13" s="9" t="n">
        <x:v>-2.0598549616516326</x:v>
      </x:c>
      <x:c r="N13" s="9" t="n">
        <x:v>-0.5879614531737414</x:v>
      </x:c>
    </x:row>
    <x:row r="14" ht="23" customHeight="1">
      <x:c r="A14" s="2" t="str">
        <x:v>TBU9</x:v>
      </x:c>
      <x:c r="B14" s="2" t="str">
        <x:v>Group cocooning DGC</x:v>
      </x:c>
      <x:c r="C14" s="19" t="n">
        <x:v>0</x:v>
      </x:c>
      <x:c r="D14" s="19" t="n">
        <x:v>0.2</x:v>
      </x:c>
      <x:c r="E14" s="9" t="n">
        <x:v>0.08643981672877232</x:v>
      </x:c>
      <x:c r="F14" s="9" t="n">
        <x:v>0.3047368609765497</x:v>
      </x:c>
      <x:c r="G14" s="9" t="n">
        <x:v>0.2836539578827784</x:v>
      </x:c>
      <x:c r="H14" s="10" t="n">
        <x:v>36</x:v>
      </x:c>
      <x:c r="I14" s="9" t="n">
        <x:v>-0.5315951828953815</x:v>
      </x:c>
      <x:c r="J14" s="9" t="n">
        <x:v>0.7044748163529262</x:v>
      </x:c>
      <x:c r="K14" s="11" t="n">
        <x:v>0.7783005635169804</x:v>
      </x:c>
      <x:c r="L14" s="11" t="n">
        <x:v>1</x:v>
      </x:c>
      <x:c r="M14" s="9" t="n">
        <x:v>-0.9041771569713097</x:v>
      </x:c>
      <x:c r="N14" s="9" t="n">
        <x:v>1.0770567904288544</x:v>
      </x:c>
    </x:row>
    <x:row r="15" ht="23" customHeight="1">
      <x:c r="A15" s="2" t="str">
        <x:v>TBU9</x:v>
      </x:c>
      <x:c r="B15" s="2" t="str">
        <x:v>Group cocooning DGC</x:v>
      </x:c>
      <x:c r="C15" s="19" t="n">
        <x:v>0</x:v>
      </x:c>
      <x:c r="D15" s="19" t="n">
        <x:v>0.4</x:v>
      </x:c>
      <x:c r="E15" s="9" t="n">
        <x:v>0.05583926167352338</x:v>
      </x:c>
      <x:c r="F15" s="9" t="n">
        <x:v>0.2977324811110058</x:v>
      </x:c>
      <x:c r="G15" s="9" t="n">
        <x:v>0.18754843766174242</x:v>
      </x:c>
      <x:c r="H15" s="10" t="n">
        <x:v>36</x:v>
      </x:c>
      <x:c r="I15" s="9" t="n">
        <x:v>-0.5479901971647327</x:v>
      </x:c>
      <x:c r="J15" s="9" t="n">
        <x:v>0.6596687205117795</x:v>
      </x:c>
      <x:c r="K15" s="11" t="n">
        <x:v>0.8522837428724332</x:v>
      </x:c>
      <x:c r="L15" s="11" t="n">
        <x:v>1</x:v>
      </x:c>
      <x:c r="M15" s="9" t="n">
        <x:v>-0.9120083707567974</x:v>
      </x:c>
      <x:c r="N15" s="9" t="n">
        <x:v>1.0236868941038442</x:v>
      </x:c>
    </x:row>
    <x:row r="16" ht="23" customHeight="1">
      <x:c r="A16" s="2" t="str">
        <x:v>TBU9</x:v>
      </x:c>
      <x:c r="B16" s="2" t="str">
        <x:v>Group cocooning DGC</x:v>
      </x:c>
      <x:c r="C16" s="19" t="n">
        <x:v>0.2</x:v>
      </x:c>
      <x:c r="D16" s="19" t="n">
        <x:v>0.4</x:v>
      </x:c>
      <x:c r="E16" s="9" t="n">
        <x:v>-0.030600555055248946</x:v>
      </x:c>
      <x:c r="F16" s="9" t="n">
        <x:v>0.22166564848677361</x:v>
      </x:c>
      <x:c r="G16" s="9" t="n">
        <x:v>-0.13804825088662678</x:v>
      </x:c>
      <x:c r="H16" s="10" t="n">
        <x:v>36</x:v>
      </x:c>
      <x:c r="I16" s="9" t="n">
        <x:v>-0.48015932697471575</x:v>
      </x:c>
      <x:c r="J16" s="9" t="n">
        <x:v>0.41895821686421786</x:v>
      </x:c>
      <x:c r="K16" s="11" t="n">
        <x:v>0.8909715680924968</x:v>
      </x:c>
      <x:c r="L16" s="11" t="n">
        <x:v>1</x:v>
      </x:c>
      <x:c r="M16" s="9" t="n">
        <x:v>-0.751175523155782</x:v>
      </x:c>
      <x:c r="N16" s="9" t="n">
        <x:v>0.6899744130452841</x:v>
      </x:c>
    </x:row>
    <x:row r="17" ht="23" customHeight="1">
      <x:c r="A17" s="2" t="str">
        <x:v>PRUD3</x:v>
      </x:c>
      <x:c r="B17" s="2" t="str">
        <x:v>Government credibility GC</x:v>
      </x:c>
      <x:c r="C17" s="19" t="n">
        <x:v>0.25</x:v>
      </x:c>
      <x:c r="D17" s="19" t="n">
        <x:v>0.5</x:v>
      </x:c>
      <x:c r="E17" s="9" t="n">
        <x:v>-0.992398641146366</x:v>
      </x:c>
      <x:c r="F17" s="9" t="n">
        <x:v>0.13684899812179713</x:v>
      </x:c>
      <x:c r="G17" s="9" t="n">
        <x:v>-7.251778637525137</x:v>
      </x:c>
      <x:c r="H17" s="10" t="n">
        <x:v>36</x:v>
      </x:c>
      <x:c r="I17" s="9" t="n">
        <x:v>-1.2699412732773676</x:v>
      </x:c>
      <x:c r="J17" s="9" t="n">
        <x:v>-0.7148560090153644</x:v>
      </x:c>
      <x:c r="K17" s="11" t="n">
        <x:v>1.5387624179143248e-8</x:v>
      </x:c>
      <x:c r="L17" s="11" t="n">
        <x:v>2.308143626871487e-7</x:v>
      </x:c>
      <x:c r="M17" s="9" t="n">
        <x:v>-1.4372576580006973</x:v>
      </x:c>
      <x:c r="N17" s="9" t="n">
        <x:v>-0.5475396242920348</x:v>
      </x:c>
    </x:row>
    <x:row r="18" ht="23" customHeight="1">
      <x:c r="A18" s="2" t="str">
        <x:v>PRUD3</x:v>
      </x:c>
      <x:c r="B18" s="2" t="str">
        <x:v>Government credibility GC</x:v>
      </x:c>
      <x:c r="C18" s="19" t="n">
        <x:v>0.25</x:v>
      </x:c>
      <x:c r="D18" s="19" t="n">
        <x:v>0.75</x:v>
      </x:c>
      <x:c r="E18" s="9" t="n">
        <x:v>-1.2897759186721869</x:v>
      </x:c>
      <x:c r="F18" s="9" t="n">
        <x:v>0.16103921243170125</x:v>
      </x:c>
      <x:c r="G18" s="9" t="n">
        <x:v>-8.00907989548941</x:v>
      </x:c>
      <x:c r="H18" s="10" t="n">
        <x:v>36</x:v>
      </x:c>
      <x:c r="I18" s="9" t="n">
        <x:v>-1.6163785793275365</x:v>
      </x:c>
      <x:c r="J18" s="9" t="n">
        <x:v>-0.9631732580168373</x:v>
      </x:c>
      <x:c r="K18" s="11" t="n">
        <x:v>1.6345235536058573e-9</x:v>
      </x:c>
      <x:c r="L18" s="11" t="n">
        <x:v>3.105594751851129e-8</x:v>
      </x:c>
      <x:c r="M18" s="9" t="n">
        <x:v>-1.8132707684744647</x:v>
      </x:c>
      <x:c r="N18" s="9" t="n">
        <x:v>-0.766281068869909</x:v>
      </x:c>
    </x:row>
    <x:row r="19" ht="23" customHeight="1">
      <x:c r="A19" s="2" t="str">
        <x:v>PRUD3</x:v>
      </x:c>
      <x:c r="B19" s="2" t="str">
        <x:v>Government credibility GC</x:v>
      </x:c>
      <x:c r="C19" s="19" t="n">
        <x:v>0.5</x:v>
      </x:c>
      <x:c r="D19" s="19" t="n">
        <x:v>0.75</x:v>
      </x:c>
      <x:c r="E19" s="9" t="n">
        <x:v>-0.297377277525821</x:v>
      </x:c>
      <x:c r="F19" s="9" t="n">
        <x:v>0.12627442843681108</x:v>
      </x:c>
      <x:c r="G19" s="9" t="n">
        <x:v>-2.355007907833306</x:v>
      </x:c>
      <x:c r="H19" s="10" t="n">
        <x:v>36</x:v>
      </x:c>
      <x:c r="I19" s="9" t="n">
        <x:v>-0.5534736883157527</x:v>
      </x:c>
      <x:c r="J19" s="9" t="n">
        <x:v>-0.041280866735889266</x:v>
      </x:c>
      <x:c r="K19" s="11" t="n">
        <x:v>0.02409287457863464</x:v>
      </x:c>
      <x:c r="L19" s="11" t="n">
        <x:v>0.26502162036498106</x:v>
      </x:c>
      <x:c r="M19" s="9" t="n">
        <x:v>-0.7078612332669263</x:v>
      </x:c>
      <x:c r="N19" s="9" t="n">
        <x:v>0.1131066782152843</x:v>
      </x:c>
    </x:row>
    <x:row r="20" ht="23" customHeight="1">
      <x:c r="A20" s="2" t="str">
        <x:v>PRUD3</x:v>
      </x:c>
      <x:c r="B20" s="2" t="str">
        <x:v>Response timing RT</x:v>
      </x:c>
      <x:c r="C20" s="19" t="n">
        <x:v>2</x:v>
      </x:c>
      <x:c r="D20" s="19" t="n">
        <x:v>4</x:v>
      </x:c>
      <x:c r="E20" s="9" t="n">
        <x:v>0.14388731373481606</x:v>
      </x:c>
      <x:c r="F20" s="9" t="n">
        <x:v>0.14837809474065386</x:v>
      </x:c>
      <x:c r="G20" s="9" t="n">
        <x:v>0.9697342049465784</x:v>
      </x:c>
      <x:c r="H20" s="10" t="n">
        <x:v>36</x:v>
      </x:c>
      <x:c r="I20" s="9" t="n">
        <x:v>-0.15703741008561295</x:v>
      </x:c>
      <x:c r="J20" s="9" t="n">
        <x:v>0.44481203755524507</x:v>
      </x:c>
      <x:c r="K20" s="11" t="n">
        <x:v>0.3386494975956196</x:v>
      </x:c>
      <x:c r="L20" s="11" t="n">
        <x:v>1</x:v>
      </x:c>
      <x:c r="M20" s="9" t="n">
        <x:v>-0.3384496726879769</x:v>
      </x:c>
      <x:c r="N20" s="9" t="n">
        <x:v>0.626224300157609</x:v>
      </x:c>
    </x:row>
    <x:row r="21" ht="23" customHeight="1">
      <x:c r="A21" s="2" t="str">
        <x:v>PRUD3</x:v>
      </x:c>
      <x:c r="B21" s="2" t="str">
        <x:v>Response timing RT</x:v>
      </x:c>
      <x:c r="C21" s="19" t="n">
        <x:v>2</x:v>
      </x:c>
      <x:c r="D21" s="19" t="n">
        <x:v>7</x:v>
      </x:c>
      <x:c r="E21" s="9" t="n">
        <x:v>0.16504399110235624</x:v>
      </x:c>
      <x:c r="F21" s="9" t="n">
        <x:v>0.1101748700104841</x:v>
      </x:c>
      <x:c r="G21" s="9" t="n">
        <x:v>1.4980184781398052</x:v>
      </x:c>
      <x:c r="H21" s="10" t="n">
        <x:v>36</x:v>
      </x:c>
      <x:c r="I21" s="9" t="n">
        <x:v>-0.05840100182470748</x:v>
      </x:c>
      <x:c r="J21" s="9" t="n">
        <x:v>0.38848898402941995</x:v>
      </x:c>
      <x:c r="K21" s="11" t="n">
        <x:v>0.14284642607172973</x:v>
      </x:c>
      <x:c r="L21" s="11" t="n">
        <x:v>1</x:v>
      </x:c>
      <x:c r="M21" s="9" t="n">
        <x:v>-0.193104661994075</x:v>
      </x:c>
      <x:c r="N21" s="9" t="n">
        <x:v>0.5231926441987875</x:v>
      </x:c>
    </x:row>
    <x:row r="22" ht="23" customHeight="1">
      <x:c r="A22" s="2" t="str">
        <x:v>PRUD3</x:v>
      </x:c>
      <x:c r="B22" s="2" t="str">
        <x:v>Response timing RT</x:v>
      </x:c>
      <x:c r="C22" s="19" t="n">
        <x:v>4</x:v>
      </x:c>
      <x:c r="D22" s="19" t="n">
        <x:v>7</x:v>
      </x:c>
      <x:c r="E22" s="9" t="n">
        <x:v>0.021156677367540205</x:v>
      </x:c>
      <x:c r="F22" s="9" t="n">
        <x:v>0.1626405439117568</x:v>
      </x:c>
      <x:c r="G22" s="9" t="n">
        <x:v>0.1300824312234168</x:v>
      </x:c>
      <x:c r="H22" s="10" t="n">
        <x:v>36</x:v>
      </x:c>
      <x:c r="I22" s="9" t="n">
        <x:v>-0.3086936340560913</x:v>
      </x:c>
      <x:c r="J22" s="9" t="n">
        <x:v>0.35100698879117165</x:v>
      </x:c>
      <x:c r="K22" s="11" t="n">
        <x:v>0.897225361301677</x:v>
      </x:c>
      <x:c r="L22" s="11" t="n">
        <x:v>1</x:v>
      </x:c>
      <x:c r="M22" s="9" t="n">
        <x:v>-0.5075436672330365</x:v>
      </x:c>
      <x:c r="N22" s="9" t="n">
        <x:v>0.5498570219681169</x:v>
      </x:c>
    </x:row>
    <x:row r="23" ht="23" customHeight="1">
      <x:c r="A23" s="2" t="str">
        <x:v>PRUD3</x:v>
      </x:c>
      <x:c r="B23" s="2" t="str">
        <x:v>Targeting capacity TC</x:v>
      </x:c>
      <x:c r="C23" s="19" t="n">
        <x:v>0.2</x:v>
      </x:c>
      <x:c r="D23" s="19" t="n">
        <x:v>0.8</x:v>
      </x:c>
      <x:c r="E23" s="9" t="n">
        <x:v>-0.9148199931754013</x:v>
      </x:c>
      <x:c r="F23" s="9" t="n">
        <x:v>0.11605219850912453</x:v>
      </x:c>
      <x:c r="G23" s="9" t="n">
        <x:v>-7.882832078389916</x:v>
      </x:c>
      <x:c r="H23" s="10" t="n">
        <x:v>36</x:v>
      </x:c>
      <x:c r="I23" s="9" t="n">
        <x:v>-1.150184760772349</x:v>
      </x:c>
      <x:c r="J23" s="9" t="n">
        <x:v>-0.6794552255784535</x:v>
      </x:c>
      <x:c r="K23" s="11" t="n">
        <x:v>2.3654057747147272e-9</x:v>
      </x:c>
      <x:c r="L23" s="11" t="n">
        <x:v>4.021189817015036e-8</x:v>
      </x:c>
      <x:c r="M23" s="9" t="n">
        <x:v>-1.292074248896034</x:v>
      </x:c>
      <x:c r="N23" s="9" t="n">
        <x:v>-0.5375657374547688</x:v>
      </x:c>
    </x:row>
    <x:row r="24" ht="23" customHeight="1">
      <x:c r="A24" s="2" t="str">
        <x:v>PRUD3</x:v>
      </x:c>
      <x:c r="B24" s="2" t="str">
        <x:v>Group cocooning DGC</x:v>
      </x:c>
      <x:c r="C24" s="19" t="n">
        <x:v>0</x:v>
      </x:c>
      <x:c r="D24" s="19" t="n">
        <x:v>0.2</x:v>
      </x:c>
      <x:c r="E24" s="9" t="n">
        <x:v>-0.0376607461166292</x:v>
      </x:c>
      <x:c r="F24" s="9" t="n">
        <x:v>0.15821253263851692</x:v>
      </x:c>
      <x:c r="G24" s="9" t="n">
        <x:v>-0.23803895613425427</x:v>
      </x:c>
      <x:c r="H24" s="10" t="n">
        <x:v>36</x:v>
      </x:c>
      <x:c r="I24" s="9" t="n">
        <x:v>-0.3585306344407291</x:v>
      </x:c>
      <x:c r="J24" s="9" t="n">
        <x:v>0.2832091422074706</x:v>
      </x:c>
      <x:c r="K24" s="11" t="n">
        <x:v>0.813200566138899</x:v>
      </x:c>
      <x:c r="L24" s="11" t="n">
        <x:v>1</x:v>
      </x:c>
      <x:c r="M24" s="9" t="n">
        <x:v>-0.5519668257341315</x:v>
      </x:c>
      <x:c r="N24" s="9" t="n">
        <x:v>0.4766453335008731</x:v>
      </x:c>
    </x:row>
    <x:row r="25" ht="23" customHeight="1">
      <x:c r="A25" s="2" t="str">
        <x:v>PRUD3</x:v>
      </x:c>
      <x:c r="B25" s="2" t="str">
        <x:v>Group cocooning DGC</x:v>
      </x:c>
      <x:c r="C25" s="19" t="n">
        <x:v>0</x:v>
      </x:c>
      <x:c r="D25" s="19" t="n">
        <x:v>0.4</x:v>
      </x:c>
      <x:c r="E25" s="9" t="n">
        <x:v>0.04627976179279085</x:v>
      </x:c>
      <x:c r="F25" s="9" t="n">
        <x:v>0.15580775631363028</x:v>
      </x:c>
      <x:c r="G25" s="9" t="n">
        <x:v>0.2970311805250111</x:v>
      </x:c>
      <x:c r="H25" s="10" t="n">
        <x:v>36</x:v>
      </x:c>
      <x:c r="I25" s="9" t="n">
        <x:v>-0.26971301409310655</x:v>
      </x:c>
      <x:c r="J25" s="9" t="n">
        <x:v>0.3622725376786883</x:v>
      </x:c>
      <x:c r="K25" s="11" t="n">
        <x:v>0.7681498700543107</x:v>
      </x:c>
      <x:c r="L25" s="11" t="n">
        <x:v>1</x:v>
      </x:c>
      <x:c r="M25" s="9" t="n">
        <x:v>-0.4602090415104813</x:v>
      </x:c>
      <x:c r="N25" s="9" t="n">
        <x:v>0.552768565096063</x:v>
      </x:c>
    </x:row>
    <x:row r="26" ht="23" customHeight="1">
      <x:c r="A26" s="2" t="str">
        <x:v>PRUD3</x:v>
      </x:c>
      <x:c r="B26" s="2" t="str">
        <x:v>Group cocooning DGC</x:v>
      </x:c>
      <x:c r="C26" s="19" t="n">
        <x:v>0.2</x:v>
      </x:c>
      <x:c r="D26" s="19" t="n">
        <x:v>0.4</x:v>
      </x:c>
      <x:c r="E26" s="9" t="n">
        <x:v>0.08394050790942005</x:v>
      </x:c>
      <x:c r="F26" s="9" t="n">
        <x:v>0.10629790728525211</x:v>
      </x:c>
      <x:c r="G26" s="9" t="n">
        <x:v>0.7896722527581317</x:v>
      </x:c>
      <x:c r="H26" s="10" t="n">
        <x:v>36</x:v>
      </x:c>
      <x:c r="I26" s="9" t="n">
        <x:v>-0.13164164017257585</x:v>
      </x:c>
      <x:c r="J26" s="9" t="n">
        <x:v>0.299522655991416</x:v>
      </x:c>
      <x:c r="K26" s="11" t="n">
        <x:v>0.43488983063139885</x:v>
      </x:c>
      <x:c r="L26" s="11" t="n">
        <x:v>1</x:v>
      </x:c>
      <x:c r="M26" s="9" t="n">
        <x:v>-0.2616051897397774</x:v>
      </x:c>
      <x:c r="N26" s="9" t="n">
        <x:v>0.4294862055586175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26" hidden="0" customWidth="1"/>
    <x:col min="3" max="3" width="32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0" hidden="0" customWidth="1"/>
    <x:col min="10" max="10" width="16" hidden="0" customWidth="1"/>
    <x:col min="11" max="11" width="16" hidden="0" customWidth="1"/>
    <x:col min="12" max="12" width="17" hidden="0" customWidth="1"/>
    <x:col min="13" max="1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DGC分层效应与差异之差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总体交互见主要检验。分层18项、模型差异之差6项、精确匹配差异之差6项分别Holm校正。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8" t="str">
        <x:v>结局</x:v>
      </x:c>
      <x:c r="B6" s="8" t="str">
        <x:v>对比类型</x:v>
      </x:c>
      <x:c r="C6" s="8" t="str">
        <x:v>因素</x:v>
      </x:c>
      <x:c r="D6" s="8" t="str">
        <x:v>DGC水平</x:v>
      </x:c>
      <x:c r="E6" s="8" t="str">
        <x:v>匹配背景数</x:v>
      </x:c>
      <x:c r="F6" s="8" t="str">
        <x:v>差异 步</x:v>
      </x:c>
      <x:c r="G6" s="8" t="str">
        <x:v>标准误</x:v>
      </x:c>
      <x:c r="H6" s="8" t="str">
        <x:v>t</x:v>
      </x:c>
      <x:c r="I6" s="8" t="str">
        <x:v>df</x:v>
      </x:c>
      <x:c r="J6" s="8" t="str">
        <x:v>95%下限</x:v>
      </x:c>
      <x:c r="K6" s="8" t="str">
        <x:v>95%上限</x:v>
      </x:c>
      <x:c r="L6" s="8" t="str">
        <x:v>原始p</x:v>
      </x:c>
      <x:c r="M6" s="8" t="str">
        <x:v>族内Holm p</x:v>
      </x:c>
    </x:row>
    <x:row r="7" ht="23" customHeight="1">
      <x:c r="A7" s="2" t="str">
        <x:v>TBU9</x:v>
      </x:c>
      <x:c r="B7" s="2" t="str">
        <x:v>DGC分层差异</x:v>
      </x:c>
      <x:c r="C7" s="2" t="str">
        <x:v>Government credibility GC</x:v>
      </x:c>
      <x:c r="D7" s="19" t="n">
        <x:v>0</x:v>
      </x:c>
      <x:c r="E7" s="2"/>
      <x:c r="F7" s="9" t="n">
        <x:v>-1.0874999999999977</x:v>
      </x:c>
      <x:c r="G7" s="9" t="n">
        <x:v>0.7409218702010286</x:v>
      </x:c>
      <x:c r="H7" s="9" t="n">
        <x:v>-1.4677660948312063</x:v>
      </x:c>
      <x:c r="I7" s="10" t="n">
        <x:v>36</x:v>
      </x:c>
      <x:c r="J7" s="9" t="n">
        <x:v>-2.5901592001499196</x:v>
      </x:c>
      <x:c r="K7" s="9" t="n">
        <x:v>0.41515920014992425</x:v>
      </x:c>
      <x:c r="L7" s="11" t="n">
        <x:v>0.15085112253048485</x:v>
      </x:c>
      <x:c r="M7" s="11" t="n">
        <x:v>0.6034044901219394</x:v>
      </x:c>
    </x:row>
    <x:row r="8" ht="23" customHeight="1">
      <x:c r="A8" s="2" t="str">
        <x:v>TBU9</x:v>
      </x:c>
      <x:c r="B8" s="2" t="str">
        <x:v>DGC分层差异</x:v>
      </x:c>
      <x:c r="C8" s="2" t="str">
        <x:v>Government credibility GC</x:v>
      </x:c>
      <x:c r="D8" s="19" t="n">
        <x:v>0.2</x:v>
      </x:c>
      <x:c r="E8" s="2"/>
      <x:c r="F8" s="9" t="n">
        <x:v>-2.283871656665776</x:v>
      </x:c>
      <x:c r="G8" s="9" t="n">
        <x:v>0.44239564369036166</x:v>
      </x:c>
      <x:c r="H8" s="9" t="n">
        <x:v>-5.162509371960016</x:v>
      </x:c>
      <x:c r="I8" s="10" t="n">
        <x:v>36</x:v>
      </x:c>
      <x:c r="J8" s="9" t="n">
        <x:v>-3.181091607694083</x:v>
      </x:c>
      <x:c r="K8" s="9" t="n">
        <x:v>-1.3866517056374688</x:v>
      </x:c>
      <x:c r="L8" s="11" t="n">
        <x:v>0.000009135677605250366</x:v>
      </x:c>
      <x:c r="M8" s="11" t="n">
        <x:v>0.00009135677605250366</x:v>
      </x:c>
    </x:row>
    <x:row r="9" ht="23" customHeight="1">
      <x:c r="A9" s="2" t="str">
        <x:v>TBU9</x:v>
      </x:c>
      <x:c r="B9" s="2" t="str">
        <x:v>DGC分层差异</x:v>
      </x:c>
      <x:c r="C9" s="2" t="str">
        <x:v>Government credibility GC</x:v>
      </x:c>
      <x:c r="D9" s="19" t="n">
        <x:v>0.4</x:v>
      </x:c>
      <x:c r="E9" s="2"/>
      <x:c r="F9" s="9" t="n">
        <x:v>-2.833385154272251</x:v>
      </x:c>
      <x:c r="G9" s="9" t="n">
        <x:v>0.4035354317732496</x:v>
      </x:c>
      <x:c r="H9" s="9" t="n">
        <x:v>-7.02140365177241</x:v>
      </x:c>
      <x:c r="I9" s="10" t="n">
        <x:v>36</x:v>
      </x:c>
      <x:c r="J9" s="9" t="n">
        <x:v>-3.651792942634634</x:v>
      </x:c>
      <x:c r="K9" s="9" t="n">
        <x:v>-2.0149773659098678</x:v>
      </x:c>
      <x:c r="L9" s="11" t="n">
        <x:v>3.077366290662657e-8</x:v>
      </x:c>
      <x:c r="M9" s="11" t="n">
        <x:v>4.0005761778614545e-7</x:v>
      </x:c>
    </x:row>
    <x:row r="10" ht="23" customHeight="1">
      <x:c r="A10" s="2" t="str">
        <x:v>TBU9</x:v>
      </x:c>
      <x:c r="B10" s="2" t="str">
        <x:v>DGC分层差异</x:v>
      </x:c>
      <x:c r="C10" s="2" t="str">
        <x:v>Response timing RT</x:v>
      </x:c>
      <x:c r="D10" s="19" t="n">
        <x:v>0</x:v>
      </x:c>
      <x:c r="E10" s="2"/>
      <x:c r="F10" s="9" t="n">
        <x:v>4.422817460317462</x:v>
      </x:c>
      <x:c r="G10" s="9" t="n">
        <x:v>0.5064710955618739</x:v>
      </x:c>
      <x:c r="H10" s="9" t="n">
        <x:v>8.732615738733982</x:v>
      </x:c>
      <x:c r="I10" s="10" t="n">
        <x:v>36</x:v>
      </x:c>
      <x:c r="J10" s="9" t="n">
        <x:v>3.3956464697384288</x:v>
      </x:c>
      <x:c r="K10" s="9" t="n">
        <x:v>5.449988450896495</x:v>
      </x:c>
      <x:c r="L10" s="11" t="n">
        <x:v>2.0369775773166107e-10</x:v>
      </x:c>
      <x:c r="M10" s="11" t="n">
        <x:v>3.259164123706577e-9</x:v>
      </x:c>
    </x:row>
    <x:row r="11" ht="23" customHeight="1">
      <x:c r="A11" s="2" t="str">
        <x:v>TBU9</x:v>
      </x:c>
      <x:c r="B11" s="2" t="str">
        <x:v>DGC分层差异</x:v>
      </x:c>
      <x:c r="C11" s="2" t="str">
        <x:v>Response timing RT</x:v>
      </x:c>
      <x:c r="D11" s="19" t="n">
        <x:v>0.2</x:v>
      </x:c>
      <x:c r="E11" s="2"/>
      <x:c r="F11" s="9" t="n">
        <x:v>4.32812341310793</x:v>
      </x:c>
      <x:c r="G11" s="9" t="n">
        <x:v>0.4703677517169534</x:v>
      </x:c>
      <x:c r="H11" s="9" t="n">
        <x:v>9.20157344398985</x:v>
      </x:c>
      <x:c r="I11" s="10" t="n">
        <x:v>36</x:v>
      </x:c>
      <x:c r="J11" s="9" t="n">
        <x:v>3.374173397596115</x:v>
      </x:c>
      <x:c r="K11" s="9" t="n">
        <x:v>5.282073428619745</x:v>
      </x:c>
      <x:c r="L11" s="11" t="n">
        <x:v>5.466339487958663e-11</x:v>
      </x:c>
      <x:c r="M11" s="11" t="n">
        <x:v>9.292777129529727e-10</x:v>
      </x:c>
    </x:row>
    <x:row r="12" ht="23" customHeight="1">
      <x:c r="A12" s="2" t="str">
        <x:v>TBU9</x:v>
      </x:c>
      <x:c r="B12" s="2" t="str">
        <x:v>DGC分层差异</x:v>
      </x:c>
      <x:c r="C12" s="2" t="str">
        <x:v>Response timing RT</x:v>
      </x:c>
      <x:c r="D12" s="19" t="n">
        <x:v>0.4</x:v>
      </x:c>
      <x:c r="E12" s="2"/>
      <x:c r="F12" s="9" t="n">
        <x:v>4.438991485279022</x:v>
      </x:c>
      <x:c r="G12" s="9" t="n">
        <x:v>0.3809172530127569</x:v>
      </x:c>
      <x:c r="H12" s="9" t="n">
        <x:v>11.65342722118801</x:v>
      </x:c>
      <x:c r="I12" s="10" t="n">
        <x:v>36</x:v>
      </x:c>
      <x:c r="J12" s="9" t="n">
        <x:v>3.6664554895738974</x:v>
      </x:c>
      <x:c r="K12" s="9" t="n">
        <x:v>5.211527480984147</x:v>
      </x:c>
      <x:c r="L12" s="11" t="n">
        <x:v>8.948972594676065e-14</x:v>
      </x:c>
      <x:c r="M12" s="11" t="n">
        <x:v>1.6108150670416917e-12</x:v>
      </x:c>
    </x:row>
    <x:row r="13" ht="23" customHeight="1">
      <x:c r="A13" s="2" t="str">
        <x:v>TBU9</x:v>
      </x:c>
      <x:c r="B13" s="2" t="str">
        <x:v>DGC分层差异</x:v>
      </x:c>
      <x:c r="C13" s="2" t="str">
        <x:v>Targeting capacity TC</x:v>
      </x:c>
      <x:c r="D13" s="19" t="n">
        <x:v>0</x:v>
      </x:c>
      <x:c r="E13" s="2"/>
      <x:c r="F13" s="9" t="n">
        <x:v>-1.5376984126984143</x:v>
      </x:c>
      <x:c r="G13" s="9" t="n">
        <x:v>0.5145357616867754</x:v>
      </x:c>
      <x:c r="H13" s="9" t="n">
        <x:v>-2.988516109468191</x:v>
      </x:c>
      <x:c r="I13" s="10" t="n">
        <x:v>36</x:v>
      </x:c>
      <x:c r="J13" s="9" t="n">
        <x:v>-2.58122530426527</x:v>
      </x:c>
      <x:c r="K13" s="9" t="n">
        <x:v>-0.4941715211315585</x:v>
      </x:c>
      <x:c r="L13" s="11" t="n">
        <x:v>0.005025816234301265</x:v>
      </x:c>
      <x:c r="M13" s="11" t="n">
        <x:v>0.03015489740580759</x:v>
      </x:c>
    </x:row>
    <x:row r="14" ht="23" customHeight="1">
      <x:c r="A14" s="2" t="str">
        <x:v>TBU9</x:v>
      </x:c>
      <x:c r="B14" s="2" t="str">
        <x:v>DGC分层差异</x:v>
      </x:c>
      <x:c r="C14" s="2" t="str">
        <x:v>Targeting capacity TC</x:v>
      </x:c>
      <x:c r="D14" s="19" t="n">
        <x:v>0.2</x:v>
      </x:c>
      <x:c r="E14" s="2"/>
      <x:c r="F14" s="9" t="n">
        <x:v>-1.4806403940820854</x:v>
      </x:c>
      <x:c r="G14" s="9" t="n">
        <x:v>0.32666675327736455</x:v>
      </x:c>
      <x:c r="H14" s="9" t="n">
        <x:v>-4.532571433202786</x:v>
      </x:c>
      <x:c r="I14" s="10" t="n">
        <x:v>36</x:v>
      </x:c>
      <x:c r="J14" s="9" t="n">
        <x:v>-2.1431512767236693</x:v>
      </x:c>
      <x:c r="K14" s="9" t="n">
        <x:v>-0.8181295114405015</x:v>
      </x:c>
      <x:c r="L14" s="11" t="n">
        <x:v>0.00006206931700350316</x:v>
      </x:c>
      <x:c r="M14" s="11" t="n">
        <x:v>0.0005586238530315285</x:v>
      </x:c>
    </x:row>
    <x:row r="15" ht="23" customHeight="1">
      <x:c r="A15" s="2" t="str">
        <x:v>TBU9</x:v>
      </x:c>
      <x:c r="B15" s="2" t="str">
        <x:v>DGC分层差异</x:v>
      </x:c>
      <x:c r="C15" s="2" t="str">
        <x:v>Targeting capacity TC</x:v>
      </x:c>
      <x:c r="D15" s="19" t="n">
        <x:v>0.4</x:v>
      </x:c>
      <x:c r="E15" s="2"/>
      <x:c r="F15" s="9" t="n">
        <x:v>-0.9533858154575616</x:v>
      </x:c>
      <x:c r="G15" s="9" t="n">
        <x:v>0.29971898701862826</x:v>
      </x:c>
      <x:c r="H15" s="9" t="n">
        <x:v>-3.180932329116361</x:v>
      </x:c>
      <x:c r="I15" s="10" t="n">
        <x:v>36</x:v>
      </x:c>
      <x:c r="J15" s="9" t="n">
        <x:v>-1.561244095009979</x:v>
      </x:c>
      <x:c r="K15" s="9" t="n">
        <x:v>-0.3455275359051442</x:v>
      </x:c>
      <x:c r="L15" s="11" t="n">
        <x:v>0.0030181311170142354</x:v>
      </x:c>
      <x:c r="M15" s="11" t="n">
        <x:v>0.021126917819099648</x:v>
      </x:c>
    </x:row>
    <x:row r="16" ht="23" customHeight="1">
      <x:c r="A16" s="2" t="str">
        <x:v>PRUD3</x:v>
      </x:c>
      <x:c r="B16" s="2" t="str">
        <x:v>DGC分层差异</x:v>
      </x:c>
      <x:c r="C16" s="2" t="str">
        <x:v>Government credibility GC</x:v>
      </x:c>
      <x:c r="D16" s="19" t="n">
        <x:v>0</x:v>
      </x:c>
      <x:c r="E16" s="2"/>
      <x:c r="F16" s="9" t="n">
        <x:v>-0.928661616161615</x:v>
      </x:c>
      <x:c r="G16" s="9" t="n">
        <x:v>0.39732016845776164</x:v>
      </x:c>
      <x:c r="H16" s="9" t="n">
        <x:v>-2.3373130535162834</x:v>
      </x:c>
      <x:c r="I16" s="10" t="n">
        <x:v>36</x:v>
      </x:c>
      <x:c r="J16" s="9" t="n">
        <x:v>-1.7344642662793432</x:v>
      </x:c>
      <x:c r="K16" s="9" t="n">
        <x:v>-0.1228589660438868</x:v>
      </x:c>
      <x:c r="L16" s="11" t="n">
        <x:v>0.025101277042294326</x:v>
      </x:c>
      <x:c r="M16" s="11" t="n">
        <x:v>0.12550638521147162</x:v>
      </x:c>
    </x:row>
    <x:row r="17" ht="23" customHeight="1">
      <x:c r="A17" s="2" t="str">
        <x:v>PRUD3</x:v>
      </x:c>
      <x:c r="B17" s="2" t="str">
        <x:v>DGC分层差异</x:v>
      </x:c>
      <x:c r="C17" s="2" t="str">
        <x:v>Government credibility GC</x:v>
      </x:c>
      <x:c r="D17" s="19" t="n">
        <x:v>0.2</x:v>
      </x:c>
      <x:c r="E17" s="2"/>
      <x:c r="F17" s="9" t="n">
        <x:v>-1.3679146153410873</x:v>
      </x:c>
      <x:c r="G17" s="9" t="n">
        <x:v>0.19184777365161457</x:v>
      </x:c>
      <x:c r="H17" s="9" t="n">
        <x:v>-7.130208442372378</x:v>
      </x:c>
      <x:c r="I17" s="10" t="n">
        <x:v>36</x:v>
      </x:c>
      <x:c r="J17" s="9" t="n">
        <x:v>-1.7569999341853821</x:v>
      </x:c>
      <x:c r="K17" s="9" t="n">
        <x:v>-0.9788292964967924</x:v>
      </x:c>
      <x:c r="L17" s="11" t="n">
        <x:v>2.2170006209684605e-8</x:v>
      </x:c>
      <x:c r="M17" s="11" t="n">
        <x:v>3.1038008693558447e-7</x:v>
      </x:c>
    </x:row>
    <x:row r="18" ht="23" customHeight="1">
      <x:c r="A18" s="2" t="str">
        <x:v>PRUD3</x:v>
      </x:c>
      <x:c r="B18" s="2" t="str">
        <x:v>DGC分层差异</x:v>
      </x:c>
      <x:c r="C18" s="2" t="str">
        <x:v>Government credibility GC</x:v>
      </x:c>
      <x:c r="D18" s="19" t="n">
        <x:v>0.4</x:v>
      </x:c>
      <x:c r="E18" s="2"/>
      <x:c r="F18" s="9" t="n">
        <x:v>-1.5727515245138584</x:v>
      </x:c>
      <x:c r="G18" s="9" t="n">
        <x:v>0.1968089605358926</x:v>
      </x:c>
      <x:c r="H18" s="9" t="n">
        <x:v>-7.991259748699456</x:v>
      </x:c>
      <x:c r="I18" s="10" t="n">
        <x:v>36</x:v>
      </x:c>
      <x:c r="J18" s="9" t="n">
        <x:v>-1.9718985967159004</x:v>
      </x:c>
      <x:c r="K18" s="9" t="n">
        <x:v>-1.1736044523118163</x:v>
      </x:c>
      <x:c r="L18" s="11" t="n">
        <x:v>1.7218739117630778e-9</x:v>
      </x:c>
      <x:c r="M18" s="11" t="n">
        <x:v>2.5828108676446166e-8</x:v>
      </x:c>
    </x:row>
    <x:row r="19" ht="23" customHeight="1">
      <x:c r="A19" s="2" t="str">
        <x:v>PRUD3</x:v>
      </x:c>
      <x:c r="B19" s="2" t="str">
        <x:v>DGC分层差异</x:v>
      </x:c>
      <x:c r="C19" s="2" t="str">
        <x:v>Response timing RT</x:v>
      </x:c>
      <x:c r="D19" s="19" t="n">
        <x:v>0</x:v>
      </x:c>
      <x:c r="E19" s="2"/>
      <x:c r="F19" s="9" t="n">
        <x:v>0.031836219336221994</x:v>
      </x:c>
      <x:c r="G19" s="9" t="n">
        <x:v>0.2151657286346219</x:v>
      </x:c>
      <x:c r="H19" s="9" t="n">
        <x:v>0.14796138557123026</x:v>
      </x:c>
      <x:c r="I19" s="10" t="n">
        <x:v>36</x:v>
      </x:c>
      <x:c r="J19" s="9" t="n">
        <x:v>-0.4045401041242422</x:v>
      </x:c>
      <x:c r="K19" s="9" t="n">
        <x:v>0.46821254279668617</x:v>
      </x:c>
      <x:c r="L19" s="11" t="n">
        <x:v>0.883198885477007</x:v>
      </x:c>
      <x:c r="M19" s="11" t="n">
        <x:v>0.883198885477007</x:v>
      </x:c>
    </x:row>
    <x:row r="20" ht="23" customHeight="1">
      <x:c r="A20" s="2" t="str">
        <x:v>PRUD3</x:v>
      </x:c>
      <x:c r="B20" s="2" t="str">
        <x:v>DGC分层差异</x:v>
      </x:c>
      <x:c r="C20" s="2" t="str">
        <x:v>Response timing RT</x:v>
      </x:c>
      <x:c r="D20" s="19" t="n">
        <x:v>0.2</x:v>
      </x:c>
      <x:c r="E20" s="2"/>
      <x:c r="F20" s="9" t="n">
        <x:v>0.29770658263305017</x:v>
      </x:c>
      <x:c r="G20" s="9" t="n">
        <x:v>0.22038198123244948</x:v>
      </x:c>
      <x:c r="H20" s="9" t="n">
        <x:v>1.3508662594290866</x:v>
      </x:c>
      <x:c r="I20" s="10" t="n">
        <x:v>36</x:v>
      </x:c>
      <x:c r="J20" s="9" t="n">
        <x:v>-0.14924879142866682</x:v>
      </x:c>
      <x:c r="K20" s="9" t="n">
        <x:v>0.7446619566947672</x:v>
      </x:c>
      <x:c r="L20" s="11" t="n">
        <x:v>0.1851683637983932</x:v>
      </x:c>
      <x:c r="M20" s="11" t="n">
        <x:v>0.6034044901219394</x:v>
      </x:c>
    </x:row>
    <x:row r="21" ht="23" customHeight="1">
      <x:c r="A21" s="2" t="str">
        <x:v>PRUD3</x:v>
      </x:c>
      <x:c r="B21" s="2" t="str">
        <x:v>DGC分层差异</x:v>
      </x:c>
      <x:c r="C21" s="2" t="str">
        <x:v>Response timing RT</x:v>
      </x:c>
      <x:c r="D21" s="19" t="n">
        <x:v>0.4</x:v>
      </x:c>
      <x:c r="E21" s="2"/>
      <x:c r="F21" s="9" t="n">
        <x:v>0.16558917133779666</x:v>
      </x:c>
      <x:c r="G21" s="9" t="n">
        <x:v>0.11992501576250088</x:v>
      </x:c>
      <x:c r="H21" s="9" t="n">
        <x:v>1.3807725626297096</x:v>
      </x:c>
      <x:c r="I21" s="10" t="n">
        <x:v>36</x:v>
      </x:c>
      <x:c r="J21" s="9" t="n">
        <x:v>-0.07763003369761731</x:v>
      </x:c>
      <x:c r="K21" s="9" t="n">
        <x:v>0.40880837637321066</x:v>
      </x:c>
      <x:c r="L21" s="11" t="n">
        <x:v>0.17586162277406917</x:v>
      </x:c>
      <x:c r="M21" s="11" t="n">
        <x:v>0.6034044901219394</x:v>
      </x:c>
    </x:row>
    <x:row r="22" ht="23" customHeight="1">
      <x:c r="A22" s="2" t="str">
        <x:v>PRUD3</x:v>
      </x:c>
      <x:c r="B22" s="2" t="str">
        <x:v>DGC分层差异</x:v>
      </x:c>
      <x:c r="C22" s="2" t="str">
        <x:v>Targeting capacity TC</x:v>
      </x:c>
      <x:c r="D22" s="19" t="n">
        <x:v>0</x:v>
      </x:c>
      <x:c r="E22" s="2"/>
      <x:c r="F22" s="9" t="n">
        <x:v>-1.0439754689754706</x:v>
      </x:c>
      <x:c r="G22" s="9" t="n">
        <x:v>0.2757100553775921</x:v>
      </x:c>
      <x:c r="H22" s="9" t="n">
        <x:v>-3.786497621734249</x:v>
      </x:c>
      <x:c r="I22" s="10" t="n">
        <x:v>36</x:v>
      </x:c>
      <x:c r="J22" s="9" t="n">
        <x:v>-1.6031413782967527</x:v>
      </x:c>
      <x:c r="K22" s="9" t="n">
        <x:v>-0.48480955965418837</x:v>
      </x:c>
      <x:c r="L22" s="11" t="n">
        <x:v>0.0005593499944506045</x:v>
      </x:c>
      <x:c r="M22" s="11" t="n">
        <x:v>0.004474799955604836</x:v>
      </x:c>
    </x:row>
    <x:row r="23" ht="23" customHeight="1">
      <x:c r="A23" s="2" t="str">
        <x:v>PRUD3</x:v>
      </x:c>
      <x:c r="B23" s="2" t="str">
        <x:v>DGC分层差异</x:v>
      </x:c>
      <x:c r="C23" s="2" t="str">
        <x:v>Targeting capacity TC</x:v>
      </x:c>
      <x:c r="D23" s="19" t="n">
        <x:v>0.2</x:v>
      </x:c>
      <x:c r="E23" s="2"/>
      <x:c r="F23" s="9" t="n">
        <x:v>-0.8636612389063362</x:v>
      </x:c>
      <x:c r="G23" s="9" t="n">
        <x:v>0.15527004636844963</x:v>
      </x:c>
      <x:c r="H23" s="9" t="n">
        <x:v>-5.562317131386066</x:v>
      </x:c>
      <x:c r="I23" s="10" t="n">
        <x:v>36</x:v>
      </x:c>
      <x:c r="J23" s="9" t="n">
        <x:v>-1.178563488478145</x:v>
      </x:c>
      <x:c r="K23" s="9" t="n">
        <x:v>-0.5487589893345272</x:v>
      </x:c>
      <x:c r="L23" s="11" t="n">
        <x:v>0.0000026735181229125096</x:v>
      </x:c>
      <x:c r="M23" s="11" t="n">
        <x:v>0.000029408699352037605</x:v>
      </x:c>
    </x:row>
    <x:row r="24" ht="23" customHeight="1">
      <x:c r="A24" s="2" t="str">
        <x:v>PRUD3</x:v>
      </x:c>
      <x:c r="B24" s="2" t="str">
        <x:v>DGC分层差异</x:v>
      </x:c>
      <x:c r="C24" s="2" t="str">
        <x:v>Targeting capacity TC</x:v>
      </x:c>
      <x:c r="D24" s="19" t="n">
        <x:v>0.4</x:v>
      </x:c>
      <x:c r="E24" s="2"/>
      <x:c r="F24" s="9" t="n">
        <x:v>-0.8368232716443972</x:v>
      </x:c>
      <x:c r="G24" s="9" t="n">
        <x:v>0.1452177436597737</x:v>
      </x:c>
      <x:c r="H24" s="9" t="n">
        <x:v>-5.762541481190931</x:v>
      </x:c>
      <x:c r="I24" s="10" t="n">
        <x:v>36</x:v>
      </x:c>
      <x:c r="J24" s="9" t="n">
        <x:v>-1.131338506396701</x:v>
      </x:c>
      <x:c r="K24" s="9" t="n">
        <x:v>-0.5423080368920934</x:v>
      </x:c>
      <x:c r="L24" s="11" t="n">
        <x:v>0.00000144325326792669</x:v>
      </x:c>
      <x:c r="M24" s="11" t="n">
        <x:v>0.00001731903921512028</x:v>
      </x:c>
    </x:row>
    <x:row r="25" ht="23" customHeight="1">
      <x:c r="A25" s="2" t="str">
        <x:v>TBU9</x:v>
      </x:c>
      <x:c r="B25" s="2" t="str">
        <x:v>模型差异之差</x:v>
      </x:c>
      <x:c r="C25" s="2" t="str">
        <x:v>Government credibility GC</x:v>
      </x:c>
      <x:c r="D25" s="19"/>
      <x:c r="E25" s="2"/>
      <x:c r="F25" s="9" t="n">
        <x:v>-1.7458851542722533</x:v>
      </x:c>
      <x:c r="G25" s="9" t="n">
        <x:v>0.8436859975361768</x:v>
      </x:c>
      <x:c r="H25" s="9" t="n">
        <x:v>-2.069354190268389</x:v>
      </x:c>
      <x:c r="I25" s="10" t="n">
        <x:v>36</x:v>
      </x:c>
      <x:c r="J25" s="9" t="n">
        <x:v>-3.4569596645865803</x:v>
      </x:c>
      <x:c r="K25" s="9" t="n">
        <x:v>-0.034810643957926324</x:v>
      </x:c>
      <x:c r="L25" s="11" t="n">
        <x:v>0.04574888673761002</x:v>
      </x:c>
      <x:c r="M25" s="11" t="n">
        <x:v>0.2744933204256601</x:v>
      </x:c>
    </x:row>
    <x:row r="26" ht="23" customHeight="1">
      <x:c r="A26" s="2" t="str">
        <x:v>TBU9</x:v>
      </x:c>
      <x:c r="B26" s="2" t="str">
        <x:v>模型差异之差</x:v>
      </x:c>
      <x:c r="C26" s="2" t="str">
        <x:v>Response timing RT</x:v>
      </x:c>
      <x:c r="D26" s="19"/>
      <x:c r="E26" s="2"/>
      <x:c r="F26" s="9" t="n">
        <x:v>0.016174024961560396</x:v>
      </x:c>
      <x:c r="G26" s="9" t="n">
        <x:v>0.6337277998339897</x:v>
      </x:c>
      <x:c r="H26" s="9" t="n">
        <x:v>0.02552203795667054</x:v>
      </x:c>
      <x:c r="I26" s="10" t="n">
        <x:v>36</x:v>
      </x:c>
      <x:c r="J26" s="9" t="n">
        <x:v>-1.269085524136294</x:v>
      </x:c>
      <x:c r="K26" s="9" t="n">
        <x:v>1.3014335740594145</x:v>
      </x:c>
      <x:c r="L26" s="11" t="n">
        <x:v>0.9797795223648241</x:v>
      </x:c>
      <x:c r="M26" s="11" t="n">
        <x:v>1</x:v>
      </x:c>
    </x:row>
    <x:row r="27" ht="23" customHeight="1">
      <x:c r="A27" s="2" t="str">
        <x:v>TBU9</x:v>
      </x:c>
      <x:c r="B27" s="2" t="str">
        <x:v>模型差异之差</x:v>
      </x:c>
      <x:c r="C27" s="2" t="str">
        <x:v>Targeting capacity TC</x:v>
      </x:c>
      <x:c r="D27" s="19"/>
      <x:c r="E27" s="2"/>
      <x:c r="F27" s="9" t="n">
        <x:v>0.5843125972408527</x:v>
      </x:c>
      <x:c r="G27" s="9" t="n">
        <x:v>0.5954649622220121</x:v>
      </x:c>
      <x:c r="H27" s="9" t="n">
        <x:v>0.9812711650748625</x:v>
      </x:c>
      <x:c r="I27" s="10" t="n">
        <x:v>36</x:v>
      </x:c>
      <x:c r="J27" s="9" t="n">
        <x:v>-0.6233463204356604</x:v>
      </x:c>
      <x:c r="K27" s="9" t="n">
        <x:v>1.7919715149173658</x:v>
      </x:c>
      <x:c r="L27" s="11" t="n">
        <x:v>0.33300798061863945</x:v>
      </x:c>
      <x:c r="M27" s="11" t="n">
        <x:v>1</x:v>
      </x:c>
    </x:row>
    <x:row r="28" ht="23" customHeight="1">
      <x:c r="A28" s="2" t="str">
        <x:v>PRUD3</x:v>
      </x:c>
      <x:c r="B28" s="2" t="str">
        <x:v>模型差异之差</x:v>
      </x:c>
      <x:c r="C28" s="2" t="str">
        <x:v>Government credibility GC</x:v>
      </x:c>
      <x:c r="D28" s="19"/>
      <x:c r="E28" s="2"/>
      <x:c r="F28" s="9" t="n">
        <x:v>-0.6440899083522433</x:v>
      </x:c>
      <x:c r="G28" s="9" t="n">
        <x:v>0.44339269638834033</x:v>
      </x:c>
      <x:c r="H28" s="9" t="n">
        <x:v>-1.4526398688987983</x:v>
      </x:c>
      <x:c r="I28" s="10" t="n">
        <x:v>36</x:v>
      </x:c>
      <x:c r="J28" s="9" t="n">
        <x:v>-1.5433319759759825</x:v>
      </x:c>
      <x:c r="K28" s="9" t="n">
        <x:v>0.2551521592714958</x:v>
      </x:c>
      <x:c r="L28" s="11" t="n">
        <x:v>0.15498500555091704</x:v>
      </x:c>
      <x:c r="M28" s="11" t="n">
        <x:v>0.7749250277545852</x:v>
      </x:c>
    </x:row>
    <x:row r="29" ht="23" customHeight="1">
      <x:c r="A29" s="2" t="str">
        <x:v>PRUD3</x:v>
      </x:c>
      <x:c r="B29" s="2" t="str">
        <x:v>模型差异之差</x:v>
      </x:c>
      <x:c r="C29" s="2" t="str">
        <x:v>Response timing RT</x:v>
      </x:c>
      <x:c r="D29" s="19"/>
      <x:c r="E29" s="2"/>
      <x:c r="F29" s="9" t="n">
        <x:v>0.13375295200157467</x:v>
      </x:c>
      <x:c r="G29" s="9" t="n">
        <x:v>0.24632965754148223</x:v>
      </x:c>
      <x:c r="H29" s="9" t="n">
        <x:v>0.5429835503223988</x:v>
      </x:c>
      <x:c r="I29" s="10" t="n">
        <x:v>36</x:v>
      </x:c>
      <x:c r="J29" s="9" t="n">
        <x:v>-0.36582674872187415</x:v>
      </x:c>
      <x:c r="K29" s="9" t="n">
        <x:v>0.6333326527250235</x:v>
      </x:c>
      <x:c r="L29" s="11" t="n">
        <x:v>0.5904874490787901</x:v>
      </x:c>
      <x:c r="M29" s="11" t="n">
        <x:v>1</x:v>
      </x:c>
    </x:row>
    <x:row r="30" ht="23" customHeight="1">
      <x:c r="A30" s="2" t="str">
        <x:v>PRUD3</x:v>
      </x:c>
      <x:c r="B30" s="2" t="str">
        <x:v>模型差异之差</x:v>
      </x:c>
      <x:c r="C30" s="2" t="str">
        <x:v>Targeting capacity TC</x:v>
      </x:c>
      <x:c r="D30" s="19"/>
      <x:c r="E30" s="2"/>
      <x:c r="F30" s="9" t="n">
        <x:v>0.2071521973310734</x:v>
      </x:c>
      <x:c r="G30" s="9" t="n">
        <x:v>0.3116155126272607</x:v>
      </x:c>
      <x:c r="H30" s="9" t="n">
        <x:v>0.6647685655458968</x:v>
      </x:c>
      <x:c r="I30" s="10" t="n">
        <x:v>36</x:v>
      </x:c>
      <x:c r="J30" s="9" t="n">
        <x:v>-0.4248333544407218</x:v>
      </x:c>
      <x:c r="K30" s="9" t="n">
        <x:v>0.8391377491028685</x:v>
      </x:c>
      <x:c r="L30" s="11" t="n">
        <x:v>0.5104348121452562</x:v>
      </x:c>
      <x:c r="M30" s="11" t="n">
        <x:v>1</x:v>
      </x:c>
    </x:row>
    <x:row r="31" ht="23" customHeight="1">
      <x:c r="A31" s="2" t="str">
        <x:v>TBU9</x:v>
      </x:c>
      <x:c r="B31" s="2" t="str">
        <x:v>匹配精确差异之差</x:v>
      </x:c>
      <x:c r="C31" s="2" t="str">
        <x:v>Government credibility GC</x:v>
      </x:c>
      <x:c r="D31" s="19"/>
      <x:c r="E31" s="2" t="n">
        <x:v>6</x:v>
      </x:c>
      <x:c r="F31" s="9" t="n">
        <x:v>-1.745885154272251</x:v>
      </x:c>
      <x:c r="G31" s="9"/>
      <x:c r="H31" s="9" t="n">
        <x:v>-2.978503199707767</x:v>
      </x:c>
      <x:c r="I31" s="10" t="n">
        <x:v>5</x:v>
      </x:c>
      <x:c r="J31" s="9" t="n">
        <x:v>-3.2526623385706204</x:v>
      </x:c>
      <x:c r="K31" s="9" t="n">
        <x:v>-0.23910796997388184</x:v>
      </x:c>
      <x:c r="L31" s="11" t="n">
        <x:v>0.03125</x:v>
      </x:c>
      <x:c r="M31" s="11" t="n">
        <x:v>0.1875</x:v>
      </x:c>
    </x:row>
    <x:row r="32" ht="23" customHeight="1">
      <x:c r="A32" s="2" t="str">
        <x:v>TBU9</x:v>
      </x:c>
      <x:c r="B32" s="2" t="str">
        <x:v>匹配精确差异之差</x:v>
      </x:c>
      <x:c r="C32" s="2" t="str">
        <x:v>Response timing RT</x:v>
      </x:c>
      <x:c r="D32" s="19"/>
      <x:c r="E32" s="2" t="n">
        <x:v>6</x:v>
      </x:c>
      <x:c r="F32" s="9" t="n">
        <x:v>0.01617402496156665</x:v>
      </x:c>
      <x:c r="G32" s="9"/>
      <x:c r="H32" s="9" t="n">
        <x:v>0.03819204883587084</x:v>
      </x:c>
      <x:c r="I32" s="10" t="n">
        <x:v>5</x:v>
      </x:c>
      <x:c r="J32" s="9" t="n">
        <x:v>-1.0724466707755478</x:v>
      </x:c>
      <x:c r="K32" s="9" t="n">
        <x:v>1.1047947206986812</x:v>
      </x:c>
      <x:c r="L32" s="11" t="n">
        <x:v>0.96875</x:v>
      </x:c>
      <x:c r="M32" s="11" t="n">
        <x:v>1</x:v>
      </x:c>
    </x:row>
    <x:row r="33" ht="23" customHeight="1">
      <x:c r="A33" s="2" t="str">
        <x:v>TBU9</x:v>
      </x:c>
      <x:c r="B33" s="2" t="str">
        <x:v>匹配精确差异之差</x:v>
      </x:c>
      <x:c r="C33" s="2" t="str">
        <x:v>Targeting capacity TC</x:v>
      </x:c>
      <x:c r="D33" s="19"/>
      <x:c r="E33" s="2" t="n">
        <x:v>9</x:v>
      </x:c>
      <x:c r="F33" s="9" t="n">
        <x:v>0.5843125972408508</x:v>
      </x:c>
      <x:c r="G33" s="9"/>
      <x:c r="H33" s="9" t="n">
        <x:v>1.6780128632947924</x:v>
      </x:c>
      <x:c r="I33" s="10" t="n">
        <x:v>8</x:v>
      </x:c>
      <x:c r="J33" s="9" t="n">
        <x:v>-0.2186772337450711</x:v>
      </x:c>
      <x:c r="K33" s="9" t="n">
        <x:v>1.3873024282267727</x:v>
      </x:c>
      <x:c r="L33" s="11" t="n">
        <x:v>0.13671875</x:v>
      </x:c>
      <x:c r="M33" s="11" t="n">
        <x:v>0.546875</x:v>
      </x:c>
    </x:row>
    <x:row r="34" ht="23" customHeight="1">
      <x:c r="A34" s="2" t="str">
        <x:v>PRUD3</x:v>
      </x:c>
      <x:c r="B34" s="2" t="str">
        <x:v>匹配精确差异之差</x:v>
      </x:c>
      <x:c r="C34" s="2" t="str">
        <x:v>Government credibility GC</x:v>
      </x:c>
      <x:c r="D34" s="19"/>
      <x:c r="E34" s="2" t="n">
        <x:v>6</x:v>
      </x:c>
      <x:c r="F34" s="9" t="n">
        <x:v>-0.6440899083522423</x:v>
      </x:c>
      <x:c r="G34" s="9"/>
      <x:c r="H34" s="9" t="n">
        <x:v>-2.3512501640595707</x:v>
      </x:c>
      <x:c r="I34" s="10" t="n">
        <x:v>5</x:v>
      </x:c>
      <x:c r="J34" s="9" t="n">
        <x:v>-1.3482624563163834</x:v>
      </x:c>
      <x:c r="K34" s="9" t="n">
        <x:v>0.06008263961189875</x:v>
      </x:c>
      <x:c r="L34" s="11" t="n">
        <x:v>0.0625</x:v>
      </x:c>
      <x:c r="M34" s="11" t="n">
        <x:v>0.3125</x:v>
      </x:c>
    </x:row>
    <x:row r="35" ht="23" customHeight="1">
      <x:c r="A35" s="2" t="str">
        <x:v>PRUD3</x:v>
      </x:c>
      <x:c r="B35" s="2" t="str">
        <x:v>匹配精确差异之差</x:v>
      </x:c>
      <x:c r="C35" s="2" t="str">
        <x:v>Response timing RT</x:v>
      </x:c>
      <x:c r="D35" s="19"/>
      <x:c r="E35" s="2" t="n">
        <x:v>6</x:v>
      </x:c>
      <x:c r="F35" s="9" t="n">
        <x:v>0.1337529520015779</x:v>
      </x:c>
      <x:c r="G35" s="9"/>
      <x:c r="H35" s="9" t="n">
        <x:v>0.8001585578613047</x:v>
      </x:c>
      <x:c r="I35" s="10" t="n">
        <x:v>5</x:v>
      </x:c>
      <x:c r="J35" s="9" t="n">
        <x:v>-0.2959405199984909</x:v>
      </x:c>
      <x:c r="K35" s="9" t="n">
        <x:v>0.5634464240016467</x:v>
      </x:c>
      <x:c r="L35" s="11" t="n">
        <x:v>0.5</x:v>
      </x:c>
      <x:c r="M35" s="11" t="n">
        <x:v>1</x:v>
      </x:c>
    </x:row>
    <x:row r="36" ht="23" customHeight="1">
      <x:c r="A36" s="2" t="str">
        <x:v>PRUD3</x:v>
      </x:c>
      <x:c r="B36" s="2" t="str">
        <x:v>匹配精确差异之差</x:v>
      </x:c>
      <x:c r="C36" s="2" t="str">
        <x:v>Targeting capacity TC</x:v>
      </x:c>
      <x:c r="D36" s="19"/>
      <x:c r="E36" s="2" t="n">
        <x:v>9</x:v>
      </x:c>
      <x:c r="F36" s="9" t="n">
        <x:v>0.2071521973310726</x:v>
      </x:c>
      <x:c r="G36" s="9"/>
      <x:c r="H36" s="9" t="n">
        <x:v>1.1928428393670407</x:v>
      </x:c>
      <x:c r="I36" s="10" t="n">
        <x:v>8</x:v>
      </x:c>
      <x:c r="J36" s="9" t="n">
        <x:v>-0.1933144927448488</x:v>
      </x:c>
      <x:c r="K36" s="9" t="n">
        <x:v>0.607618887406994</x:v>
      </x:c>
      <x:c r="L36" s="11" t="n">
        <x:v>0.26171875</x:v>
      </x:c>
      <x:c r="M36" s="11" t="n">
        <x:v>0.78515625</x:v>
      </x:c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2" hidden="0" customWidth="1"/>
    <x:col min="4" max="4" width="18" hidden="0" customWidth="1"/>
    <x:col min="5" max="5" width="16" hidden="0" customWidth="1"/>
    <x:col min="6" max="6" width="13" hidden="0" customWidth="1"/>
    <x:col min="7" max="7" width="18" hidden="0" customWidth="1"/>
    <x:col min="8" max="8" width="16" hidden="0" customWidth="1"/>
    <x:col min="9" max="9" width="16" hidden="0" customWidth="1"/>
    <x:col min="10" max="10" width="17" hidden="0" customWidth="1"/>
    <x:col min="11" max="11" width="19" hidden="0" customWidth="1"/>
    <x:col min="12" max="12" width="19" hidden="0" customWidth="1"/>
    <x:col min="13" max="13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完整方法与规格记录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98项探索检验保留全部结果。局部Holm家族见方法；全局BH和Holm针对98项。仅端点不是主分析。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8" t="str">
        <x:v>结局</x:v>
      </x:c>
      <x:c r="B6" s="8" t="str">
        <x:v>方法或规格</x:v>
      </x:c>
      <x:c r="C6" s="8" t="str">
        <x:v>因素</x:v>
      </x:c>
      <x:c r="D6" s="8" t="str">
        <x:v>统计量类型</x:v>
      </x:c>
      <x:c r="E6" s="8" t="str">
        <x:v>统计量</x:v>
      </x:c>
      <x:c r="F6" s="8" t="str">
        <x:v>分子df</x:v>
      </x:c>
      <x:c r="G6" s="8" t="str">
        <x:v>分母或t的df</x:v>
      </x:c>
      <x:c r="H6" s="8" t="str">
        <x:v>匹配背景数</x:v>
      </x:c>
      <x:c r="I6" s="8" t="str">
        <x:v>重抽样数</x:v>
      </x:c>
      <x:c r="J6" s="8" t="str">
        <x:v>原始p</x:v>
      </x:c>
      <x:c r="K6" s="8" t="str">
        <x:v>方法族Holm p</x:v>
      </x:c>
      <x:c r="L6" s="8" t="str">
        <x:v>98项BH q</x:v>
      </x:c>
      <x:c r="M6" s="8" t="str">
        <x:v>98项Holm p</x:v>
      </x:c>
    </x:row>
    <x:row r="7" ht="23" customHeight="1">
      <x:c r="A7" s="2" t="str">
        <x:v>TBU9</x:v>
      </x:c>
      <x:c r="B7" s="2" t="str">
        <x:v>primary</x:v>
      </x:c>
      <x:c r="C7" s="2" t="str">
        <x:v>Government credibility GC</x:v>
      </x:c>
      <x:c r="D7" s="2" t="str">
        <x:v>F</x:v>
      </x:c>
      <x:c r="E7" s="9" t="n">
        <x:v>23.523917959461983</x:v>
      </x:c>
      <x:c r="F7" s="10" t="n">
        <x:v>2</x:v>
      </x:c>
      <x:c r="G7" s="10" t="n">
        <x:v>36</x:v>
      </x:c>
      <x:c r="H7" s="10"/>
      <x:c r="I7" s="10"/>
      <x:c r="J7" s="11" t="n">
        <x:v>2.921024866701316e-7</x:v>
      </x:c>
      <x:c r="K7" s="11" t="n">
        <x:v>0.000001460512433350658</x:v>
      </x:c>
      <x:c r="L7" s="11" t="n">
        <x:v>0.0000010602238405064036</x:v>
      </x:c>
      <x:c r="M7" s="11" t="n">
        <x:v>0.000021031379040249473</x:v>
      </x:c>
    </x:row>
    <x:row r="8" ht="23" customHeight="1">
      <x:c r="A8" s="2" t="str">
        <x:v>TBU9</x:v>
      </x:c>
      <x:c r="B8" s="2" t="str">
        <x:v>primary</x:v>
      </x:c>
      <x:c r="C8" s="2" t="str">
        <x:v>Response timing RT</x:v>
      </x:c>
      <x:c r="D8" s="2" t="str">
        <x:v>F</x:v>
      </x:c>
      <x:c r="E8" s="9" t="n">
        <x:v>139.74253445328077</x:v>
      </x:c>
      <x:c r="F8" s="10" t="n">
        <x:v>2</x:v>
      </x:c>
      <x:c r="G8" s="10" t="n">
        <x:v>36</x:v>
      </x:c>
      <x:c r="H8" s="10"/>
      <x:c r="I8" s="10"/>
      <x:c r="J8" s="11" t="n">
        <x:v>1.0760350879157502e-17</x:v>
      </x:c>
      <x:c r="K8" s="11" t="n">
        <x:v>8.608280703326002e-17</x:v>
      </x:c>
      <x:c r="L8" s="11" t="n">
        <x:v>1.7575239769290586e-16</x:v>
      </x:c>
      <x:c r="M8" s="11" t="n">
        <x:v>1.0007126317616477e-15</x:v>
      </x:c>
    </x:row>
    <x:row r="9" ht="23" customHeight="1">
      <x:c r="A9" s="2" t="str">
        <x:v>TBU9</x:v>
      </x:c>
      <x:c r="B9" s="2" t="str">
        <x:v>primary</x:v>
      </x:c>
      <x:c r="C9" s="2" t="str">
        <x:v>Targeting capacity TC</x:v>
      </x:c>
      <x:c r="D9" s="2" t="str">
        <x:v>F</x:v>
      </x:c>
      <x:c r="E9" s="9" t="n">
        <x:v>34.19672464705187</x:v>
      </x:c>
      <x:c r="F9" s="10" t="n">
        <x:v>1</x:v>
      </x:c>
      <x:c r="G9" s="10" t="n">
        <x:v>36</x:v>
      </x:c>
      <x:c r="H9" s="10"/>
      <x:c r="I9" s="10"/>
      <x:c r="J9" s="11" t="n">
        <x:v>0.000001110070808058472</x:v>
      </x:c>
      <x:c r="K9" s="11" t="n">
        <x:v>0.000004440283232233888</x:v>
      </x:c>
      <x:c r="L9" s="11" t="n">
        <x:v>0.0000033995918496790705</x:v>
      </x:c>
      <x:c r="M9" s="11" t="n">
        <x:v>0.00007437474413991762</x:v>
      </x:c>
    </x:row>
    <x:row r="10" ht="23" customHeight="1">
      <x:c r="A10" s="2" t="str">
        <x:v>TBU9</x:v>
      </x:c>
      <x:c r="B10" s="2" t="str">
        <x:v>primary</x:v>
      </x:c>
      <x:c r="C10" s="2" t="str">
        <x:v>Group cocooning DGC</x:v>
      </x:c>
      <x:c r="D10" s="2" t="str">
        <x:v>F</x:v>
      </x:c>
      <x:c r="E10" s="9" t="n">
        <x:v>0.04063095909251959</x:v>
      </x:c>
      <x:c r="F10" s="10" t="n">
        <x:v>2</x:v>
      </x:c>
      <x:c r="G10" s="10" t="n">
        <x:v>36</x:v>
      </x:c>
      <x:c r="H10" s="10"/>
      <x:c r="I10" s="10"/>
      <x:c r="J10" s="11" t="n">
        <x:v>0.9602273781262931</x:v>
      </x:c>
      <x:c r="K10" s="11" t="n">
        <x:v>1</x:v>
      </x:c>
      <x:c r="L10" s="11" t="n">
        <x:v>0.96875</x:v>
      </x:c>
      <x:c r="M10" s="11" t="n">
        <x:v>1</x:v>
      </x:c>
    </x:row>
    <x:row r="11" ht="23" customHeight="1">
      <x:c r="A11" s="2" t="str">
        <x:v>TBU9</x:v>
      </x:c>
      <x:c r="B11" s="2" t="str">
        <x:v>additive</x:v>
      </x:c>
      <x:c r="C11" s="2" t="str">
        <x:v>Government credibility GC</x:v>
      </x:c>
      <x:c r="D11" s="2" t="str">
        <x:v>F</x:v>
      </x:c>
      <x:c r="E11" s="9" t="n">
        <x:v>26.315974375071825</x:v>
      </x:c>
      <x:c r="F11" s="10" t="n">
        <x:v>2</x:v>
      </x:c>
      <x:c r="G11" s="10" t="n">
        <x:v>46</x:v>
      </x:c>
      <x:c r="H11" s="10"/>
      <x:c r="I11" s="10"/>
      <x:c r="J11" s="11" t="n">
        <x:v>2.4045012585188225e-8</x:v>
      </x:c>
      <x:c r="K11" s="11" t="n">
        <x:v>1.2022506292594113e-7</x:v>
      </x:c>
      <x:c r="L11" s="11" t="n">
        <x:v>9.818380138951859e-8</x:v>
      </x:c>
      <x:c r="M11" s="11" t="n">
        <x:v>0.0000018033759438891168</x:v>
      </x:c>
    </x:row>
    <x:row r="12" ht="23" customHeight="1">
      <x:c r="A12" s="2" t="str">
        <x:v>TBU9</x:v>
      </x:c>
      <x:c r="B12" s="2" t="str">
        <x:v>additive</x:v>
      </x:c>
      <x:c r="C12" s="2" t="str">
        <x:v>Response timing RT</x:v>
      </x:c>
      <x:c r="D12" s="2" t="str">
        <x:v>F</x:v>
      </x:c>
      <x:c r="E12" s="9" t="n">
        <x:v>175.7493596798188</x:v>
      </x:c>
      <x:c r="F12" s="10" t="n">
        <x:v>2</x:v>
      </x:c>
      <x:c r="G12" s="10" t="n">
        <x:v>46</x:v>
      </x:c>
      <x:c r="H12" s="10"/>
      <x:c r="I12" s="10"/>
      <x:c r="J12" s="11" t="n">
        <x:v>2.875466094720717e-22</x:v>
      </x:c>
      <x:c r="K12" s="11" t="n">
        <x:v>2.3003728757765735e-21</x:v>
      </x:c>
      <x:c r="L12" s="11" t="n">
        <x:v>1.4089783864131514e-20</x:v>
      </x:c>
      <x:c r="M12" s="11" t="n">
        <x:v>2.7892021118790955e-20</x:v>
      </x:c>
    </x:row>
    <x:row r="13" ht="23" customHeight="1">
      <x:c r="A13" s="2" t="str">
        <x:v>TBU9</x:v>
      </x:c>
      <x:c r="B13" s="2" t="str">
        <x:v>additive</x:v>
      </x:c>
      <x:c r="C13" s="2" t="str">
        <x:v>Targeting capacity TC</x:v>
      </x:c>
      <x:c r="D13" s="2" t="str">
        <x:v>F</x:v>
      </x:c>
      <x:c r="E13" s="9" t="n">
        <x:v>37.48819604508017</x:v>
      </x:c>
      <x:c r="F13" s="10" t="n">
        <x:v>1</x:v>
      </x:c>
      <x:c r="G13" s="10" t="n">
        <x:v>46</x:v>
      </x:c>
      <x:c r="H13" s="10"/>
      <x:c r="I13" s="10"/>
      <x:c r="J13" s="11" t="n">
        <x:v>1.8950713281646038e-7</x:v>
      </x:c>
      <x:c r="K13" s="11" t="n">
        <x:v>7.580285312658415e-7</x:v>
      </x:c>
      <x:c r="L13" s="11" t="n">
        <x:v>7.428679606405247e-7</x:v>
      </x:c>
      <x:c r="M13" s="11" t="n">
        <x:v>0.000014023527828418068</x:v>
      </x:c>
    </x:row>
    <x:row r="14" ht="23" customHeight="1">
      <x:c r="A14" s="2" t="str">
        <x:v>TBU9</x:v>
      </x:c>
      <x:c r="B14" s="2" t="str">
        <x:v>additive</x:v>
      </x:c>
      <x:c r="C14" s="2" t="str">
        <x:v>Group cocooning DGC</x:v>
      </x:c>
      <x:c r="D14" s="2" t="str">
        <x:v>F</x:v>
      </x:c>
      <x:c r="E14" s="9" t="n">
        <x:v>0.04862843715617053</x:v>
      </x:c>
      <x:c r="F14" s="10" t="n">
        <x:v>2</x:v>
      </x:c>
      <x:c r="G14" s="10" t="n">
        <x:v>46</x:v>
      </x:c>
      <x:c r="H14" s="10"/>
      <x:c r="I14" s="10"/>
      <x:c r="J14" s="11" t="n">
        <x:v>0.9525838899342842</x:v>
      </x:c>
      <x:c r="K14" s="11" t="n">
        <x:v>1</x:v>
      </x:c>
      <x:c r="L14" s="11" t="n">
        <x:v>0.96875</x:v>
      </x:c>
      <x:c r="M14" s="11" t="n">
        <x:v>1</x:v>
      </x:c>
    </x:row>
    <x:row r="15" ht="23" customHeight="1">
      <x:c r="A15" s="2" t="str">
        <x:v>TBU9</x:v>
      </x:c>
      <x:c r="B15" s="2" t="str">
        <x:v>all_two_way</x:v>
      </x:c>
      <x:c r="C15" s="2" t="str">
        <x:v>Government credibility GC</x:v>
      </x:c>
      <x:c r="D15" s="2" t="str">
        <x:v>F</x:v>
      </x:c>
      <x:c r="E15" s="9" t="n">
        <x:v>26.0717794568173</x:v>
      </x:c>
      <x:c r="F15" s="10" t="n">
        <x:v>2</x:v>
      </x:c>
      <x:c r="G15" s="10" t="n">
        <x:v>28</x:v>
      </x:c>
      <x:c r="H15" s="10"/>
      <x:c r="I15" s="10"/>
      <x:c r="J15" s="11" t="n">
        <x:v>4.0369344822829433e-7</x:v>
      </x:c>
      <x:c r="K15" s="11" t="n">
        <x:v>0.0000020184672411414718</x:v>
      </x:c>
      <x:c r="L15" s="11" t="n">
        <x:v>0.0000014129270687990303</x:v>
      </x:c>
      <x:c r="M15" s="11" t="n">
        <x:v>0.000028662234824208897</x:v>
      </x:c>
    </x:row>
    <x:row r="16" ht="23" customHeight="1">
      <x:c r="A16" s="2" t="str">
        <x:v>TBU9</x:v>
      </x:c>
      <x:c r="B16" s="2" t="str">
        <x:v>all_two_way</x:v>
      </x:c>
      <x:c r="C16" s="2" t="str">
        <x:v>Response timing RT</x:v>
      </x:c>
      <x:c r="D16" s="2" t="str">
        <x:v>F</x:v>
      </x:c>
      <x:c r="E16" s="9" t="n">
        <x:v>159.6208289401606</x:v>
      </x:c>
      <x:c r="F16" s="10" t="n">
        <x:v>2</x:v>
      </x:c>
      <x:c r="G16" s="10" t="n">
        <x:v>28</x:v>
      </x:c>
      <x:c r="H16" s="10"/>
      <x:c r="I16" s="10"/>
      <x:c r="J16" s="11" t="n">
        <x:v>4.913228291228542e-16</x:v>
      </x:c>
      <x:c r="K16" s="11" t="n">
        <x:v>3.930582632982833e-15</x:v>
      </x:c>
      <x:c r="L16" s="11" t="n">
        <x:v>5.349959694893301e-15</x:v>
      </x:c>
      <x:c r="M16" s="11" t="n">
        <x:v>4.4219054621056875e-14</x:v>
      </x:c>
    </x:row>
    <x:row r="17" ht="23" customHeight="1">
      <x:c r="A17" s="2" t="str">
        <x:v>TBU9</x:v>
      </x:c>
      <x:c r="B17" s="2" t="str">
        <x:v>all_two_way</x:v>
      </x:c>
      <x:c r="C17" s="2" t="str">
        <x:v>Targeting capacity TC</x:v>
      </x:c>
      <x:c r="D17" s="2" t="str">
        <x:v>F</x:v>
      </x:c>
      <x:c r="E17" s="9" t="n">
        <x:v>34.00405267804112</x:v>
      </x:c>
      <x:c r="F17" s="10" t="n">
        <x:v>1</x:v>
      </x:c>
      <x:c r="G17" s="10" t="n">
        <x:v>28</x:v>
      </x:c>
      <x:c r="H17" s="10"/>
      <x:c r="I17" s="10"/>
      <x:c r="J17" s="11" t="n">
        <x:v>0.0000028841607703930026</x:v>
      </x:c>
      <x:c r="K17" s="11" t="n">
        <x:v>0.00001153664308157201</x:v>
      </x:c>
      <x:c r="L17" s="11" t="n">
        <x:v>0.000008313169279368067</x:v>
      </x:c>
      <x:c r="M17" s="11" t="n">
        <x:v>0.00018747045007554516</x:v>
      </x:c>
    </x:row>
    <x:row r="18" ht="23" customHeight="1">
      <x:c r="A18" s="2" t="str">
        <x:v>TBU9</x:v>
      </x:c>
      <x:c r="B18" s="2" t="str">
        <x:v>all_two_way</x:v>
      </x:c>
      <x:c r="C18" s="2" t="str">
        <x:v>Group cocooning DGC</x:v>
      </x:c>
      <x:c r="D18" s="2" t="str">
        <x:v>F</x:v>
      </x:c>
      <x:c r="E18" s="9" t="n">
        <x:v>0.040933183313874424</x:v>
      </x:c>
      <x:c r="F18" s="10" t="n">
        <x:v>2</x:v>
      </x:c>
      <x:c r="G18" s="10" t="n">
        <x:v>28</x:v>
      </x:c>
      <x:c r="H18" s="10"/>
      <x:c r="I18" s="10"/>
      <x:c r="J18" s="11" t="n">
        <x:v>0.9599505948880196</x:v>
      </x:c>
      <x:c r="K18" s="11" t="n">
        <x:v>1</x:v>
      </x:c>
      <x:c r="L18" s="11" t="n">
        <x:v>0.96875</x:v>
      </x:c>
      <x:c r="M18" s="11" t="n">
        <x:v>1</x:v>
      </x:c>
    </x:row>
    <x:row r="19" ht="23" customHeight="1">
      <x:c r="A19" s="2" t="str">
        <x:v>TBU9</x:v>
      </x:c>
      <x:c r="B19" s="2" t="str">
        <x:v>all_two_way_interaction</x:v>
      </x:c>
      <x:c r="C19" s="2" t="str">
        <x:v>Government credibility GC</x:v>
      </x:c>
      <x:c r="D19" s="2" t="str">
        <x:v>F</x:v>
      </x:c>
      <x:c r="E19" s="9" t="n">
        <x:v>1.9493575111413861</x:v>
      </x:c>
      <x:c r="F19" s="10" t="n">
        <x:v>4</x:v>
      </x:c>
      <x:c r="G19" s="10" t="n">
        <x:v>28</x:v>
      </x:c>
      <x:c r="H19" s="10"/>
      <x:c r="I19" s="10"/>
      <x:c r="J19" s="11" t="n">
        <x:v>0.12992335576762357</x:v>
      </x:c>
      <x:c r="K19" s="11" t="n">
        <x:v>0.7795401346057413</x:v>
      </x:c>
      <x:c r="L19" s="11" t="n">
        <x:v>0.2087293256594608</x:v>
      </x:c>
      <x:c r="M19" s="11" t="n">
        <x:v>1</x:v>
      </x:c>
    </x:row>
    <x:row r="20" ht="23" customHeight="1">
      <x:c r="A20" s="2" t="str">
        <x:v>TBU9</x:v>
      </x:c>
      <x:c r="B20" s="2" t="str">
        <x:v>all_two_way_interaction</x:v>
      </x:c>
      <x:c r="C20" s="2" t="str">
        <x:v>Response timing RT</x:v>
      </x:c>
      <x:c r="D20" s="2" t="str">
        <x:v>F</x:v>
      </x:c>
      <x:c r="E20" s="9" t="n">
        <x:v>0.5189522598353221</x:v>
      </x:c>
      <x:c r="F20" s="10" t="n">
        <x:v>4</x:v>
      </x:c>
      <x:c r="G20" s="10" t="n">
        <x:v>28</x:v>
      </x:c>
      <x:c r="H20" s="10"/>
      <x:c r="I20" s="10"/>
      <x:c r="J20" s="11" t="n">
        <x:v>0.7224585635962919</x:v>
      </x:c>
      <x:c r="K20" s="11" t="n">
        <x:v>1</x:v>
      </x:c>
      <x:c r="L20" s="11" t="n">
        <x:v>0.816579399845108</x:v>
      </x:c>
      <x:c r="M20" s="11" t="n">
        <x:v>1</x:v>
      </x:c>
    </x:row>
    <x:row r="21" ht="23" customHeight="1">
      <x:c r="A21" s="2" t="str">
        <x:v>TBU9</x:v>
      </x:c>
      <x:c r="B21" s="2" t="str">
        <x:v>all_two_way_interaction</x:v>
      </x:c>
      <x:c r="C21" s="2" t="str">
        <x:v>Targeting capacity TC</x:v>
      </x:c>
      <x:c r="D21" s="2" t="str">
        <x:v>F</x:v>
      </x:c>
      <x:c r="E21" s="9" t="n">
        <x:v>0.9554730151263048</x:v>
      </x:c>
      <x:c r="F21" s="10" t="n">
        <x:v>2</x:v>
      </x:c>
      <x:c r="G21" s="10" t="n">
        <x:v>28</x:v>
      </x:c>
      <x:c r="H21" s="10"/>
      <x:c r="I21" s="10"/>
      <x:c r="J21" s="11" t="n">
        <x:v>0.3968170734129733</x:v>
      </x:c>
      <x:c r="K21" s="11" t="n">
        <x:v>1</x:v>
      </x:c>
      <x:c r="L21" s="11" t="n">
        <x:v>0.5401121277009914</x:v>
      </x:c>
      <x:c r="M21" s="11" t="n">
        <x:v>1</x:v>
      </x:c>
    </x:row>
    <x:row r="22" ht="23" customHeight="1">
      <x:c r="A22" s="2" t="str">
        <x:v>TBU9</x:v>
      </x:c>
      <x:c r="B22" s="2" t="str">
        <x:v>cohort_weighted</x:v>
      </x:c>
      <x:c r="C22" s="2" t="str">
        <x:v>Government credibility GC</x:v>
      </x:c>
      <x:c r="D22" s="2" t="str">
        <x:v>F</x:v>
      </x:c>
      <x:c r="E22" s="9" t="n">
        <x:v>23.823300326779187</x:v>
      </x:c>
      <x:c r="F22" s="10" t="n">
        <x:v>2</x:v>
      </x:c>
      <x:c r="G22" s="10" t="n">
        <x:v>36</x:v>
      </x:c>
      <x:c r="H22" s="10"/>
      <x:c r="I22" s="10"/>
      <x:c r="J22" s="11" t="n">
        <x:v>2.566703378628341e-7</x:v>
      </x:c>
      <x:c r="K22" s="11" t="n">
        <x:v>0.0000012833516893141707</x:v>
      </x:c>
      <x:c r="L22" s="11" t="n">
        <x:v>9.674497350214517e-7</x:v>
      </x:c>
      <x:c r="M22" s="11" t="n">
        <x:v>0.00001873693466398689</x:v>
      </x:c>
    </x:row>
    <x:row r="23" ht="23" customHeight="1">
      <x:c r="A23" s="2" t="str">
        <x:v>TBU9</x:v>
      </x:c>
      <x:c r="B23" s="2" t="str">
        <x:v>cohort_weighted</x:v>
      </x:c>
      <x:c r="C23" s="2" t="str">
        <x:v>Response timing RT</x:v>
      </x:c>
      <x:c r="D23" s="2" t="str">
        <x:v>F</x:v>
      </x:c>
      <x:c r="E23" s="9" t="n">
        <x:v>119.6996363133533</x:v>
      </x:c>
      <x:c r="F23" s="10" t="n">
        <x:v>2</x:v>
      </x:c>
      <x:c r="G23" s="10" t="n">
        <x:v>36</x:v>
      </x:c>
      <x:c r="H23" s="10"/>
      <x:c r="I23" s="10"/>
      <x:c r="J23" s="11" t="n">
        <x:v>1.2419806052065604e-16</x:v>
      </x:c>
      <x:c r="K23" s="11" t="n">
        <x:v>9.935844841652483e-16</x:v>
      </x:c>
      <x:c r="L23" s="11" t="n">
        <x:v>1.7326228670928604e-15</x:v>
      </x:c>
      <x:c r="M23" s="11" t="n">
        <x:v>1.1426221567900355e-14</x:v>
      </x:c>
    </x:row>
    <x:row r="24" ht="23" customHeight="1">
      <x:c r="A24" s="2" t="str">
        <x:v>TBU9</x:v>
      </x:c>
      <x:c r="B24" s="2" t="str">
        <x:v>cohort_weighted</x:v>
      </x:c>
      <x:c r="C24" s="2" t="str">
        <x:v>Targeting capacity TC</x:v>
      </x:c>
      <x:c r="D24" s="2" t="str">
        <x:v>F</x:v>
      </x:c>
      <x:c r="E24" s="9" t="n">
        <x:v>30.1925681772901</x:v>
      </x:c>
      <x:c r="F24" s="10" t="n">
        <x:v>1</x:v>
      </x:c>
      <x:c r="G24" s="10" t="n">
        <x:v>36</x:v>
      </x:c>
      <x:c r="H24" s="10"/>
      <x:c r="I24" s="10"/>
      <x:c r="J24" s="11" t="n">
        <x:v>0.0000032912962136109812</x:v>
      </x:c>
      <x:c r="K24" s="11" t="n">
        <x:v>0.000013165184854443925</x:v>
      </x:c>
      <x:c r="L24" s="11" t="n">
        <x:v>0.000009215629398110747</x:v>
      </x:c>
      <x:c r="M24" s="11" t="n">
        <x:v>0.0002106429576711028</x:v>
      </x:c>
    </x:row>
    <x:row r="25" ht="23" customHeight="1">
      <x:c r="A25" s="2" t="str">
        <x:v>TBU9</x:v>
      </x:c>
      <x:c r="B25" s="2" t="str">
        <x:v>cohort_weighted</x:v>
      </x:c>
      <x:c r="C25" s="2" t="str">
        <x:v>Group cocooning DGC</x:v>
      </x:c>
      <x:c r="D25" s="2" t="str">
        <x:v>F</x:v>
      </x:c>
      <x:c r="E25" s="9" t="n">
        <x:v>0.16494263522624228</x:v>
      </x:c>
      <x:c r="F25" s="10" t="n">
        <x:v>2</x:v>
      </x:c>
      <x:c r="G25" s="10" t="n">
        <x:v>36</x:v>
      </x:c>
      <x:c r="H25" s="10"/>
      <x:c r="I25" s="10"/>
      <x:c r="J25" s="11" t="n">
        <x:v>0.8485795065779147</x:v>
      </x:c>
      <x:c r="K25" s="11" t="n">
        <x:v>1</x:v>
      </x:c>
      <x:c r="L25" s="11" t="n">
        <x:v>0.9039216483112569</x:v>
      </x:c>
      <x:c r="M25" s="11" t="n">
        <x:v>1</x:v>
      </x:c>
    </x:row>
    <x:row r="26" ht="23" customHeight="1">
      <x:c r="A26" s="2" t="str">
        <x:v>TBU9</x:v>
      </x:c>
      <x:c r="B26" s="2" t="str">
        <x:v>endpoints</x:v>
      </x:c>
      <x:c r="C26" s="2" t="str">
        <x:v>Government credibility GC</x:v>
      </x:c>
      <x:c r="D26" s="2" t="str">
        <x:v>F</x:v>
      </x:c>
      <x:c r="E26" s="9" t="n">
        <x:v>19.993971263708033</x:v>
      </x:c>
      <x:c r="F26" s="10" t="n">
        <x:v>1</x:v>
      </x:c>
      <x:c r="G26" s="10" t="n">
        <x:v>12</x:v>
      </x:c>
      <x:c r="H26" s="10"/>
      <x:c r="I26" s="10"/>
      <x:c r="J26" s="11" t="n">
        <x:v>0.0007637089370485283</x:v>
      </x:c>
      <x:c r="K26" s="11" t="n">
        <x:v>0.0038185446852426414</x:v>
      </x:c>
      <x:c r="L26" s="11" t="n">
        <x:v>0.0014675191339363876</x:v>
      </x:c>
      <x:c r="M26" s="11" t="n">
        <x:v>0.03665802897832936</x:v>
      </x:c>
    </x:row>
    <x:row r="27" ht="23" customHeight="1">
      <x:c r="A27" s="2" t="str">
        <x:v>TBU9</x:v>
      </x:c>
      <x:c r="B27" s="2" t="str">
        <x:v>endpoints</x:v>
      </x:c>
      <x:c r="C27" s="2" t="str">
        <x:v>Response timing RT</x:v>
      </x:c>
      <x:c r="D27" s="2" t="str">
        <x:v>F</x:v>
      </x:c>
      <x:c r="E27" s="9" t="n">
        <x:v>93.24445662205511</x:v>
      </x:c>
      <x:c r="F27" s="10" t="n">
        <x:v>1</x:v>
      </x:c>
      <x:c r="G27" s="10" t="n">
        <x:v>12</x:v>
      </x:c>
      <x:c r="H27" s="10"/>
      <x:c r="I27" s="10"/>
      <x:c r="J27" s="11" t="n">
        <x:v>5.218857384445754e-7</x:v>
      </x:c>
      <x:c r="K27" s="11" t="n">
        <x:v>0.000004175085907556603</x:v>
      </x:c>
      <x:c r="L27" s="11" t="n">
        <x:v>0.0000017048267455856128</x:v>
      </x:c>
      <x:c r="M27" s="11" t="n">
        <x:v>0.0000360101159526757</x:v>
      </x:c>
    </x:row>
    <x:row r="28" ht="23" customHeight="1">
      <x:c r="A28" s="2" t="str">
        <x:v>TBU9</x:v>
      </x:c>
      <x:c r="B28" s="2" t="str">
        <x:v>endpoints</x:v>
      </x:c>
      <x:c r="C28" s="2" t="str">
        <x:v>Targeting capacity TC</x:v>
      </x:c>
      <x:c r="D28" s="2" t="str">
        <x:v>F</x:v>
      </x:c>
      <x:c r="E28" s="9" t="n">
        <x:v>7.479156966791895</x:v>
      </x:c>
      <x:c r="F28" s="10" t="n">
        <x:v>1</x:v>
      </x:c>
      <x:c r="G28" s="10" t="n">
        <x:v>12</x:v>
      </x:c>
      <x:c r="H28" s="10"/>
      <x:c r="I28" s="10"/>
      <x:c r="J28" s="11" t="n">
        <x:v>0.018104704275718603</x:v>
      </x:c>
      <x:c r="K28" s="11" t="n">
        <x:v>0.07241881710287441</x:v>
      </x:c>
      <x:c r="L28" s="11" t="n">
        <x:v>0.03168323248250756</x:v>
      </x:c>
      <x:c r="M28" s="11" t="n">
        <x:v>0.7785022838558999</x:v>
      </x:c>
    </x:row>
    <x:row r="29" ht="23" customHeight="1">
      <x:c r="A29" s="2" t="str">
        <x:v>TBU9</x:v>
      </x:c>
      <x:c r="B29" s="2" t="str">
        <x:v>endpoints</x:v>
      </x:c>
      <x:c r="C29" s="2" t="str">
        <x:v>Group cocooning DGC</x:v>
      </x:c>
      <x:c r="D29" s="2" t="str">
        <x:v>F</x:v>
      </x:c>
      <x:c r="E29" s="9" t="n">
        <x:v>0.35487188130578207</x:v>
      </x:c>
      <x:c r="F29" s="10" t="n">
        <x:v>2</x:v>
      </x:c>
      <x:c r="G29" s="10" t="n">
        <x:v>12</x:v>
      </x:c>
      <x:c r="H29" s="10"/>
      <x:c r="I29" s="10"/>
      <x:c r="J29" s="11" t="n">
        <x:v>0.7083806776624838</x:v>
      </x:c>
      <x:c r="K29" s="11" t="n">
        <x:v>1</x:v>
      </x:c>
      <x:c r="L29" s="11" t="n">
        <x:v>0.816579399845108</x:v>
      </x:c>
      <x:c r="M29" s="11" t="n">
        <x:v>1</x:v>
      </x:c>
    </x:row>
    <x:row r="30" ht="23" customHeight="1">
      <x:c r="A30" s="2" t="str">
        <x:v>PRUD3</x:v>
      </x:c>
      <x:c r="B30" s="2" t="str">
        <x:v>primary</x:v>
      </x:c>
      <x:c r="C30" s="2" t="str">
        <x:v>Government credibility GC</x:v>
      </x:c>
      <x:c r="D30" s="2" t="str">
        <x:v>F</x:v>
      </x:c>
      <x:c r="E30" s="9" t="n">
        <x:v>35.66608951371092</x:v>
      </x:c>
      <x:c r="F30" s="10" t="n">
        <x:v>2</x:v>
      </x:c>
      <x:c r="G30" s="10" t="n">
        <x:v>36</x:v>
      </x:c>
      <x:c r="H30" s="10"/>
      <x:c r="I30" s="10"/>
      <x:c r="J30" s="11" t="n">
        <x:v>2.8860641429992912e-9</x:v>
      </x:c>
      <x:c r="K30" s="11" t="n">
        <x:v>1.7316384857995748e-8</x:v>
      </x:c>
      <x:c r="L30" s="11" t="n">
        <x:v>1.4141714300696528e-8</x:v>
      </x:c>
      <x:c r="M30" s="11" t="n">
        <x:v>2.27999067296944e-7</x:v>
      </x:c>
    </x:row>
    <x:row r="31" ht="23" customHeight="1">
      <x:c r="A31" s="2" t="str">
        <x:v>PRUD3</x:v>
      </x:c>
      <x:c r="B31" s="2" t="str">
        <x:v>primary</x:v>
      </x:c>
      <x:c r="C31" s="2" t="str">
        <x:v>Response timing RT</x:v>
      </x:c>
      <x:c r="D31" s="2" t="str">
        <x:v>F</x:v>
      </x:c>
      <x:c r="E31" s="9" t="n">
        <x:v>1.3234399531092327</x:v>
      </x:c>
      <x:c r="F31" s="10" t="n">
        <x:v>2</x:v>
      </x:c>
      <x:c r="G31" s="10" t="n">
        <x:v>36</x:v>
      </x:c>
      <x:c r="H31" s="10"/>
      <x:c r="I31" s="10"/>
      <x:c r="J31" s="11" t="n">
        <x:v>0.2788593026437732</x:v>
      </x:c>
      <x:c r="K31" s="11" t="n">
        <x:v>0.8365779079313196</x:v>
      </x:c>
      <x:c r="L31" s="11" t="n">
        <x:v>0.4078837561058175</x:v>
      </x:c>
      <x:c r="M31" s="11" t="n">
        <x:v>1</x:v>
      </x:c>
    </x:row>
    <x:row r="32" ht="23" customHeight="1">
      <x:c r="A32" s="2" t="str">
        <x:v>PRUD3</x:v>
      </x:c>
      <x:c r="B32" s="2" t="str">
        <x:v>primary</x:v>
      </x:c>
      <x:c r="C32" s="2" t="str">
        <x:v>Targeting capacity TC</x:v>
      </x:c>
      <x:c r="D32" s="2" t="str">
        <x:v>F</x:v>
      </x:c>
      <x:c r="E32" s="9" t="n">
        <x:v>62.13904157609309</x:v>
      </x:c>
      <x:c r="F32" s="10" t="n">
        <x:v>1</x:v>
      </x:c>
      <x:c r="G32" s="10" t="n">
        <x:v>36</x:v>
      </x:c>
      <x:c r="H32" s="10"/>
      <x:c r="I32" s="10"/>
      <x:c r="J32" s="11" t="n">
        <x:v>2.365405774714725e-9</x:v>
      </x:c>
      <x:c r="K32" s="11" t="n">
        <x:v>1.6557840423003076e-8</x:v>
      </x:c>
      <x:c r="L32" s="11" t="n">
        <x:v>1.2878320329002392e-8</x:v>
      </x:c>
      <x:c r="M32" s="11" t="n">
        <x:v>1.9159786775189274e-7</x:v>
      </x:c>
    </x:row>
    <x:row r="33" ht="23" customHeight="1">
      <x:c r="A33" s="2" t="str">
        <x:v>PRUD3</x:v>
      </x:c>
      <x:c r="B33" s="2" t="str">
        <x:v>primary</x:v>
      </x:c>
      <x:c r="C33" s="2" t="str">
        <x:v>Group cocooning DGC</x:v>
      </x:c>
      <x:c r="D33" s="2" t="str">
        <x:v>F</x:v>
      </x:c>
      <x:c r="E33" s="9" t="n">
        <x:v>0.3129511762014266</x:v>
      </x:c>
      <x:c r="F33" s="10" t="n">
        <x:v>2</x:v>
      </x:c>
      <x:c r="G33" s="10" t="n">
        <x:v>36</x:v>
      </x:c>
      <x:c r="H33" s="10"/>
      <x:c r="I33" s="10"/>
      <x:c r="J33" s="11" t="n">
        <x:v>0.7332549712894847</x:v>
      </x:c>
      <x:c r="K33" s="11" t="n">
        <x:v>1</x:v>
      </x:c>
      <x:c r="L33" s="11" t="n">
        <x:v>0.816579399845108</x:v>
      </x:c>
      <x:c r="M33" s="11" t="n">
        <x:v>1</x:v>
      </x:c>
    </x:row>
    <x:row r="34" ht="23" customHeight="1">
      <x:c r="A34" s="2" t="str">
        <x:v>PRUD3</x:v>
      </x:c>
      <x:c r="B34" s="2" t="str">
        <x:v>additive</x:v>
      </x:c>
      <x:c r="C34" s="2" t="str">
        <x:v>Government credibility GC</x:v>
      </x:c>
      <x:c r="D34" s="2" t="str">
        <x:v>F</x:v>
      </x:c>
      <x:c r="E34" s="9" t="n">
        <x:v>44.757961228766604</x:v>
      </x:c>
      <x:c r="F34" s="10" t="n">
        <x:v>2</x:v>
      </x:c>
      <x:c r="G34" s="10" t="n">
        <x:v>46</x:v>
      </x:c>
      <x:c r="H34" s="10"/>
      <x:c r="I34" s="10"/>
      <x:c r="J34" s="11" t="n">
        <x:v>1.613067859532544e-11</x:v>
      </x:c>
      <x:c r="K34" s="11" t="n">
        <x:v>9.678407157195263e-11</x:v>
      </x:c>
      <x:c r="L34" s="11" t="n">
        <x:v>9.880040639636831e-11</x:v>
      </x:c>
      <x:c r="M34" s="11" t="n">
        <x:v>1.3388463234120114e-9</x:v>
      </x:c>
    </x:row>
    <x:row r="35" ht="23" customHeight="1">
      <x:c r="A35" s="2" t="str">
        <x:v>PRUD3</x:v>
      </x:c>
      <x:c r="B35" s="2" t="str">
        <x:v>additive</x:v>
      </x:c>
      <x:c r="C35" s="2" t="str">
        <x:v>Response timing RT</x:v>
      </x:c>
      <x:c r="D35" s="2" t="str">
        <x:v>F</x:v>
      </x:c>
      <x:c r="E35" s="9" t="n">
        <x:v>1.9625870582843632</x:v>
      </x:c>
      <x:c r="F35" s="10" t="n">
        <x:v>2</x:v>
      </x:c>
      <x:c r="G35" s="10" t="n">
        <x:v>46</x:v>
      </x:c>
      <x:c r="H35" s="10"/>
      <x:c r="I35" s="10"/>
      <x:c r="J35" s="11" t="n">
        <x:v>0.15208262527404606</x:v>
      </x:c>
      <x:c r="K35" s="11" t="n">
        <x:v>0.4562478758221382</x:v>
      </x:c>
      <x:c r="L35" s="11" t="n">
        <x:v>0.23657297264851607</x:v>
      </x:c>
      <x:c r="M35" s="11" t="n">
        <x:v>1</x:v>
      </x:c>
    </x:row>
    <x:row r="36" ht="23" customHeight="1">
      <x:c r="A36" s="2" t="str">
        <x:v>PRUD3</x:v>
      </x:c>
      <x:c r="B36" s="2" t="str">
        <x:v>additive</x:v>
      </x:c>
      <x:c r="C36" s="2" t="str">
        <x:v>Targeting capacity TC</x:v>
      </x:c>
      <x:c r="D36" s="2" t="str">
        <x:v>F</x:v>
      </x:c>
      <x:c r="E36" s="9" t="n">
        <x:v>79.78328610256166</x:v>
      </x:c>
      <x:c r="F36" s="10" t="n">
        <x:v>1</x:v>
      </x:c>
      <x:c r="G36" s="10" t="n">
        <x:v>46</x:v>
      </x:c>
      <x:c r="H36" s="10"/>
      <x:c r="I36" s="10"/>
      <x:c r="J36" s="11" t="n">
        <x:v>1.3004214372904697e-11</x:v>
      </x:c>
      <x:c r="K36" s="11" t="n">
        <x:v>9.102950061033288e-11</x:v>
      </x:c>
      <x:c r="L36" s="11" t="n">
        <x:v>8.496086723631069e-11</x:v>
      </x:c>
      <x:c r="M36" s="11" t="n">
        <x:v>1.0923540073239945e-9</x:v>
      </x:c>
    </x:row>
    <x:row r="37" ht="23" customHeight="1">
      <x:c r="A37" s="2" t="str">
        <x:v>PRUD3</x:v>
      </x:c>
      <x:c r="B37" s="2" t="str">
        <x:v>additive</x:v>
      </x:c>
      <x:c r="C37" s="2" t="str">
        <x:v>Group cocooning DGC</x:v>
      </x:c>
      <x:c r="D37" s="2" t="str">
        <x:v>F</x:v>
      </x:c>
      <x:c r="E37" s="9" t="n">
        <x:v>0.37512596769755313</x:v>
      </x:c>
      <x:c r="F37" s="10" t="n">
        <x:v>2</x:v>
      </x:c>
      <x:c r="G37" s="10" t="n">
        <x:v>46</x:v>
      </x:c>
      <x:c r="H37" s="10"/>
      <x:c r="I37" s="10"/>
      <x:c r="J37" s="11" t="n">
        <x:v>0.6892855110320085</x:v>
      </x:c>
      <x:c r="K37" s="11" t="n">
        <x:v>1</x:v>
      </x:c>
      <x:c r="L37" s="11" t="n">
        <x:v>0.8138551817004438</x:v>
      </x:c>
      <x:c r="M37" s="11" t="n">
        <x:v>1</x:v>
      </x:c>
    </x:row>
    <x:row r="38" ht="23" customHeight="1">
      <x:c r="A38" s="2" t="str">
        <x:v>PRUD3</x:v>
      </x:c>
      <x:c r="B38" s="2" t="str">
        <x:v>all_two_way</x:v>
      </x:c>
      <x:c r="C38" s="2" t="str">
        <x:v>Government credibility GC</x:v>
      </x:c>
      <x:c r="D38" s="2" t="str">
        <x:v>F</x:v>
      </x:c>
      <x:c r="E38" s="9" t="n">
        <x:v>39.45848393673704</x:v>
      </x:c>
      <x:c r="F38" s="10" t="n">
        <x:v>2</x:v>
      </x:c>
      <x:c r="G38" s="10" t="n">
        <x:v>28</x:v>
      </x:c>
      <x:c r="H38" s="10"/>
      <x:c r="I38" s="10"/>
      <x:c r="J38" s="11" t="n">
        <x:v>7.1377209513848835e-9</x:v>
      </x:c>
      <x:c r="K38" s="11" t="n">
        <x:v>4.9964046659694185e-8</x:v>
      </x:c>
      <x:c r="L38" s="11" t="n">
        <x:v>3.179530241980539e-8</x:v>
      </x:c>
      <x:c r="M38" s="11" t="n">
        <x:v>5.49604513256636e-7</x:v>
      </x:c>
    </x:row>
    <x:row r="39" ht="23" customHeight="1">
      <x:c r="A39" s="2" t="str">
        <x:v>PRUD3</x:v>
      </x:c>
      <x:c r="B39" s="2" t="str">
        <x:v>all_two_way</x:v>
      </x:c>
      <x:c r="C39" s="2" t="str">
        <x:v>Response timing RT</x:v>
      </x:c>
      <x:c r="D39" s="2" t="str">
        <x:v>F</x:v>
      </x:c>
      <x:c r="E39" s="9" t="n">
        <x:v>0.8701066729194349</x:v>
      </x:c>
      <x:c r="F39" s="10" t="n">
        <x:v>2</x:v>
      </x:c>
      <x:c r="G39" s="10" t="n">
        <x:v>28</x:v>
      </x:c>
      <x:c r="H39" s="10"/>
      <x:c r="I39" s="10"/>
      <x:c r="J39" s="11" t="n">
        <x:v>0.42992759704565564</x:v>
      </x:c>
      <x:c r="K39" s="11" t="n">
        <x:v>1</x:v>
      </x:c>
      <x:c r="L39" s="11" t="n">
        <x:v>0.5693635744658683</x:v>
      </x:c>
      <x:c r="M39" s="11" t="n">
        <x:v>1</x:v>
      </x:c>
    </x:row>
    <x:row r="40" ht="23" customHeight="1">
      <x:c r="A40" s="2" t="str">
        <x:v>PRUD3</x:v>
      </x:c>
      <x:c r="B40" s="2" t="str">
        <x:v>all_two_way</x:v>
      </x:c>
      <x:c r="C40" s="2" t="str">
        <x:v>Targeting capacity TC</x:v>
      </x:c>
      <x:c r="D40" s="2" t="str">
        <x:v>F</x:v>
      </x:c>
      <x:c r="E40" s="9" t="n">
        <x:v>62.48476794039516</x:v>
      </x:c>
      <x:c r="F40" s="10" t="n">
        <x:v>1</x:v>
      </x:c>
      <x:c r="G40" s="10" t="n">
        <x:v>28</x:v>
      </x:c>
      <x:c r="H40" s="10"/>
      <x:c r="I40" s="10"/>
      <x:c r="J40" s="11" t="n">
        <x:v>1.3084720847797804e-8</x:v>
      </x:c>
      <x:c r="K40" s="11" t="n">
        <x:v>7.850832508678683e-8</x:v>
      </x:c>
      <x:c r="L40" s="11" t="n">
        <x:v>5.575228882974716e-8</x:v>
      </x:c>
      <x:c r="M40" s="11" t="n">
        <x:v>9.944387844326331e-7</x:v>
      </x:c>
    </x:row>
    <x:row r="41" ht="23" customHeight="1">
      <x:c r="A41" s="2" t="str">
        <x:v>PRUD3</x:v>
      </x:c>
      <x:c r="B41" s="2" t="str">
        <x:v>all_two_way</x:v>
      </x:c>
      <x:c r="C41" s="2" t="str">
        <x:v>Group cocooning DGC</x:v>
      </x:c>
      <x:c r="D41" s="2" t="str">
        <x:v>F</x:v>
      </x:c>
      <x:c r="E41" s="9" t="n">
        <x:v>0.31406379039921395</x:v>
      </x:c>
      <x:c r="F41" s="10" t="n">
        <x:v>2</x:v>
      </x:c>
      <x:c r="G41" s="10" t="n">
        <x:v>28</x:v>
      </x:c>
      <x:c r="H41" s="10"/>
      <x:c r="I41" s="10"/>
      <x:c r="J41" s="11" t="n">
        <x:v>0.7330122341370834</x:v>
      </x:c>
      <x:c r="K41" s="11" t="n">
        <x:v>1</x:v>
      </x:c>
      <x:c r="L41" s="11" t="n">
        <x:v>0.816579399845108</x:v>
      </x:c>
      <x:c r="M41" s="11" t="n">
        <x:v>1</x:v>
      </x:c>
    </x:row>
    <x:row r="42" ht="23" customHeight="1">
      <x:c r="A42" s="2" t="str">
        <x:v>PRUD3</x:v>
      </x:c>
      <x:c r="B42" s="2" t="str">
        <x:v>all_two_way_interaction</x:v>
      </x:c>
      <x:c r="C42" s="2" t="str">
        <x:v>Government credibility GC</x:v>
      </x:c>
      <x:c r="D42" s="2" t="str">
        <x:v>F</x:v>
      </x:c>
      <x:c r="E42" s="9" t="n">
        <x:v>0.7960432295790125</x:v>
      </x:c>
      <x:c r="F42" s="10" t="n">
        <x:v>4</x:v>
      </x:c>
      <x:c r="G42" s="10" t="n">
        <x:v>28</x:v>
      </x:c>
      <x:c r="H42" s="10"/>
      <x:c r="I42" s="10"/>
      <x:c r="J42" s="11" t="n">
        <x:v>0.537840898510402</x:v>
      </x:c>
      <x:c r="K42" s="11" t="n">
        <x:v>1</x:v>
      </x:c>
      <x:c r="L42" s="11" t="n">
        <x:v>0.6757488212053768</x:v>
      </x:c>
      <x:c r="M42" s="11" t="n">
        <x:v>1</x:v>
      </x:c>
    </x:row>
    <x:row r="43" ht="23" customHeight="1">
      <x:c r="A43" s="2" t="str">
        <x:v>PRUD3</x:v>
      </x:c>
      <x:c r="B43" s="2" t="str">
        <x:v>all_two_way_interaction</x:v>
      </x:c>
      <x:c r="C43" s="2" t="str">
        <x:v>Response timing RT</x:v>
      </x:c>
      <x:c r="D43" s="2" t="str">
        <x:v>F</x:v>
      </x:c>
      <x:c r="E43" s="9" t="n">
        <x:v>0.6815133495243881</x:v>
      </x:c>
      <x:c r="F43" s="10" t="n">
        <x:v>4</x:v>
      </x:c>
      <x:c r="G43" s="10" t="n">
        <x:v>28</x:v>
      </x:c>
      <x:c r="H43" s="10"/>
      <x:c r="I43" s="10"/>
      <x:c r="J43" s="11" t="n">
        <x:v>0.610621312562957</x:v>
      </x:c>
      <x:c r="K43" s="11" t="n">
        <x:v>1</x:v>
      </x:c>
      <x:c r="L43" s="11" t="n">
        <x:v>0.7574796029261999</x:v>
      </x:c>
      <x:c r="M43" s="11" t="n">
        <x:v>1</x:v>
      </x:c>
    </x:row>
    <x:row r="44" ht="23" customHeight="1">
      <x:c r="A44" s="2" t="str">
        <x:v>PRUD3</x:v>
      </x:c>
      <x:c r="B44" s="2" t="str">
        <x:v>all_two_way_interaction</x:v>
      </x:c>
      <x:c r="C44" s="2" t="str">
        <x:v>Targeting capacity TC</x:v>
      </x:c>
      <x:c r="D44" s="2" t="str">
        <x:v>F</x:v>
      </x:c>
      <x:c r="E44" s="9" t="n">
        <x:v>0.2385337016691391</x:v>
      </x:c>
      <x:c r="F44" s="10" t="n">
        <x:v>2</x:v>
      </x:c>
      <x:c r="G44" s="10" t="n">
        <x:v>28</x:v>
      </x:c>
      <x:c r="H44" s="10"/>
      <x:c r="I44" s="10"/>
      <x:c r="J44" s="11" t="n">
        <x:v>0.7893666140248476</x:v>
      </x:c>
      <x:c r="K44" s="11" t="n">
        <x:v>1</x:v>
      </x:c>
      <x:c r="L44" s="11" t="n">
        <x:v>0.8595325352715008</x:v>
      </x:c>
      <x:c r="M44" s="11" t="n">
        <x:v>1</x:v>
      </x:c>
    </x:row>
    <x:row r="45" ht="23" customHeight="1">
      <x:c r="A45" s="2" t="str">
        <x:v>PRUD3</x:v>
      </x:c>
      <x:c r="B45" s="2" t="str">
        <x:v>cohort_weighted</x:v>
      </x:c>
      <x:c r="C45" s="2" t="str">
        <x:v>Government credibility GC</x:v>
      </x:c>
      <x:c r="D45" s="2" t="str">
        <x:v>F</x:v>
      </x:c>
      <x:c r="E45" s="9" t="n">
        <x:v>43.67156632931456</x:v>
      </x:c>
      <x:c r="F45" s="10" t="n">
        <x:v>2</x:v>
      </x:c>
      <x:c r="G45" s="10" t="n">
        <x:v>36</x:v>
      </x:c>
      <x:c r="H45" s="10"/>
      <x:c r="I45" s="10"/>
      <x:c r="J45" s="11" t="n">
        <x:v>2.3625198954411244e-10</x:v>
      </x:c>
      <x:c r="K45" s="11" t="n">
        <x:v>1.653763926808787e-9</x:v>
      </x:c>
      <x:c r="L45" s="11" t="n">
        <x:v>1.3619232338425305e-9</x:v>
      </x:c>
      <x:c r="M45" s="11" t="n">
        <x:v>1.937266314261722e-8</x:v>
      </x:c>
    </x:row>
    <x:row r="46" ht="23" customHeight="1">
      <x:c r="A46" s="2" t="str">
        <x:v>PRUD3</x:v>
      </x:c>
      <x:c r="B46" s="2" t="str">
        <x:v>cohort_weighted</x:v>
      </x:c>
      <x:c r="C46" s="2" t="str">
        <x:v>Response timing RT</x:v>
      </x:c>
      <x:c r="D46" s="2" t="str">
        <x:v>F</x:v>
      </x:c>
      <x:c r="E46" s="9" t="n">
        <x:v>1.5684014447812162</x:v>
      </x:c>
      <x:c r="F46" s="10" t="n">
        <x:v>2</x:v>
      </x:c>
      <x:c r="G46" s="10" t="n">
        <x:v>36</x:v>
      </x:c>
      <x:c r="H46" s="10"/>
      <x:c r="I46" s="10"/>
      <x:c r="J46" s="11" t="n">
        <x:v>0.22228430756210998</x:v>
      </x:c>
      <x:c r="K46" s="11" t="n">
        <x:v>0.66685292268633</x:v>
      </x:c>
      <x:c r="L46" s="11" t="n">
        <x:v>0.3351363406321043</x:v>
      </x:c>
      <x:c r="M46" s="11" t="n">
        <x:v>1</x:v>
      </x:c>
    </x:row>
    <x:row r="47" ht="23" customHeight="1">
      <x:c r="A47" s="2" t="str">
        <x:v>PRUD3</x:v>
      </x:c>
      <x:c r="B47" s="2" t="str">
        <x:v>cohort_weighted</x:v>
      </x:c>
      <x:c r="C47" s="2" t="str">
        <x:v>Targeting capacity TC</x:v>
      </x:c>
      <x:c r="D47" s="2" t="str">
        <x:v>F</x:v>
      </x:c>
      <x:c r="E47" s="9" t="n">
        <x:v>60.56774848429868</x:v>
      </x:c>
      <x:c r="F47" s="10" t="n">
        <x:v>1</x:v>
      </x:c>
      <x:c r="G47" s="10" t="n">
        <x:v>36</x:v>
      </x:c>
      <x:c r="H47" s="10"/>
      <x:c r="I47" s="10"/>
      <x:c r="J47" s="11" t="n">
        <x:v>3.1767031884445108e-9</x:v>
      </x:c>
      <x:c r="K47" s="11" t="n">
        <x:v>1.9060219130667065e-8</x:v>
      </x:c>
      <x:c r="L47" s="11" t="n">
        <x:v>1.4824614879407718e-8</x:v>
      </x:c>
      <x:c r="M47" s="11" t="n">
        <x:v>2.4778284869867186e-7</x:v>
      </x:c>
    </x:row>
    <x:row r="48" ht="23" customHeight="1">
      <x:c r="A48" s="2" t="str">
        <x:v>PRUD3</x:v>
      </x:c>
      <x:c r="B48" s="2" t="str">
        <x:v>cohort_weighted</x:v>
      </x:c>
      <x:c r="C48" s="2" t="str">
        <x:v>Group cocooning DGC</x:v>
      </x:c>
      <x:c r="D48" s="2" t="str">
        <x:v>F</x:v>
      </x:c>
      <x:c r="E48" s="9" t="n">
        <x:v>0.38864454687160654</x:v>
      </x:c>
      <x:c r="F48" s="10" t="n">
        <x:v>2</x:v>
      </x:c>
      <x:c r="G48" s="10" t="n">
        <x:v>36</x:v>
      </x:c>
      <x:c r="H48" s="10"/>
      <x:c r="I48" s="10"/>
      <x:c r="J48" s="11" t="n">
        <x:v>0.6807852985892593</x:v>
      </x:c>
      <x:c r="K48" s="11" t="n">
        <x:v>1</x:v>
      </x:c>
      <x:c r="L48" s="11" t="n">
        <x:v>0.8136214544115538</x:v>
      </x:c>
      <x:c r="M48" s="11" t="n">
        <x:v>1</x:v>
      </x:c>
    </x:row>
    <x:row r="49" ht="23" customHeight="1">
      <x:c r="A49" s="2" t="str">
        <x:v>PRUD3</x:v>
      </x:c>
      <x:c r="B49" s="2" t="str">
        <x:v>endpoints</x:v>
      </x:c>
      <x:c r="C49" s="2" t="str">
        <x:v>Government credibility GC</x:v>
      </x:c>
      <x:c r="D49" s="2" t="str">
        <x:v>F</x:v>
      </x:c>
      <x:c r="E49" s="9" t="n">
        <x:v>79.59185358403177</x:v>
      </x:c>
      <x:c r="F49" s="10" t="n">
        <x:v>1</x:v>
      </x:c>
      <x:c r="G49" s="10" t="n">
        <x:v>12</x:v>
      </x:c>
      <x:c r="H49" s="10"/>
      <x:c r="I49" s="10"/>
      <x:c r="J49" s="11" t="n">
        <x:v>0.000001211095692778259</x:v>
      </x:c>
      <x:c r="K49" s="11" t="n">
        <x:v>0.000008477669849447813</x:v>
      </x:c>
      <x:c r="L49" s="11" t="n">
        <x:v>0.000003596587208856648</x:v>
      </x:c>
      <x:c r="M49" s="11" t="n">
        <x:v>0.00007993231572336509</x:v>
      </x:c>
    </x:row>
    <x:row r="50" ht="23" customHeight="1">
      <x:c r="A50" s="2" t="str">
        <x:v>PRUD3</x:v>
      </x:c>
      <x:c r="B50" s="2" t="str">
        <x:v>endpoints</x:v>
      </x:c>
      <x:c r="C50" s="2" t="str">
        <x:v>Response timing RT</x:v>
      </x:c>
      <x:c r="D50" s="2" t="str">
        <x:v>F</x:v>
      </x:c>
      <x:c r="E50" s="9" t="n">
        <x:v>1.1263559877421132</x:v>
      </x:c>
      <x:c r="F50" s="10" t="n">
        <x:v>1</x:v>
      </x:c>
      <x:c r="G50" s="10" t="n">
        <x:v>12</x:v>
      </x:c>
      <x:c r="H50" s="10"/>
      <x:c r="I50" s="10"/>
      <x:c r="J50" s="11" t="n">
        <x:v>0.30944735219565833</x:v>
      </x:c>
      <x:c r="K50" s="11" t="n">
        <x:v>0.928342056586975</x:v>
      </x:c>
      <x:c r="L50" s="11" t="n">
        <x:v>0.4318386581224264</x:v>
      </x:c>
      <x:c r="M50" s="11" t="n">
        <x:v>1</x:v>
      </x:c>
    </x:row>
    <x:row r="51" ht="23" customHeight="1">
      <x:c r="A51" s="2" t="str">
        <x:v>PRUD3</x:v>
      </x:c>
      <x:c r="B51" s="2" t="str">
        <x:v>endpoints</x:v>
      </x:c>
      <x:c r="C51" s="2" t="str">
        <x:v>Targeting capacity TC</x:v>
      </x:c>
      <x:c r="D51" s="2" t="str">
        <x:v>F</x:v>
      </x:c>
      <x:c r="E51" s="9" t="n">
        <x:v>30.18554522512573</x:v>
      </x:c>
      <x:c r="F51" s="10" t="n">
        <x:v>1</x:v>
      </x:c>
      <x:c r="G51" s="10" t="n">
        <x:v>12</x:v>
      </x:c>
      <x:c r="H51" s="10"/>
      <x:c r="I51" s="10"/>
      <x:c r="J51" s="11" t="n">
        <x:v>0.00013754427286195883</x:v>
      </x:c>
      <x:c r="K51" s="11" t="n">
        <x:v>0.000825265637171753</x:v>
      </x:c>
      <x:c r="L51" s="11" t="n">
        <x:v>0.0002867944412866376</x:v>
      </x:c>
      <x:c r="M51" s="11" t="n">
        <x:v>0.007152302188821859</x:v>
      </x:c>
    </x:row>
    <x:row r="52" ht="23" customHeight="1">
      <x:c r="A52" s="2" t="str">
        <x:v>PRUD3</x:v>
      </x:c>
      <x:c r="B52" s="2" t="str">
        <x:v>endpoints</x:v>
      </x:c>
      <x:c r="C52" s="2" t="str">
        <x:v>Group cocooning DGC</x:v>
      </x:c>
      <x:c r="D52" s="2" t="str">
        <x:v>F</x:v>
      </x:c>
      <x:c r="E52" s="9" t="n">
        <x:v>0.24333655702281887</x:v>
      </x:c>
      <x:c r="F52" s="10" t="n">
        <x:v>2</x:v>
      </x:c>
      <x:c r="G52" s="10" t="n">
        <x:v>12</x:v>
      </x:c>
      <x:c r="H52" s="10"/>
      <x:c r="I52" s="10"/>
      <x:c r="J52" s="11" t="n">
        <x:v>0.7877837549757164</x:v>
      </x:c>
      <x:c r="K52" s="11" t="n">
        <x:v>1</x:v>
      </x:c>
      <x:c r="L52" s="11" t="n">
        <x:v>0.8595325352715008</x:v>
      </x:c>
      <x:c r="M52" s="11" t="n">
        <x:v>1</x:v>
      </x:c>
    </x:row>
    <x:row r="53" ht="23" customHeight="1">
      <x:c r="A53" s="2" t="str">
        <x:v>仅已转变者TBU</x:v>
      </x:c>
      <x:c r="B53" s="2" t="str">
        <x:v>primary</x:v>
      </x:c>
      <x:c r="C53" s="2" t="str">
        <x:v>Government credibility GC</x:v>
      </x:c>
      <x:c r="D53" s="2" t="str">
        <x:v>F</x:v>
      </x:c>
      <x:c r="E53" s="9" t="n">
        <x:v>6.215626026823339</x:v>
      </x:c>
      <x:c r="F53" s="10" t="n">
        <x:v>2</x:v>
      </x:c>
      <x:c r="G53" s="10" t="n">
        <x:v>36</x:v>
      </x:c>
      <x:c r="H53" s="10"/>
      <x:c r="I53" s="10"/>
      <x:c r="J53" s="11" t="n">
        <x:v>0.0047993505678222146</x:v>
      </x:c>
      <x:c r="K53" s="11"/>
      <x:c r="L53" s="11" t="n">
        <x:v>0.00870993251197365</x:v>
      </x:c>
      <x:c r="M53" s="11" t="n">
        <x:v>0.21597077555199964</x:v>
      </x:c>
    </x:row>
    <x:row r="54" ht="23" customHeight="1">
      <x:c r="A54" s="2" t="str">
        <x:v>仅已转变者TBU</x:v>
      </x:c>
      <x:c r="B54" s="2" t="str">
        <x:v>primary</x:v>
      </x:c>
      <x:c r="C54" s="2" t="str">
        <x:v>Response timing RT</x:v>
      </x:c>
      <x:c r="D54" s="2" t="str">
        <x:v>F</x:v>
      </x:c>
      <x:c r="E54" s="9" t="n">
        <x:v>73.3972327551137</x:v>
      </x:c>
      <x:c r="F54" s="10" t="n">
        <x:v>2</x:v>
      </x:c>
      <x:c r="G54" s="10" t="n">
        <x:v>36</x:v>
      </x:c>
      <x:c r="H54" s="10"/>
      <x:c r="I54" s="10"/>
      <x:c r="J54" s="11" t="n">
        <x:v>1.986599173302787e-13</x:v>
      </x:c>
      <x:c r="K54" s="11"/>
      <x:c r="L54" s="11" t="n">
        <x:v>1.6223893248639429e-12</x:v>
      </x:c>
      <x:c r="M54" s="11" t="n">
        <x:v>1.7283412807734248e-11</x:v>
      </x:c>
    </x:row>
    <x:row r="55" ht="23" customHeight="1">
      <x:c r="A55" s="2" t="str">
        <x:v>仅已转变者TBU</x:v>
      </x:c>
      <x:c r="B55" s="2" t="str">
        <x:v>primary</x:v>
      </x:c>
      <x:c r="C55" s="2" t="str">
        <x:v>Targeting capacity TC</x:v>
      </x:c>
      <x:c r="D55" s="2" t="str">
        <x:v>F</x:v>
      </x:c>
      <x:c r="E55" s="9" t="n">
        <x:v>12.269104996244053</x:v>
      </x:c>
      <x:c r="F55" s="10" t="n">
        <x:v>1</x:v>
      </x:c>
      <x:c r="G55" s="10" t="n">
        <x:v>36</x:v>
      </x:c>
      <x:c r="H55" s="10"/>
      <x:c r="I55" s="10"/>
      <x:c r="J55" s="11" t="n">
        <x:v>0.0012494214645314649</x:v>
      </x:c>
      <x:c r="K55" s="11"/>
      <x:c r="L55" s="11" t="n">
        <x:v>0.002310251009888369</x:v>
      </x:c>
      <x:c r="M55" s="11" t="n">
        <x:v>0.057473387368447384</x:v>
      </x:c>
    </x:row>
    <x:row r="56" ht="23" customHeight="1">
      <x:c r="A56" s="2" t="str">
        <x:v>仅已转变者TBU</x:v>
      </x:c>
      <x:c r="B56" s="2" t="str">
        <x:v>primary</x:v>
      </x:c>
      <x:c r="C56" s="2" t="str">
        <x:v>Group cocooning DGC</x:v>
      </x:c>
      <x:c r="D56" s="2" t="str">
        <x:v>F</x:v>
      </x:c>
      <x:c r="E56" s="9" t="n">
        <x:v>0.9313817976396921</x:v>
      </x:c>
      <x:c r="F56" s="10" t="n">
        <x:v>2</x:v>
      </x:c>
      <x:c r="G56" s="10" t="n">
        <x:v>36</x:v>
      </x:c>
      <x:c r="H56" s="10"/>
      <x:c r="I56" s="10"/>
      <x:c r="J56" s="11" t="n">
        <x:v>0.403295556072538</x:v>
      </x:c>
      <x:c r="K56" s="11"/>
      <x:c r="L56" s="11" t="n">
        <x:v>0.5414104725357358</x:v>
      </x:c>
      <x:c r="M56" s="11" t="n">
        <x:v>1</x:v>
      </x:c>
    </x:row>
    <x:row r="57" ht="23" customHeight="1">
      <x:c r="A57" s="2" t="str">
        <x:v>仅已转变者TBU</x:v>
      </x:c>
      <x:c r="B57" s="2" t="str">
        <x:v>additive</x:v>
      </x:c>
      <x:c r="C57" s="2" t="str">
        <x:v>Government credibility GC</x:v>
      </x:c>
      <x:c r="D57" s="2" t="str">
        <x:v>F</x:v>
      </x:c>
      <x:c r="E57" s="9" t="n">
        <x:v>8.143673717766994</x:v>
      </x:c>
      <x:c r="F57" s="10" t="n">
        <x:v>2</x:v>
      </x:c>
      <x:c r="G57" s="10" t="n">
        <x:v>46</x:v>
      </x:c>
      <x:c r="H57" s="10"/>
      <x:c r="I57" s="10"/>
      <x:c r="J57" s="11" t="n">
        <x:v>0.0009380670699291975</x:v>
      </x:c>
      <x:c r="K57" s="11"/>
      <x:c r="L57" s="11" t="n">
        <x:v>0.0017678956317896414</x:v>
      </x:c>
      <x:c r="M57" s="11" t="n">
        <x:v>0.04408915228667228</x:v>
      </x:c>
    </x:row>
    <x:row r="58" ht="23" customHeight="1">
      <x:c r="A58" s="2" t="str">
        <x:v>仅已转变者TBU</x:v>
      </x:c>
      <x:c r="B58" s="2" t="str">
        <x:v>additive</x:v>
      </x:c>
      <x:c r="C58" s="2" t="str">
        <x:v>Response timing RT</x:v>
      </x:c>
      <x:c r="D58" s="2" t="str">
        <x:v>F</x:v>
      </x:c>
      <x:c r="E58" s="9" t="n">
        <x:v>105.35716734716752</x:v>
      </x:c>
      <x:c r="F58" s="10" t="n">
        <x:v>2</x:v>
      </x:c>
      <x:c r="G58" s="10" t="n">
        <x:v>46</x:v>
      </x:c>
      <x:c r="H58" s="10"/>
      <x:c r="I58" s="10"/>
      <x:c r="J58" s="11" t="n">
        <x:v>6.7000396017313865e-18</x:v>
      </x:c>
      <x:c r="K58" s="11"/>
      <x:c r="L58" s="11" t="n">
        <x:v>1.3132077619393518e-16</x:v>
      </x:c>
      <x:c r="M58" s="11" t="n">
        <x:v>6.298037225627504e-16</x:v>
      </x:c>
    </x:row>
    <x:row r="59" ht="23" customHeight="1">
      <x:c r="A59" s="2" t="str">
        <x:v>仅已转变者TBU</x:v>
      </x:c>
      <x:c r="B59" s="2" t="str">
        <x:v>additive</x:v>
      </x:c>
      <x:c r="C59" s="2" t="str">
        <x:v>Targeting capacity TC</x:v>
      </x:c>
      <x:c r="D59" s="2" t="str">
        <x:v>F</x:v>
      </x:c>
      <x:c r="E59" s="9" t="n">
        <x:v>15.764807810731215</x:v>
      </x:c>
      <x:c r="F59" s="10" t="n">
        <x:v>1</x:v>
      </x:c>
      <x:c r="G59" s="10" t="n">
        <x:v>46</x:v>
      </x:c>
      <x:c r="H59" s="10"/>
      <x:c r="I59" s="10"/>
      <x:c r="J59" s="11" t="n">
        <x:v>0.00024989641689395327</x:v>
      </x:c>
      <x:c r="K59" s="11"/>
      <x:c r="L59" s="11" t="n">
        <x:v>0.0005102051844918212</x:v>
      </x:c>
      <x:c r="M59" s="11" t="n">
        <x:v>0.012744717261591617</x:v>
      </x:c>
    </x:row>
    <x:row r="60" ht="23" customHeight="1">
      <x:c r="A60" s="2" t="str">
        <x:v>仅已转变者TBU</x:v>
      </x:c>
      <x:c r="B60" s="2" t="str">
        <x:v>additive</x:v>
      </x:c>
      <x:c r="C60" s="2" t="str">
        <x:v>Group cocooning DGC</x:v>
      </x:c>
      <x:c r="D60" s="2" t="str">
        <x:v>F</x:v>
      </x:c>
      <x:c r="E60" s="9" t="n">
        <x:v>1.1918441252741696</x:v>
      </x:c>
      <x:c r="F60" s="10" t="n">
        <x:v>2</x:v>
      </x:c>
      <x:c r="G60" s="10" t="n">
        <x:v>46</x:v>
      </x:c>
      <x:c r="H60" s="10"/>
      <x:c r="I60" s="10"/>
      <x:c r="J60" s="11" t="n">
        <x:v>0.3128627012927783</x:v>
      </x:c>
      <x:c r="K60" s="11"/>
      <x:c r="L60" s="11" t="n">
        <x:v>0.4318386581224264</x:v>
      </x:c>
      <x:c r="M60" s="11" t="n">
        <x:v>1</x:v>
      </x:c>
    </x:row>
    <x:row r="61" ht="23" customHeight="1">
      <x:c r="A61" s="2" t="str">
        <x:v>仅已转变者TBU</x:v>
      </x:c>
      <x:c r="B61" s="2" t="str">
        <x:v>all_two_way</x:v>
      </x:c>
      <x:c r="C61" s="2" t="str">
        <x:v>Government credibility GC</x:v>
      </x:c>
      <x:c r="D61" s="2" t="str">
        <x:v>F</x:v>
      </x:c>
      <x:c r="E61" s="9" t="n">
        <x:v>10.162989494247865</x:v>
      </x:c>
      <x:c r="F61" s="10" t="n">
        <x:v>2</x:v>
      </x:c>
      <x:c r="G61" s="10" t="n">
        <x:v>28</x:v>
      </x:c>
      <x:c r="H61" s="10"/>
      <x:c r="I61" s="10"/>
      <x:c r="J61" s="11" t="n">
        <x:v>0.00048048871106230056</x:v>
      </x:c>
      <x:c r="K61" s="11"/>
      <x:c r="L61" s="11" t="n">
        <x:v>0.0009417578736821091</x:v>
      </x:c>
      <x:c r="M61" s="11" t="n">
        <x:v>0.02354394684205273</x:v>
      </x:c>
    </x:row>
    <x:row r="62" ht="23" customHeight="1">
      <x:c r="A62" s="2" t="str">
        <x:v>仅已转变者TBU</x:v>
      </x:c>
      <x:c r="B62" s="2" t="str">
        <x:v>all_two_way</x:v>
      </x:c>
      <x:c r="C62" s="2" t="str">
        <x:v>Response timing RT</x:v>
      </x:c>
      <x:c r="D62" s="2" t="str">
        <x:v>F</x:v>
      </x:c>
      <x:c r="E62" s="9" t="n">
        <x:v>101.03828855894739</x:v>
      </x:c>
      <x:c r="F62" s="10" t="n">
        <x:v>2</x:v>
      </x:c>
      <x:c r="G62" s="10" t="n">
        <x:v>28</x:v>
      </x:c>
      <x:c r="H62" s="10"/>
      <x:c r="I62" s="10"/>
      <x:c r="J62" s="11" t="n">
        <x:v>1.5631430756425007e-13</x:v>
      </x:c>
      <x:c r="K62" s="11"/>
      <x:c r="L62" s="11" t="n">
        <x:v>1.3926183764815007e-12</x:v>
      </x:c>
      <x:c r="M62" s="11" t="n">
        <x:v>1.3755659065654006e-11</x:v>
      </x:c>
    </x:row>
    <x:row r="63" ht="23" customHeight="1">
      <x:c r="A63" s="2" t="str">
        <x:v>仅已转变者TBU</x:v>
      </x:c>
      <x:c r="B63" s="2" t="str">
        <x:v>all_two_way</x:v>
      </x:c>
      <x:c r="C63" s="2" t="str">
        <x:v>Targeting capacity TC</x:v>
      </x:c>
      <x:c r="D63" s="2" t="str">
        <x:v>F</x:v>
      </x:c>
      <x:c r="E63" s="9" t="n">
        <x:v>16.149621057075432</x:v>
      </x:c>
      <x:c r="F63" s="10" t="n">
        <x:v>1</x:v>
      </x:c>
      <x:c r="G63" s="10" t="n">
        <x:v>28</x:v>
      </x:c>
      <x:c r="H63" s="10"/>
      <x:c r="I63" s="10"/>
      <x:c r="J63" s="11" t="n">
        <x:v>0.00039969338136499255</x:v>
      </x:c>
      <x:c r="K63" s="11"/>
      <x:c r="L63" s="11" t="n">
        <x:v>0.0007993867627299851</x:v>
      </x:c>
      <x:c r="M63" s="11" t="n">
        <x:v>0.019984669068249628</x:v>
      </x:c>
    </x:row>
    <x:row r="64" ht="23" customHeight="1">
      <x:c r="A64" s="2" t="str">
        <x:v>仅已转变者TBU</x:v>
      </x:c>
      <x:c r="B64" s="2" t="str">
        <x:v>all_two_way</x:v>
      </x:c>
      <x:c r="C64" s="2" t="str">
        <x:v>Group cocooning DGC</x:v>
      </x:c>
      <x:c r="D64" s="2" t="str">
        <x:v>F</x:v>
      </x:c>
      <x:c r="E64" s="9" t="n">
        <x:v>1.2703328977160337</x:v>
      </x:c>
      <x:c r="F64" s="10" t="n">
        <x:v>2</x:v>
      </x:c>
      <x:c r="G64" s="10" t="n">
        <x:v>28</x:v>
      </x:c>
      <x:c r="H64" s="10"/>
      <x:c r="I64" s="10"/>
      <x:c r="J64" s="11" t="n">
        <x:v>0.2964240459900714</x:v>
      </x:c>
      <x:c r="K64" s="11"/>
      <x:c r="L64" s="11" t="n">
        <x:v>0.4210080653192318</x:v>
      </x:c>
      <x:c r="M64" s="11" t="n">
        <x:v>1</x:v>
      </x:c>
    </x:row>
    <x:row r="65" ht="23" customHeight="1">
      <x:c r="A65" s="2" t="str">
        <x:v>总相信负担</x:v>
      </x:c>
      <x:c r="B65" s="2" t="str">
        <x:v>primary</x:v>
      </x:c>
      <x:c r="C65" s="2" t="str">
        <x:v>Government credibility GC</x:v>
      </x:c>
      <x:c r="D65" s="2" t="str">
        <x:v>F</x:v>
      </x:c>
      <x:c r="E65" s="9" t="n">
        <x:v>92.08903088652545</x:v>
      </x:c>
      <x:c r="F65" s="10" t="n">
        <x:v>2</x:v>
      </x:c>
      <x:c r="G65" s="10" t="n">
        <x:v>36</x:v>
      </x:c>
      <x:c r="H65" s="10"/>
      <x:c r="I65" s="10"/>
      <x:c r="J65" s="11" t="n">
        <x:v>6.974486150534521e-15</x:v>
      </x:c>
      <x:c r="K65" s="11"/>
      <x:c r="L65" s="11" t="n">
        <x:v>6.83499642752383e-14</x:v>
      </x:c>
      <x:c r="M65" s="11" t="n">
        <x:v>6.207292673975724e-13</x:v>
      </x:c>
    </x:row>
    <x:row r="66" ht="23" customHeight="1">
      <x:c r="A66" s="2" t="str">
        <x:v>总相信负担</x:v>
      </x:c>
      <x:c r="B66" s="2" t="str">
        <x:v>primary</x:v>
      </x:c>
      <x:c r="C66" s="2" t="str">
        <x:v>Response timing RT</x:v>
      </x:c>
      <x:c r="D66" s="2" t="str">
        <x:v>F</x:v>
      </x:c>
      <x:c r="E66" s="9" t="n">
        <x:v>216.02646138944576</x:v>
      </x:c>
      <x:c r="F66" s="10" t="n">
        <x:v>2</x:v>
      </x:c>
      <x:c r="G66" s="10" t="n">
        <x:v>36</x:v>
      </x:c>
      <x:c r="H66" s="10"/>
      <x:c r="I66" s="10"/>
      <x:c r="J66" s="11" t="n">
        <x:v>8.874332685358457e-21</x:v>
      </x:c>
      <x:c r="K66" s="11"/>
      <x:c r="L66" s="11" t="n">
        <x:v>2.898948677217096e-19</x:v>
      </x:c>
      <x:c r="M66" s="11" t="n">
        <x:v>8.519359377944119e-19</x:v>
      </x:c>
    </x:row>
    <x:row r="67" ht="23" customHeight="1">
      <x:c r="A67" s="2" t="str">
        <x:v>总相信负担</x:v>
      </x:c>
      <x:c r="B67" s="2" t="str">
        <x:v>primary</x:v>
      </x:c>
      <x:c r="C67" s="2" t="str">
        <x:v>Targeting capacity TC</x:v>
      </x:c>
      <x:c r="D67" s="2" t="str">
        <x:v>F</x:v>
      </x:c>
      <x:c r="E67" s="9" t="n">
        <x:v>37.435885899397036</x:v>
      </x:c>
      <x:c r="F67" s="10" t="n">
        <x:v>1</x:v>
      </x:c>
      <x:c r="G67" s="10" t="n">
        <x:v>36</x:v>
      </x:c>
      <x:c r="H67" s="10"/>
      <x:c r="I67" s="10"/>
      <x:c r="J67" s="11" t="n">
        <x:v>4.828119048074444e-7</x:v>
      </x:c>
      <x:c r="K67" s="11"/>
      <x:c r="L67" s="11" t="n">
        <x:v>0.0000016315712645217085</x:v>
      </x:c>
      <x:c r="M67" s="11" t="n">
        <x:v>0.000033796833336521106</x:v>
      </x:c>
    </x:row>
    <x:row r="68" ht="23" customHeight="1">
      <x:c r="A68" s="2" t="str">
        <x:v>总相信负担</x:v>
      </x:c>
      <x:c r="B68" s="2" t="str">
        <x:v>primary</x:v>
      </x:c>
      <x:c r="C68" s="2" t="str">
        <x:v>Group cocooning DGC</x:v>
      </x:c>
      <x:c r="D68" s="2" t="str">
        <x:v>F</x:v>
      </x:c>
      <x:c r="E68" s="9" t="n">
        <x:v>359.1352747012168</x:v>
      </x:c>
      <x:c r="F68" s="10" t="n">
        <x:v>2</x:v>
      </x:c>
      <x:c r="G68" s="10" t="n">
        <x:v>36</x:v>
      </x:c>
      <x:c r="H68" s="10"/>
      <x:c r="I68" s="10"/>
      <x:c r="J68" s="11" t="n">
        <x:v>1.6517955681617085e-24</x:v>
      </x:c>
      <x:c r="K68" s="11"/>
      <x:c r="L68" s="11" t="n">
        <x:v>1.6187596567984744e-22</x:v>
      </x:c>
      <x:c r="M68" s="11" t="n">
        <x:v>1.6187596567984744e-22</x:v>
      </x:c>
    </x:row>
    <x:row r="69" ht="23" customHeight="1">
      <x:c r="A69" s="2" t="str">
        <x:v>总相信负担</x:v>
      </x:c>
      <x:c r="B69" s="2" t="str">
        <x:v>additive</x:v>
      </x:c>
      <x:c r="C69" s="2" t="str">
        <x:v>Government credibility GC</x:v>
      </x:c>
      <x:c r="D69" s="2" t="str">
        <x:v>F</x:v>
      </x:c>
      <x:c r="E69" s="9" t="n">
        <x:v>19.80451703628097</x:v>
      </x:c>
      <x:c r="F69" s="10" t="n">
        <x:v>2</x:v>
      </x:c>
      <x:c r="G69" s="10" t="n">
        <x:v>46</x:v>
      </x:c>
      <x:c r="H69" s="10"/>
      <x:c r="I69" s="10"/>
      <x:c r="J69" s="11" t="n">
        <x:v>6.244237301042346e-7</x:v>
      </x:c>
      <x:c r="K69" s="11"/>
      <x:c r="L69" s="11" t="n">
        <x:v>0.0000019739846951682255</x:v>
      </x:c>
      <x:c r="M69" s="11" t="n">
        <x:v>0.000042460813647087954</x:v>
      </x:c>
    </x:row>
    <x:row r="70" ht="23" customHeight="1">
      <x:c r="A70" s="2" t="str">
        <x:v>总相信负担</x:v>
      </x:c>
      <x:c r="B70" s="2" t="str">
        <x:v>additive</x:v>
      </x:c>
      <x:c r="C70" s="2" t="str">
        <x:v>Response timing RT</x:v>
      </x:c>
      <x:c r="D70" s="2" t="str">
        <x:v>F</x:v>
      </x:c>
      <x:c r="E70" s="9" t="n">
        <x:v>31.302827958692205</x:v>
      </x:c>
      <x:c r="F70" s="10" t="n">
        <x:v>2</x:v>
      </x:c>
      <x:c r="G70" s="10" t="n">
        <x:v>46</x:v>
      </x:c>
      <x:c r="H70" s="10"/>
      <x:c r="I70" s="10"/>
      <x:c r="J70" s="11" t="n">
        <x:v>2.6231549393692347e-9</x:v>
      </x:c>
      <x:c r="K70" s="11"/>
      <x:c r="L70" s="11" t="n">
        <x:v>1.3529957055693949e-8</x:v>
      </x:c>
      <x:c r="M70" s="11" t="n">
        <x:v>2.098523951495388e-7</x:v>
      </x:c>
    </x:row>
    <x:row r="71" ht="23" customHeight="1">
      <x:c r="A71" s="2" t="str">
        <x:v>总相信负担</x:v>
      </x:c>
      <x:c r="B71" s="2" t="str">
        <x:v>additive</x:v>
      </x:c>
      <x:c r="C71" s="2" t="str">
        <x:v>Targeting capacity TC</x:v>
      </x:c>
      <x:c r="D71" s="2" t="str">
        <x:v>F</x:v>
      </x:c>
      <x:c r="E71" s="9" t="n">
        <x:v>7.092816808099404</x:v>
      </x:c>
      <x:c r="F71" s="10" t="n">
        <x:v>1</x:v>
      </x:c>
      <x:c r="G71" s="10" t="n">
        <x:v>46</x:v>
      </x:c>
      <x:c r="H71" s="10"/>
      <x:c r="I71" s="10"/>
      <x:c r="J71" s="11" t="n">
        <x:v>0.010631107048765027</x:v>
      </x:c>
      <x:c r="K71" s="11"/>
      <x:c r="L71" s="11" t="n">
        <x:v>0.01894269983234496</x:v>
      </x:c>
      <x:c r="M71" s="11" t="n">
        <x:v>0.46776871014566124</x:v>
      </x:c>
    </x:row>
    <x:row r="72" ht="23" customHeight="1">
      <x:c r="A72" s="2" t="str">
        <x:v>总相信负担</x:v>
      </x:c>
      <x:c r="B72" s="2" t="str">
        <x:v>additive</x:v>
      </x:c>
      <x:c r="C72" s="2" t="str">
        <x:v>Group cocooning DGC</x:v>
      </x:c>
      <x:c r="D72" s="2" t="str">
        <x:v>F</x:v>
      </x:c>
      <x:c r="E72" s="9" t="n">
        <x:v>54.15657170486482</x:v>
      </x:c>
      <x:c r="F72" s="10" t="n">
        <x:v>2</x:v>
      </x:c>
      <x:c r="G72" s="10" t="n">
        <x:v>46</x:v>
      </x:c>
      <x:c r="H72" s="10"/>
      <x:c r="I72" s="10"/>
      <x:c r="J72" s="11" t="n">
        <x:v>8.131356703908955e-13</x:v>
      </x:c>
      <x:c r="K72" s="11"/>
      <x:c r="L72" s="11" t="n">
        <x:v>6.1297919767929045e-12</x:v>
      </x:c>
      <x:c r="M72" s="11" t="n">
        <x:v>6.992966765361702e-11</x:v>
      </x:c>
    </x:row>
    <x:row r="73" ht="23" customHeight="1">
      <x:c r="A73" s="2" t="str">
        <x:v>总相信负担</x:v>
      </x:c>
      <x:c r="B73" s="2" t="str">
        <x:v>all_two_way</x:v>
      </x:c>
      <x:c r="C73" s="2" t="str">
        <x:v>Government credibility GC</x:v>
      </x:c>
      <x:c r="D73" s="2" t="str">
        <x:v>F</x:v>
      </x:c>
      <x:c r="E73" s="9" t="n">
        <x:v>72.62298195227913</x:v>
      </x:c>
      <x:c r="F73" s="10" t="n">
        <x:v>2</x:v>
      </x:c>
      <x:c r="G73" s="10" t="n">
        <x:v>28</x:v>
      </x:c>
      <x:c r="H73" s="10"/>
      <x:c r="I73" s="10"/>
      <x:c r="J73" s="11" t="n">
        <x:v>8.297144988394594e-12</x:v>
      </x:c>
      <x:c r="K73" s="11"/>
      <x:c r="L73" s="11" t="n">
        <x:v>5.808001491876216e-11</x:v>
      </x:c>
      <x:c r="M73" s="11" t="n">
        <x:v>7.052573240135405e-10</x:v>
      </x:c>
    </x:row>
    <x:row r="74" ht="23" customHeight="1">
      <x:c r="A74" s="2" t="str">
        <x:v>总相信负担</x:v>
      </x:c>
      <x:c r="B74" s="2" t="str">
        <x:v>all_two_way</x:v>
      </x:c>
      <x:c r="C74" s="2" t="str">
        <x:v>Response timing RT</x:v>
      </x:c>
      <x:c r="D74" s="2" t="str">
        <x:v>F</x:v>
      </x:c>
      <x:c r="E74" s="9" t="n">
        <x:v>175.77120913788931</x:v>
      </x:c>
      <x:c r="F74" s="10" t="n">
        <x:v>2</x:v>
      </x:c>
      <x:c r="G74" s="10" t="n">
        <x:v>28</x:v>
      </x:c>
      <x:c r="H74" s="10"/>
      <x:c r="I74" s="10"/>
      <x:c r="J74" s="11" t="n">
        <x:v>1.4143860139533553e-16</x:v>
      </x:c>
      <x:c r="K74" s="11"/>
      <x:c r="L74" s="11" t="n">
        <x:v>1.7326228670928604e-15</x:v>
      </x:c>
      <x:c r="M74" s="11" t="n">
        <x:v>1.2870912726975534e-14</x:v>
      </x:c>
    </x:row>
    <x:row r="75" ht="23" customHeight="1">
      <x:c r="A75" s="2" t="str">
        <x:v>总相信负担</x:v>
      </x:c>
      <x:c r="B75" s="2" t="str">
        <x:v>all_two_way</x:v>
      </x:c>
      <x:c r="C75" s="2" t="str">
        <x:v>Targeting capacity TC</x:v>
      </x:c>
      <x:c r="D75" s="2" t="str">
        <x:v>F</x:v>
      </x:c>
      <x:c r="E75" s="9" t="n">
        <x:v>27.917517895054768</x:v>
      </x:c>
      <x:c r="F75" s="10" t="n">
        <x:v>1</x:v>
      </x:c>
      <x:c r="G75" s="10" t="n">
        <x:v>28</x:v>
      </x:c>
      <x:c r="H75" s="10"/>
      <x:c r="I75" s="10"/>
      <x:c r="J75" s="11" t="n">
        <x:v>0.000012774081367728393</x:v>
      </x:c>
      <x:c r="K75" s="11"/>
      <x:c r="L75" s="11" t="n">
        <x:v>0.000031296499350934564</x:v>
      </x:c>
      <x:c r="M75" s="11" t="n">
        <x:v>0.0007536708006959752</x:v>
      </x:c>
    </x:row>
    <x:row r="76" ht="23" customHeight="1">
      <x:c r="A76" s="2" t="str">
        <x:v>总相信负担</x:v>
      </x:c>
      <x:c r="B76" s="2" t="str">
        <x:v>all_two_way</x:v>
      </x:c>
      <x:c r="C76" s="2" t="str">
        <x:v>Group cocooning DGC</x:v>
      </x:c>
      <x:c r="D76" s="2" t="str">
        <x:v>F</x:v>
      </x:c>
      <x:c r="E76" s="9" t="n">
        <x:v>252.99630261361742</x:v>
      </x:c>
      <x:c r="F76" s="10" t="n">
        <x:v>2</x:v>
      </x:c>
      <x:c r="G76" s="10" t="n">
        <x:v>28</x:v>
      </x:c>
      <x:c r="H76" s="10"/>
      <x:c r="I76" s="10"/>
      <x:c r="J76" s="11" t="n">
        <x:v>1.187733587317639e-18</x:v>
      </x:c>
      <x:c r="K76" s="11"/>
      <x:c r="L76" s="11" t="n">
        <x:v>2.909947288928216e-17</x:v>
      </x:c>
      <x:c r="M76" s="11" t="n">
        <x:v>1.128346907951757e-16</x:v>
      </x:c>
    </x:row>
    <x:row r="77" ht="23" customHeight="1">
      <x:c r="A77" s="2" t="str">
        <x:v>TBU9</x:v>
      </x:c>
      <x:c r="B77" s="2" t="str">
        <x:v>wild_main</x:v>
      </x:c>
      <x:c r="C77" s="2" t="str">
        <x:v>Government credibility GC</x:v>
      </x:c>
      <x:c r="D77" s="2" t="str">
        <x:v>F</x:v>
      </x:c>
      <x:c r="E77" s="9" t="n">
        <x:v>23.523917959461983</x:v>
      </x:c>
      <x:c r="F77" s="10" t="n">
        <x:v>2</x:v>
      </x:c>
      <x:c r="G77" s="10" t="n">
        <x:v>36</x:v>
      </x:c>
      <x:c r="H77" s="10"/>
      <x:c r="I77" s="10" t="n">
        <x:v>9999</x:v>
      </x:c>
      <x:c r="J77" s="11" t="n">
        <x:v>0.0001</x:v>
      </x:c>
      <x:c r="K77" s="11" t="n">
        <x:v>0.0008</x:v>
      </x:c>
      <x:c r="L77" s="11" t="n">
        <x:v>0.00021304347826086957</x:v>
      </x:c>
      <x:c r="M77" s="11" t="n">
        <x:v>0.0057</x:v>
      </x:c>
    </x:row>
    <x:row r="78" ht="23" customHeight="1">
      <x:c r="A78" s="2" t="str">
        <x:v>TBU9</x:v>
      </x:c>
      <x:c r="B78" s="2" t="str">
        <x:v>wild_main</x:v>
      </x:c>
      <x:c r="C78" s="2" t="str">
        <x:v>Response timing RT</x:v>
      </x:c>
      <x:c r="D78" s="2" t="str">
        <x:v>F</x:v>
      </x:c>
      <x:c r="E78" s="9" t="n">
        <x:v>139.74253445328077</x:v>
      </x:c>
      <x:c r="F78" s="10" t="n">
        <x:v>2</x:v>
      </x:c>
      <x:c r="G78" s="10" t="n">
        <x:v>36</x:v>
      </x:c>
      <x:c r="H78" s="10"/>
      <x:c r="I78" s="10" t="n">
        <x:v>9999</x:v>
      </x:c>
      <x:c r="J78" s="11" t="n">
        <x:v>0.0001</x:v>
      </x:c>
      <x:c r="K78" s="11" t="n">
        <x:v>0.0008</x:v>
      </x:c>
      <x:c r="L78" s="11" t="n">
        <x:v>0.00021304347826086957</x:v>
      </x:c>
      <x:c r="M78" s="11" t="n">
        <x:v>0.0057</x:v>
      </x:c>
    </x:row>
    <x:row r="79" ht="23" customHeight="1">
      <x:c r="A79" s="2" t="str">
        <x:v>TBU9</x:v>
      </x:c>
      <x:c r="B79" s="2" t="str">
        <x:v>wild_main</x:v>
      </x:c>
      <x:c r="C79" s="2" t="str">
        <x:v>Targeting capacity TC</x:v>
      </x:c>
      <x:c r="D79" s="2" t="str">
        <x:v>F</x:v>
      </x:c>
      <x:c r="E79" s="9" t="n">
        <x:v>34.19672464705187</x:v>
      </x:c>
      <x:c r="F79" s="10" t="n">
        <x:v>1</x:v>
      </x:c>
      <x:c r="G79" s="10" t="n">
        <x:v>36</x:v>
      </x:c>
      <x:c r="H79" s="10"/>
      <x:c r="I79" s="10" t="n">
        <x:v>9999</x:v>
      </x:c>
      <x:c r="J79" s="11" t="n">
        <x:v>0.0001</x:v>
      </x:c>
      <x:c r="K79" s="11" t="n">
        <x:v>0.0008</x:v>
      </x:c>
      <x:c r="L79" s="11" t="n">
        <x:v>0.00021304347826086957</x:v>
      </x:c>
      <x:c r="M79" s="11" t="n">
        <x:v>0.0057</x:v>
      </x:c>
    </x:row>
    <x:row r="80" ht="23" customHeight="1">
      <x:c r="A80" s="2" t="str">
        <x:v>TBU9</x:v>
      </x:c>
      <x:c r="B80" s="2" t="str">
        <x:v>wild_main</x:v>
      </x:c>
      <x:c r="C80" s="2" t="str">
        <x:v>Group cocooning DGC</x:v>
      </x:c>
      <x:c r="D80" s="2" t="str">
        <x:v>F</x:v>
      </x:c>
      <x:c r="E80" s="9" t="n">
        <x:v>0.04063095909251959</x:v>
      </x:c>
      <x:c r="F80" s="10" t="n">
        <x:v>2</x:v>
      </x:c>
      <x:c r="G80" s="10" t="n">
        <x:v>36</x:v>
      </x:c>
      <x:c r="H80" s="10"/>
      <x:c r="I80" s="10" t="n">
        <x:v>9999</x:v>
      </x:c>
      <x:c r="J80" s="11" t="n">
        <x:v>0.9444</x:v>
      </x:c>
      <x:c r="K80" s="11" t="n">
        <x:v>1</x:v>
      </x:c>
      <x:c r="L80" s="11" t="n">
        <x:v>0.96875</x:v>
      </x:c>
      <x:c r="M80" s="11" t="n">
        <x:v>1</x:v>
      </x:c>
    </x:row>
    <x:row r="81" ht="23" customHeight="1">
      <x:c r="A81" s="2" t="str">
        <x:v>TBU9</x:v>
      </x:c>
      <x:c r="B81" s="2" t="str">
        <x:v>wild_moderation</x:v>
      </x:c>
      <x:c r="C81" s="2" t="str">
        <x:v>Government credibility GC</x:v>
      </x:c>
      <x:c r="D81" s="2" t="str">
        <x:v>F</x:v>
      </x:c>
      <x:c r="E81" s="9" t="n">
        <x:v>1.6873637531899242</x:v>
      </x:c>
      <x:c r="F81" s="10" t="n">
        <x:v>4</x:v>
      </x:c>
      <x:c r="G81" s="10" t="n">
        <x:v>36</x:v>
      </x:c>
      <x:c r="H81" s="10"/>
      <x:c r="I81" s="10" t="n">
        <x:v>9999</x:v>
      </x:c>
      <x:c r="J81" s="11" t="n">
        <x:v>0.0801</x:v>
      </x:c>
      <x:c r="K81" s="11" t="n">
        <x:v>0.4806</x:v>
      </x:c>
      <x:c r="L81" s="11" t="n">
        <x:v>0.13083</x:v>
      </x:c>
      <x:c r="M81" s="11" t="n">
        <x:v>1</x:v>
      </x:c>
    </x:row>
    <x:row r="82" ht="23" customHeight="1">
      <x:c r="A82" s="2" t="str">
        <x:v>TBU9</x:v>
      </x:c>
      <x:c r="B82" s="2" t="str">
        <x:v>wild_moderation</x:v>
      </x:c>
      <x:c r="C82" s="2" t="str">
        <x:v>Response timing RT</x:v>
      </x:c>
      <x:c r="D82" s="2" t="str">
        <x:v>F</x:v>
      </x:c>
      <x:c r="E82" s="9" t="n">
        <x:v>0.47383765166479613</x:v>
      </x:c>
      <x:c r="F82" s="10" t="n">
        <x:v>4</x:v>
      </x:c>
      <x:c r="G82" s="10" t="n">
        <x:v>36</x:v>
      </x:c>
      <x:c r="H82" s="10"/>
      <x:c r="I82" s="10" t="n">
        <x:v>9999</x:v>
      </x:c>
      <x:c r="J82" s="11" t="n">
        <x:v>0.63</x:v>
      </x:c>
      <x:c r="K82" s="11" t="n">
        <x:v>1</x:v>
      </x:c>
      <x:c r="L82" s="11" t="n">
        <x:v>0.7717499999999999</x:v>
      </x:c>
      <x:c r="M82" s="11" t="n">
        <x:v>1</x:v>
      </x:c>
    </x:row>
    <x:row r="83" ht="23" customHeight="1">
      <x:c r="A83" s="2" t="str">
        <x:v>TBU9</x:v>
      </x:c>
      <x:c r="B83" s="2" t="str">
        <x:v>wild_moderation</x:v>
      </x:c>
      <x:c r="C83" s="2" t="str">
        <x:v>Targeting capacity TC</x:v>
      </x:c>
      <x:c r="D83" s="2" t="str">
        <x:v>F</x:v>
      </x:c>
      <x:c r="E83" s="9" t="n">
        <x:v>0.8952021590998175</x:v>
      </x:c>
      <x:c r="F83" s="10" t="n">
        <x:v>2</x:v>
      </x:c>
      <x:c r="G83" s="10" t="n">
        <x:v>36</x:v>
      </x:c>
      <x:c r="H83" s="10"/>
      <x:c r="I83" s="10" t="n">
        <x:v>9999</x:v>
      </x:c>
      <x:c r="J83" s="11" t="n">
        <x:v>0.2925</x:v>
      </x:c>
      <x:c r="K83" s="11" t="n">
        <x:v>1</x:v>
      </x:c>
      <x:c r="L83" s="11" t="n">
        <x:v>0.4210080653192318</x:v>
      </x:c>
      <x:c r="M83" s="11" t="n">
        <x:v>1</x:v>
      </x:c>
    </x:row>
    <x:row r="84" ht="23" customHeight="1">
      <x:c r="A84" s="2" t="str">
        <x:v>PRUD3</x:v>
      </x:c>
      <x:c r="B84" s="2" t="str">
        <x:v>wild_main</x:v>
      </x:c>
      <x:c r="C84" s="2" t="str">
        <x:v>Government credibility GC</x:v>
      </x:c>
      <x:c r="D84" s="2" t="str">
        <x:v>F</x:v>
      </x:c>
      <x:c r="E84" s="9" t="n">
        <x:v>35.66608951371092</x:v>
      </x:c>
      <x:c r="F84" s="10" t="n">
        <x:v>2</x:v>
      </x:c>
      <x:c r="G84" s="10" t="n">
        <x:v>36</x:v>
      </x:c>
      <x:c r="H84" s="10"/>
      <x:c r="I84" s="10" t="n">
        <x:v>9999</x:v>
      </x:c>
      <x:c r="J84" s="11" t="n">
        <x:v>0.0001</x:v>
      </x:c>
      <x:c r="K84" s="11" t="n">
        <x:v>0.0008</x:v>
      </x:c>
      <x:c r="L84" s="11" t="n">
        <x:v>0.00021304347826086957</x:v>
      </x:c>
      <x:c r="M84" s="11" t="n">
        <x:v>0.0057</x:v>
      </x:c>
    </x:row>
    <x:row r="85" ht="23" customHeight="1">
      <x:c r="A85" s="2" t="str">
        <x:v>PRUD3</x:v>
      </x:c>
      <x:c r="B85" s="2" t="str">
        <x:v>wild_main</x:v>
      </x:c>
      <x:c r="C85" s="2" t="str">
        <x:v>Response timing RT</x:v>
      </x:c>
      <x:c r="D85" s="2" t="str">
        <x:v>F</x:v>
      </x:c>
      <x:c r="E85" s="9" t="n">
        <x:v>1.3234399531092327</x:v>
      </x:c>
      <x:c r="F85" s="10" t="n">
        <x:v>2</x:v>
      </x:c>
      <x:c r="G85" s="10" t="n">
        <x:v>36</x:v>
      </x:c>
      <x:c r="H85" s="10"/>
      <x:c r="I85" s="10" t="n">
        <x:v>9999</x:v>
      </x:c>
      <x:c r="J85" s="11" t="n">
        <x:v>0.174</x:v>
      </x:c>
      <x:c r="K85" s="11" t="n">
        <x:v>0.522</x:v>
      </x:c>
      <x:c r="L85" s="11" t="n">
        <x:v>0.2664375</x:v>
      </x:c>
      <x:c r="M85" s="11" t="n">
        <x:v>1</x:v>
      </x:c>
    </x:row>
    <x:row r="86" ht="23" customHeight="1">
      <x:c r="A86" s="2" t="str">
        <x:v>PRUD3</x:v>
      </x:c>
      <x:c r="B86" s="2" t="str">
        <x:v>wild_main</x:v>
      </x:c>
      <x:c r="C86" s="2" t="str">
        <x:v>Targeting capacity TC</x:v>
      </x:c>
      <x:c r="D86" s="2" t="str">
        <x:v>F</x:v>
      </x:c>
      <x:c r="E86" s="9" t="n">
        <x:v>62.13904157609309</x:v>
      </x:c>
      <x:c r="F86" s="10" t="n">
        <x:v>1</x:v>
      </x:c>
      <x:c r="G86" s="10" t="n">
        <x:v>36</x:v>
      </x:c>
      <x:c r="H86" s="10"/>
      <x:c r="I86" s="10" t="n">
        <x:v>9999</x:v>
      </x:c>
      <x:c r="J86" s="11" t="n">
        <x:v>0.0001</x:v>
      </x:c>
      <x:c r="K86" s="11" t="n">
        <x:v>0.0008</x:v>
      </x:c>
      <x:c r="L86" s="11" t="n">
        <x:v>0.00021304347826086957</x:v>
      </x:c>
      <x:c r="M86" s="11" t="n">
        <x:v>0.0057</x:v>
      </x:c>
    </x:row>
    <x:row r="87" ht="23" customHeight="1">
      <x:c r="A87" s="2" t="str">
        <x:v>PRUD3</x:v>
      </x:c>
      <x:c r="B87" s="2" t="str">
        <x:v>wild_main</x:v>
      </x:c>
      <x:c r="C87" s="2" t="str">
        <x:v>Group cocooning DGC</x:v>
      </x:c>
      <x:c r="D87" s="2" t="str">
        <x:v>F</x:v>
      </x:c>
      <x:c r="E87" s="9" t="n">
        <x:v>0.3129511762014266</x:v>
      </x:c>
      <x:c r="F87" s="10" t="n">
        <x:v>2</x:v>
      </x:c>
      <x:c r="G87" s="10" t="n">
        <x:v>36</x:v>
      </x:c>
      <x:c r="H87" s="10"/>
      <x:c r="I87" s="10" t="n">
        <x:v>9999</x:v>
      </x:c>
      <x:c r="J87" s="11" t="n">
        <x:v>0.6411</x:v>
      </x:c>
      <x:c r="K87" s="11" t="n">
        <x:v>1</x:v>
      </x:c>
      <x:c r="L87" s="11" t="n">
        <x:v>0.7756518518518518</x:v>
      </x:c>
      <x:c r="M87" s="11" t="n">
        <x:v>1</x:v>
      </x:c>
    </x:row>
    <x:row r="88" ht="23" customHeight="1">
      <x:c r="A88" s="2" t="str">
        <x:v>PRUD3</x:v>
      </x:c>
      <x:c r="B88" s="2" t="str">
        <x:v>wild_moderation</x:v>
      </x:c>
      <x:c r="C88" s="2" t="str">
        <x:v>Government credibility GC</x:v>
      </x:c>
      <x:c r="D88" s="2" t="str">
        <x:v>F</x:v>
      </x:c>
      <x:c r="E88" s="9" t="n">
        <x:v>0.6684789960250495</x:v>
      </x:c>
      <x:c r="F88" s="10" t="n">
        <x:v>4</x:v>
      </x:c>
      <x:c r="G88" s="10" t="n">
        <x:v>36</x:v>
      </x:c>
      <x:c r="H88" s="10"/>
      <x:c r="I88" s="10" t="n">
        <x:v>9999</x:v>
      </x:c>
      <x:c r="J88" s="11" t="n">
        <x:v>0.453</x:v>
      </x:c>
      <x:c r="K88" s="11" t="n">
        <x:v>1</x:v>
      </x:c>
      <x:c r="L88" s="11" t="n">
        <x:v>0.59192</x:v>
      </x:c>
      <x:c r="M88" s="11" t="n">
        <x:v>1</x:v>
      </x:c>
    </x:row>
    <x:row r="89" ht="23" customHeight="1">
      <x:c r="A89" s="2" t="str">
        <x:v>PRUD3</x:v>
      </x:c>
      <x:c r="B89" s="2" t="str">
        <x:v>wild_moderation</x:v>
      </x:c>
      <x:c r="C89" s="2" t="str">
        <x:v>Response timing RT</x:v>
      </x:c>
      <x:c r="D89" s="2" t="str">
        <x:v>F</x:v>
      </x:c>
      <x:c r="E89" s="9" t="n">
        <x:v>0.6144449761374204</x:v>
      </x:c>
      <x:c r="F89" s="10" t="n">
        <x:v>4</x:v>
      </x:c>
      <x:c r="G89" s="10" t="n">
        <x:v>36</x:v>
      </x:c>
      <x:c r="H89" s="10"/>
      <x:c r="I89" s="10" t="n">
        <x:v>9999</x:v>
      </x:c>
      <x:c r="J89" s="11" t="n">
        <x:v>0.5051</x:v>
      </x:c>
      <x:c r="K89" s="11" t="n">
        <x:v>1</x:v>
      </x:c>
      <x:c r="L89" s="11" t="n">
        <x:v>0.6428545454545455</x:v>
      </x:c>
      <x:c r="M89" s="11" t="n">
        <x:v>1</x:v>
      </x:c>
    </x:row>
    <x:row r="90" ht="23" customHeight="1">
      <x:c r="A90" s="2" t="str">
        <x:v>PRUD3</x:v>
      </x:c>
      <x:c r="B90" s="2" t="str">
        <x:v>wild_moderation</x:v>
      </x:c>
      <x:c r="C90" s="2" t="str">
        <x:v>Targeting capacity TC</x:v>
      </x:c>
      <x:c r="D90" s="2" t="str">
        <x:v>F</x:v>
      </x:c>
      <x:c r="E90" s="9" t="n">
        <x:v>0.22501356896746247</x:v>
      </x:c>
      <x:c r="F90" s="10" t="n">
        <x:v>2</x:v>
      </x:c>
      <x:c r="G90" s="10" t="n">
        <x:v>36</x:v>
      </x:c>
      <x:c r="H90" s="10"/>
      <x:c r="I90" s="10" t="n">
        <x:v>9999</x:v>
      </x:c>
      <x:c r="J90" s="11" t="n">
        <x:v>0.7279</x:v>
      </x:c>
      <x:c r="K90" s="11" t="n">
        <x:v>1</x:v>
      </x:c>
      <x:c r="L90" s="11" t="n">
        <x:v>0.816579399845108</x:v>
      </x:c>
      <x:c r="M90" s="11" t="n">
        <x:v>1</x:v>
      </x:c>
    </x:row>
    <x:row r="91" ht="23" customHeight="1">
      <x:c r="A91" s="2" t="str">
        <x:v>TBU9</x:v>
      </x:c>
      <x:c r="B91" s="2" t="str">
        <x:v>matched</x:v>
      </x:c>
      <x:c r="C91" s="2" t="str">
        <x:v>Government credibility GC</x:v>
      </x:c>
      <x:c r="D91" s="2" t="str">
        <x:v>Friedman Q</x:v>
      </x:c>
      <x:c r="E91" s="9" t="n">
        <x:v>21</x:v>
      </x:c>
      <x:c r="F91" s="10"/>
      <x:c r="G91" s="10" t="n">
        <x:v>2</x:v>
      </x:c>
      <x:c r="H91" s="10" t="n">
        <x:v>18</x:v>
      </x:c>
      <x:c r="I91" s="10" t="n">
        <x:v>99999</x:v>
      </x:c>
      <x:c r="J91" s="11" t="n">
        <x:v>0.00003</x:v>
      </x:c>
      <x:c r="K91" s="11" t="n">
        <x:v>0.00012</x:v>
      </x:c>
      <x:c r="L91" s="11" t="n">
        <x:v>0.00007170731707317073</x:v>
      </x:c>
      <x:c r="M91" s="11" t="n">
        <x:v>0.00174</x:v>
      </x:c>
    </x:row>
    <x:row r="92" ht="23" customHeight="1">
      <x:c r="A92" s="2" t="str">
        <x:v>TBU9</x:v>
      </x:c>
      <x:c r="B92" s="2" t="str">
        <x:v>matched</x:v>
      </x:c>
      <x:c r="C92" s="2" t="str">
        <x:v>Response timing RT</x:v>
      </x:c>
      <x:c r="D92" s="2" t="str">
        <x:v>Friedman Q</x:v>
      </x:c>
      <x:c r="E92" s="9" t="n">
        <x:v>36</x:v>
      </x:c>
      <x:c r="F92" s="10"/>
      <x:c r="G92" s="10" t="n">
        <x:v>2</x:v>
      </x:c>
      <x:c r="H92" s="10" t="n">
        <x:v>18</x:v>
      </x:c>
      <x:c r="I92" s="10" t="n">
        <x:v>99999</x:v>
      </x:c>
      <x:c r="J92" s="11" t="n">
        <x:v>0.00001</x:v>
      </x:c>
      <x:c r="K92" s="11" t="n">
        <x:v>0.00008</x:v>
      </x:c>
      <x:c r="L92" s="11" t="n">
        <x:v>0.00002512820512820513</x:v>
      </x:c>
      <x:c r="M92" s="11" t="n">
        <x:v>0.00063</x:v>
      </x:c>
    </x:row>
    <x:row r="93" ht="23" customHeight="1">
      <x:c r="A93" s="2" t="str">
        <x:v>TBU9</x:v>
      </x:c>
      <x:c r="B93" s="2" t="str">
        <x:v>matched</x:v>
      </x:c>
      <x:c r="C93" s="2" t="str">
        <x:v>Targeting capacity TC</x:v>
      </x:c>
      <x:c r="D93" s="2" t="str">
        <x:v>paired t</x:v>
      </x:c>
      <x:c r="E93" s="9" t="n">
        <x:v>-7.280376998923906</x:v>
      </x:c>
      <x:c r="F93" s="10"/>
      <x:c r="G93" s="10" t="n">
        <x:v>26</x:v>
      </x:c>
      <x:c r="H93" s="10" t="n">
        <x:v>27</x:v>
      </x:c>
      <x:c r="I93" s="10" t="n">
        <x:v>99999</x:v>
      </x:c>
      <x:c r="J93" s="11" t="n">
        <x:v>0.00001</x:v>
      </x:c>
      <x:c r="K93" s="11" t="n">
        <x:v>0.00008</x:v>
      </x:c>
      <x:c r="L93" s="11" t="n">
        <x:v>0.00002512820512820513</x:v>
      </x:c>
      <x:c r="M93" s="11" t="n">
        <x:v>0.00063</x:v>
      </x:c>
    </x:row>
    <x:row r="94" ht="23" customHeight="1">
      <x:c r="A94" s="2" t="str">
        <x:v>TBU9</x:v>
      </x:c>
      <x:c r="B94" s="2" t="str">
        <x:v>matched</x:v>
      </x:c>
      <x:c r="C94" s="2" t="str">
        <x:v>Group cocooning DGC</x:v>
      </x:c>
      <x:c r="D94" s="2" t="str">
        <x:v>Friedman Q</x:v>
      </x:c>
      <x:c r="E94" s="9" t="n">
        <x:v>0.5352112676056273</x:v>
      </x:c>
      <x:c r="F94" s="10"/>
      <x:c r="G94" s="10" t="n">
        <x:v>2</x:v>
      </x:c>
      <x:c r="H94" s="10" t="n">
        <x:v>18</x:v>
      </x:c>
      <x:c r="I94" s="10" t="n">
        <x:v>99999</x:v>
      </x:c>
      <x:c r="J94" s="11" t="n">
        <x:v>0.81004</x:v>
      </x:c>
      <x:c r="K94" s="11" t="n">
        <x:v>1</x:v>
      </x:c>
      <x:c r="L94" s="11" t="n">
        <x:v>0.8723507692307692</x:v>
      </x:c>
      <x:c r="M94" s="11" t="n">
        <x:v>1</x:v>
      </x:c>
    </x:row>
    <x:row r="95" ht="23" customHeight="1">
      <x:c r="A95" s="2" t="str">
        <x:v>PRUD3</x:v>
      </x:c>
      <x:c r="B95" s="2" t="str">
        <x:v>matched</x:v>
      </x:c>
      <x:c r="C95" s="2" t="str">
        <x:v>Government credibility GC</x:v>
      </x:c>
      <x:c r="D95" s="2" t="str">
        <x:v>Friedman Q</x:v>
      </x:c>
      <x:c r="E95" s="9" t="n">
        <x:v>24.111111111111086</x:v>
      </x:c>
      <x:c r="F95" s="10"/>
      <x:c r="G95" s="10" t="n">
        <x:v>2</x:v>
      </x:c>
      <x:c r="H95" s="10" t="n">
        <x:v>18</x:v>
      </x:c>
      <x:c r="I95" s="10" t="n">
        <x:v>99999</x:v>
      </x:c>
      <x:c r="J95" s="11" t="n">
        <x:v>0.00001</x:v>
      </x:c>
      <x:c r="K95" s="11" t="n">
        <x:v>0.00008</x:v>
      </x:c>
      <x:c r="L95" s="11" t="n">
        <x:v>0.00002512820512820513</x:v>
      </x:c>
      <x:c r="M95" s="11" t="n">
        <x:v>0.00063</x:v>
      </x:c>
    </x:row>
    <x:row r="96" ht="23" customHeight="1">
      <x:c r="A96" s="2" t="str">
        <x:v>PRUD3</x:v>
      </x:c>
      <x:c r="B96" s="2" t="str">
        <x:v>matched</x:v>
      </x:c>
      <x:c r="C96" s="2" t="str">
        <x:v>Response timing RT</x:v>
      </x:c>
      <x:c r="D96" s="2" t="str">
        <x:v>Friedman Q</x:v>
      </x:c>
      <x:c r="E96" s="9" t="n">
        <x:v>5.7777777777777715</x:v>
      </x:c>
      <x:c r="F96" s="10"/>
      <x:c r="G96" s="10" t="n">
        <x:v>2</x:v>
      </x:c>
      <x:c r="H96" s="10" t="n">
        <x:v>18</x:v>
      </x:c>
      <x:c r="I96" s="10" t="n">
        <x:v>99999</x:v>
      </x:c>
      <x:c r="J96" s="11" t="n">
        <x:v>0.05592</x:v>
      </x:c>
      <x:c r="K96" s="11" t="n">
        <x:v>0.16776</x:v>
      </x:c>
      <x:c r="L96" s="11" t="n">
        <x:v>0.09448551724137931</x:v>
      </x:c>
      <x:c r="M96" s="11" t="n">
        <x:v>1</x:v>
      </x:c>
    </x:row>
    <x:row r="97" ht="23" customHeight="1">
      <x:c r="A97" s="2" t="str">
        <x:v>PRUD3</x:v>
      </x:c>
      <x:c r="B97" s="2" t="str">
        <x:v>matched</x:v>
      </x:c>
      <x:c r="C97" s="2" t="str">
        <x:v>Targeting capacity TC</x:v>
      </x:c>
      <x:c r="D97" s="2" t="str">
        <x:v>paired t</x:v>
      </x:c>
      <x:c r="E97" s="9" t="n">
        <x:v>-9.236809348460735</x:v>
      </x:c>
      <x:c r="F97" s="10"/>
      <x:c r="G97" s="10" t="n">
        <x:v>26</x:v>
      </x:c>
      <x:c r="H97" s="10" t="n">
        <x:v>27</x:v>
      </x:c>
      <x:c r="I97" s="10" t="n">
        <x:v>99999</x:v>
      </x:c>
      <x:c r="J97" s="11" t="n">
        <x:v>0.00001</x:v>
      </x:c>
      <x:c r="K97" s="11" t="n">
        <x:v>0.00008</x:v>
      </x:c>
      <x:c r="L97" s="11" t="n">
        <x:v>0.00002512820512820513</x:v>
      </x:c>
      <x:c r="M97" s="11" t="n">
        <x:v>0.00063</x:v>
      </x:c>
    </x:row>
    <x:row r="98" ht="23" customHeight="1">
      <x:c r="A98" s="2" t="str">
        <x:v>PRUD3</x:v>
      </x:c>
      <x:c r="B98" s="2" t="str">
        <x:v>matched</x:v>
      </x:c>
      <x:c r="C98" s="2" t="str">
        <x:v>Group cocooning DGC</x:v>
      </x:c>
      <x:c r="D98" s="2" t="str">
        <x:v>Friedman Q</x:v>
      </x:c>
      <x:c r="E98" s="9" t="n">
        <x:v>0.3333333333333144</x:v>
      </x:c>
      <x:c r="F98" s="10"/>
      <x:c r="G98" s="10" t="n">
        <x:v>2</x:v>
      </x:c>
      <x:c r="H98" s="10" t="n">
        <x:v>18</x:v>
      </x:c>
      <x:c r="I98" s="10" t="n">
        <x:v>99999</x:v>
      </x:c>
      <x:c r="J98" s="11" t="n">
        <x:v>0.89987</x:v>
      </x:c>
      <x:c r="K98" s="11" t="n">
        <x:v>1</x:v>
      </x:c>
      <x:c r="L98" s="11" t="n">
        <x:v>0.9482501075268817</x:v>
      </x:c>
      <x:c r="M98" s="11" t="n">
        <x:v>1</x:v>
      </x:c>
    </x:row>
    <x:row r="99" ht="23" customHeight="1">
      <x:c r="A99" s="2" t="str">
        <x:v>TBU9</x:v>
      </x:c>
      <x:c r="B99" s="2" t="str">
        <x:v>matched_did</x:v>
      </x:c>
      <x:c r="C99" s="2" t="str">
        <x:v>Government credibility GC</x:v>
      </x:c>
      <x:c r="D99" s="2" t="str">
        <x:v>t</x:v>
      </x:c>
      <x:c r="E99" s="9" t="n">
        <x:v>-2.978503199707767</x:v>
      </x:c>
      <x:c r="F99" s="10"/>
      <x:c r="G99" s="10" t="n">
        <x:v>5</x:v>
      </x:c>
      <x:c r="H99" s="10" t="n">
        <x:v>6</x:v>
      </x:c>
      <x:c r="I99" s="10" t="n">
        <x:v>64</x:v>
      </x:c>
      <x:c r="J99" s="11" t="n">
        <x:v>0.03125</x:v>
      </x:c>
      <x:c r="K99" s="11" t="n">
        <x:v>0.1875</x:v>
      </x:c>
      <x:c r="L99" s="11" t="n">
        <x:v>0.0537280701754386</x:v>
      </x:c>
      <x:c r="M99" s="11" t="n">
        <x:v>1</x:v>
      </x:c>
    </x:row>
    <x:row r="100" ht="23" customHeight="1">
      <x:c r="A100" s="2" t="str">
        <x:v>TBU9</x:v>
      </x:c>
      <x:c r="B100" s="2" t="str">
        <x:v>matched_did</x:v>
      </x:c>
      <x:c r="C100" s="2" t="str">
        <x:v>Response timing RT</x:v>
      </x:c>
      <x:c r="D100" s="2" t="str">
        <x:v>t</x:v>
      </x:c>
      <x:c r="E100" s="9" t="n">
        <x:v>0.03819204883587084</x:v>
      </x:c>
      <x:c r="F100" s="10"/>
      <x:c r="G100" s="10" t="n">
        <x:v>5</x:v>
      </x:c>
      <x:c r="H100" s="10" t="n">
        <x:v>6</x:v>
      </x:c>
      <x:c r="I100" s="10" t="n">
        <x:v>64</x:v>
      </x:c>
      <x:c r="J100" s="11" t="n">
        <x:v>0.96875</x:v>
      </x:c>
      <x:c r="K100" s="11" t="n">
        <x:v>1</x:v>
      </x:c>
      <x:c r="L100" s="11" t="n">
        <x:v>0.96875</x:v>
      </x:c>
      <x:c r="M100" s="11" t="n">
        <x:v>1</x:v>
      </x:c>
    </x:row>
    <x:row r="101" ht="23" customHeight="1">
      <x:c r="A101" s="2" t="str">
        <x:v>TBU9</x:v>
      </x:c>
      <x:c r="B101" s="2" t="str">
        <x:v>matched_did</x:v>
      </x:c>
      <x:c r="C101" s="2" t="str">
        <x:v>Targeting capacity TC</x:v>
      </x:c>
      <x:c r="D101" s="2" t="str">
        <x:v>t</x:v>
      </x:c>
      <x:c r="E101" s="9" t="n">
        <x:v>1.6780128632947924</x:v>
      </x:c>
      <x:c r="F101" s="10"/>
      <x:c r="G101" s="10" t="n">
        <x:v>8</x:v>
      </x:c>
      <x:c r="H101" s="10" t="n">
        <x:v>9</x:v>
      </x:c>
      <x:c r="I101" s="10" t="n">
        <x:v>512</x:v>
      </x:c>
      <x:c r="J101" s="11" t="n">
        <x:v>0.13671875</x:v>
      </x:c>
      <x:c r="K101" s="11" t="n">
        <x:v>0.546875</x:v>
      </x:c>
      <x:c r="L101" s="11" t="n">
        <x:v>0.21610383064516128</x:v>
      </x:c>
      <x:c r="M101" s="11" t="n">
        <x:v>1</x:v>
      </x:c>
    </x:row>
    <x:row r="102" ht="23" customHeight="1">
      <x:c r="A102" s="2" t="str">
        <x:v>PRUD3</x:v>
      </x:c>
      <x:c r="B102" s="2" t="str">
        <x:v>matched_did</x:v>
      </x:c>
      <x:c r="C102" s="2" t="str">
        <x:v>Government credibility GC</x:v>
      </x:c>
      <x:c r="D102" s="2" t="str">
        <x:v>t</x:v>
      </x:c>
      <x:c r="E102" s="9" t="n">
        <x:v>-2.3512501640595707</x:v>
      </x:c>
      <x:c r="F102" s="10"/>
      <x:c r="G102" s="10" t="n">
        <x:v>5</x:v>
      </x:c>
      <x:c r="H102" s="10" t="n">
        <x:v>6</x:v>
      </x:c>
      <x:c r="I102" s="10" t="n">
        <x:v>64</x:v>
      </x:c>
      <x:c r="J102" s="11" t="n">
        <x:v>0.0625</x:v>
      </x:c>
      <x:c r="K102" s="11" t="n">
        <x:v>0.3125</x:v>
      </x:c>
      <x:c r="L102" s="11" t="n">
        <x:v>0.1038135593220339</x:v>
      </x:c>
      <x:c r="M102" s="11" t="n">
        <x:v>1</x:v>
      </x:c>
    </x:row>
    <x:row r="103" ht="23" customHeight="1">
      <x:c r="A103" s="2" t="str">
        <x:v>PRUD3</x:v>
      </x:c>
      <x:c r="B103" s="2" t="str">
        <x:v>matched_did</x:v>
      </x:c>
      <x:c r="C103" s="2" t="str">
        <x:v>Response timing RT</x:v>
      </x:c>
      <x:c r="D103" s="2" t="str">
        <x:v>t</x:v>
      </x:c>
      <x:c r="E103" s="9" t="n">
        <x:v>0.8001585578613047</x:v>
      </x:c>
      <x:c r="F103" s="10"/>
      <x:c r="G103" s="10" t="n">
        <x:v>5</x:v>
      </x:c>
      <x:c r="H103" s="10" t="n">
        <x:v>6</x:v>
      </x:c>
      <x:c r="I103" s="10" t="n">
        <x:v>64</x:v>
      </x:c>
      <x:c r="J103" s="11" t="n">
        <x:v>0.5</x:v>
      </x:c>
      <x:c r="K103" s="11" t="n">
        <x:v>1</x:v>
      </x:c>
      <x:c r="L103" s="11" t="n">
        <x:v>0.6428545454545455</x:v>
      </x:c>
      <x:c r="M103" s="11" t="n">
        <x:v>1</x:v>
      </x:c>
    </x:row>
    <x:row r="104" ht="23" customHeight="1">
      <x:c r="A104" s="2" t="str">
        <x:v>PRUD3</x:v>
      </x:c>
      <x:c r="B104" s="2" t="str">
        <x:v>matched_did</x:v>
      </x:c>
      <x:c r="C104" s="2" t="str">
        <x:v>Targeting capacity TC</x:v>
      </x:c>
      <x:c r="D104" s="2" t="str">
        <x:v>t</x:v>
      </x:c>
      <x:c r="E104" s="9" t="n">
        <x:v>1.1928428393670407</x:v>
      </x:c>
      <x:c r="F104" s="10"/>
      <x:c r="G104" s="10" t="n">
        <x:v>8</x:v>
      </x:c>
      <x:c r="H104" s="10" t="n">
        <x:v>9</x:v>
      </x:c>
      <x:c r="I104" s="10" t="n">
        <x:v>512</x:v>
      </x:c>
      <x:c r="J104" s="11" t="n">
        <x:v>0.26171875</x:v>
      </x:c>
      <x:c r="K104" s="11" t="n">
        <x:v>0.78515625</x:v>
      </x:c>
      <x:c r="L104" s="11" t="n">
        <x:v>0.3886126893939394</x:v>
      </x:c>
      <x:c r="M104" s="11" t="n">
        <x:v>1</x:v>
      </x:c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0" hidden="0" customWidth="1"/>
    <x:col min="4" max="4" width="12" hidden="0" customWidth="1"/>
    <x:col min="5" max="5" width="12" hidden="0" customWidth="1"/>
    <x:col min="6" max="6" width="18" hidden="0" customWidth="1"/>
    <x:col min="7" max="7" width="17" hidden="0" customWidth="1"/>
    <x:col min="8" max="8" width="17" hidden="0" customWidth="1"/>
    <x:col min="9" max="9" width="19" hidden="0" customWidth="1"/>
    <x:col min="10" max="10" width="19" hidden="0" customWidth="1"/>
    <x:col min="11" max="11" width="23" hidden="0" customWidth="1"/>
    <x:col min="12" max="12" width="17" hidden="0" customWidth="1"/>
    <x:col min="13" max="13" width="17" hidden="0" customWidth="1"/>
    <x:col min="14" max="14" width="19" hidden="0" customWidth="1"/>
    <x:col min="15" max="15" width="20" hidden="0" customWidth="1"/>
    <x:col min="16" max="16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54情景指标与来源核算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4" t="str">
        <x:v>完整活动批次 20261027-145124；raw目录54个原始轨迹CSV；分析单位为54情景，非独立用户轨迹。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8" t="str">
        <x:v>情景ID</x:v>
      </x:c>
      <x:c r="B6" s="8" t="str">
        <x:v>DGC</x:v>
      </x:c>
      <x:c r="C6" s="8" t="str">
        <x:v>RT</x:v>
      </x:c>
      <x:c r="D6" s="8" t="str">
        <x:v>TC</x:v>
      </x:c>
      <x:c r="E6" s="8" t="str">
        <x:v>GC</x:v>
      </x:c>
      <x:c r="F6" s="8" t="str">
        <x:v>初始相信人数</x:v>
      </x:c>
      <x:c r="G6" s="8" t="str">
        <x:v>初始转变数</x:v>
      </x:c>
      <x:c r="H6" s="8" t="str">
        <x:v>初始删失数</x:v>
      </x:c>
      <x:c r="I6" s="8" t="str">
        <x:v>TBU9 核算</x:v>
      </x:c>
      <x:c r="J6" s="8" t="str">
        <x:v>PRUD3 核算</x:v>
      </x:c>
      <x:c r="K6" s="8" t="str">
        <x:v>总相信负担 人轮</x:v>
      </x:c>
      <x:c r="L6" s="8" t="str">
        <x:v>最终相信数</x:v>
      </x:c>
      <x:c r="M6" s="8" t="str">
        <x:v>最终不信数</x:v>
      </x:c>
      <x:c r="N6" s="8" t="str">
        <x:v>最终未判断数</x:v>
      </x:c>
      <x:c r="O6" s="8" t="str">
        <x:v>TBU9 分析值</x:v>
      </x:c>
      <x:c r="P6" s="8" t="str">
        <x:v>PRUD3 分析值</x:v>
      </x:c>
    </x:row>
    <x:row r="7" ht="23" customHeight="1">
      <x:c r="A7" s="2" t="str">
        <x:v>D000_T02_C020_G025</x:v>
      </x:c>
      <x:c r="B7" s="19" t="n">
        <x:v>0</x:v>
      </x:c>
      <x:c r="C7" s="2" t="n">
        <x:v>2</x:v>
      </x:c>
      <x:c r="D7" s="19" t="n">
        <x:v>0.2</x:v>
      </x:c>
      <x:c r="E7" s="19" t="n">
        <x:v>0.25</x:v>
      </x:c>
      <x:c r="F7" s="10" t="n">
        <x:f>COUNTIFS('初始相信者'!$A$7:$A$917,A7)</x:f>
        <x:v>4</x:v>
      </x:c>
      <x:c r="G7" s="10" t="n">
        <x:f>COUNTIFS('初始相信者'!$A$7:$A$917,A7,'初始相信者'!$G$7:$G$917,1)</x:f>
        <x:v>4</x:v>
      </x:c>
      <x:c r="H7" s="10" t="n">
        <x:f>F7-G7</x:f>
        <x:v>0</x:v>
      </x:c>
      <x:c r="I7" s="9" t="n">
        <x:f>SUMIFS('初始相信者'!$I$7:$I$917,'初始相信者'!$A$7:$A$917,A7)/F7</x:f>
        <x:v>5.5</x:v>
      </x:c>
      <x:c r="J7" s="9" t="n">
        <x:f>AVERAGEIFS('回应前队列'!$G$7:$G$954,'回应前队列'!$A$7:$A$954,A7)</x:f>
        <x:v>3</x:v>
      </x:c>
      <x:c r="K7" s="10" t="n">
        <x:v>34</x:v>
      </x:c>
      <x:c r="L7" s="10" t="n">
        <x:v>1</x:v>
      </x:c>
      <x:c r="M7" s="10" t="n">
        <x:v>297</x:v>
      </x:c>
      <x:c r="N7" s="10" t="n">
        <x:v>2</x:v>
      </x:c>
      <x:c r="O7" s="9" t="n">
        <x:v>5.5</x:v>
      </x:c>
      <x:c r="P7" s="9" t="n">
        <x:v>3</x:v>
      </x:c>
    </x:row>
    <x:row r="8" ht="23" customHeight="1">
      <x:c r="A8" s="2" t="str">
        <x:v>D000_T02_C020_G050</x:v>
      </x:c>
      <x:c r="B8" s="19" t="n">
        <x:v>0</x:v>
      </x:c>
      <x:c r="C8" s="2" t="n">
        <x:v>2</x:v>
      </x:c>
      <x:c r="D8" s="19" t="n">
        <x:v>0.2</x:v>
      </x:c>
      <x:c r="E8" s="19" t="n">
        <x:v>0.5</x:v>
      </x:c>
      <x:c r="F8" s="10" t="n">
        <x:f>COUNTIFS('初始相信者'!$A$7:$A$917,A8)</x:f>
        <x:v>7</x:v>
      </x:c>
      <x:c r="G8" s="10" t="n">
        <x:f>COUNTIFS('初始相信者'!$A$7:$A$917,A8,'初始相信者'!$G$7:$G$917,1)</x:f>
        <x:v>7</x:v>
      </x:c>
      <x:c r="H8" s="10" t="n">
        <x:f>F8-G8</x:f>
        <x:v>0</x:v>
      </x:c>
      <x:c r="I8" s="9" t="n">
        <x:f>SUMIFS('初始相信者'!$I$7:$I$917,'初始相信者'!$A$7:$A$917,A8)/F8</x:f>
        <x:v>4.142857142857143</x:v>
      </x:c>
      <x:c r="J8" s="9" t="n">
        <x:f>AVERAGEIFS('回应前队列'!$G$7:$G$954,'回应前队列'!$A$7:$A$954,A8)</x:f>
        <x:v>1.7142857142857142</x:v>
      </x:c>
      <x:c r="K8" s="10" t="n">
        <x:v>29</x:v>
      </x:c>
      <x:c r="L8" s="10" t="n">
        <x:v>0</x:v>
      </x:c>
      <x:c r="M8" s="10" t="n">
        <x:v>295</x:v>
      </x:c>
      <x:c r="N8" s="10" t="n">
        <x:v>5</x:v>
      </x:c>
      <x:c r="O8" s="9" t="n">
        <x:v>4.142857142857143</x:v>
      </x:c>
      <x:c r="P8" s="9" t="n">
        <x:v>1.7142857142857142</x:v>
      </x:c>
    </x:row>
    <x:row r="9" ht="23" customHeight="1">
      <x:c r="A9" s="2" t="str">
        <x:v>D000_T02_C020_G075</x:v>
      </x:c>
      <x:c r="B9" s="19" t="n">
        <x:v>0</x:v>
      </x:c>
      <x:c r="C9" s="2" t="n">
        <x:v>2</x:v>
      </x:c>
      <x:c r="D9" s="19" t="n">
        <x:v>0.2</x:v>
      </x:c>
      <x:c r="E9" s="19" t="n">
        <x:v>0.75</x:v>
      </x:c>
      <x:c r="F9" s="10" t="n">
        <x:f>COUNTIFS('初始相信者'!$A$7:$A$917,A9)</x:f>
        <x:v>3</x:v>
      </x:c>
      <x:c r="G9" s="10" t="n">
        <x:f>COUNTIFS('初始相信者'!$A$7:$A$917,A9,'初始相信者'!$G$7:$G$917,1)</x:f>
        <x:v>3</x:v>
      </x:c>
      <x:c r="H9" s="10" t="n">
        <x:f>F9-G9</x:f>
        <x:v>0</x:v>
      </x:c>
      <x:c r="I9" s="9" t="n">
        <x:f>SUMIFS('初始相信者'!$I$7:$I$917,'初始相信者'!$A$7:$A$917,A9)/F9</x:f>
        <x:v>2.3333333333333335</x:v>
      </x:c>
      <x:c r="J9" s="9" t="n">
        <x:f>AVERAGEIFS('回应前队列'!$G$7:$G$954,'回应前队列'!$A$7:$A$954,A9)</x:f>
        <x:v>1.3333333333333333</x:v>
      </x:c>
      <x:c r="K9" s="10" t="n">
        <x:v>9</x:v>
      </x:c>
      <x:c r="L9" s="10" t="n">
        <x:v>0</x:v>
      </x:c>
      <x:c r="M9" s="10" t="n">
        <x:v>297</x:v>
      </x:c>
      <x:c r="N9" s="10" t="n">
        <x:v>3</x:v>
      </x:c>
      <x:c r="O9" s="9" t="n">
        <x:v>2.333333333333333</x:v>
      </x:c>
      <x:c r="P9" s="9" t="n">
        <x:v>1.3333333333333333</x:v>
      </x:c>
    </x:row>
    <x:row r="10" ht="23" customHeight="1">
      <x:c r="A10" s="2" t="str">
        <x:v>D000_T02_C080_G025</x:v>
      </x:c>
      <x:c r="B10" s="19" t="n">
        <x:v>0</x:v>
      </x:c>
      <x:c r="C10" s="2" t="n">
        <x:v>2</x:v>
      </x:c>
      <x:c r="D10" s="19" t="n">
        <x:v>0.8</x:v>
      </x:c>
      <x:c r="E10" s="19" t="n">
        <x:v>0.25</x:v>
      </x:c>
      <x:c r="F10" s="10" t="n">
        <x:f>COUNTIFS('初始相信者'!$A$7:$A$917,A10)</x:f>
        <x:v>3</x:v>
      </x:c>
      <x:c r="G10" s="10" t="n">
        <x:f>COUNTIFS('初始相信者'!$A$7:$A$917,A10,'初始相信者'!$G$7:$G$917,1)</x:f>
        <x:v>3</x:v>
      </x:c>
      <x:c r="H10" s="10" t="n">
        <x:f>F10-G10</x:f>
        <x:v>0</x:v>
      </x:c>
      <x:c r="I10" s="9" t="n">
        <x:f>SUMIFS('初始相信者'!$I$7:$I$917,'初始相信者'!$A$7:$A$917,A10)/F10</x:f>
        <x:v>2.6666666666666665</x:v>
      </x:c>
      <x:c r="J10" s="9" t="n">
        <x:f>AVERAGEIFS('回应前队列'!$G$7:$G$954,'回应前队列'!$A$7:$A$954,A10)</x:f>
        <x:v>1.6666666666666667</x:v>
      </x:c>
      <x:c r="K10" s="10" t="n">
        <x:v>16</x:v>
      </x:c>
      <x:c r="L10" s="10" t="n">
        <x:v>1</x:v>
      </x:c>
      <x:c r="M10" s="10" t="n">
        <x:v>296</x:v>
      </x:c>
      <x:c r="N10" s="10" t="n">
        <x:v>3</x:v>
      </x:c>
      <x:c r="O10" s="9" t="n">
        <x:v>2.6666666666666665</x:v>
      </x:c>
      <x:c r="P10" s="9" t="n">
        <x:v>1.6666666666666667</x:v>
      </x:c>
    </x:row>
    <x:row r="11" ht="23" customHeight="1">
      <x:c r="A11" s="2" t="str">
        <x:v>D000_T02_C080_G050</x:v>
      </x:c>
      <x:c r="B11" s="19" t="n">
        <x:v>0</x:v>
      </x:c>
      <x:c r="C11" s="2" t="n">
        <x:v>2</x:v>
      </x:c>
      <x:c r="D11" s="19" t="n">
        <x:v>0.8</x:v>
      </x:c>
      <x:c r="E11" s="19" t="n">
        <x:v>0.5</x:v>
      </x:c>
      <x:c r="F11" s="10" t="n">
        <x:f>COUNTIFS('初始相信者'!$A$7:$A$917,A11)</x:f>
        <x:v>5</x:v>
      </x:c>
      <x:c r="G11" s="10" t="n">
        <x:f>COUNTIFS('初始相信者'!$A$7:$A$917,A11,'初始相信者'!$G$7:$G$917,1)</x:f>
        <x:v>5</x:v>
      </x:c>
      <x:c r="H11" s="10" t="n">
        <x:f>F11-G11</x:f>
        <x:v>0</x:v>
      </x:c>
      <x:c r="I11" s="9" t="n">
        <x:f>SUMIFS('初始相信者'!$I$7:$I$917,'初始相信者'!$A$7:$A$917,A11)/F11</x:f>
        <x:v>2.2</x:v>
      </x:c>
      <x:c r="J11" s="9" t="n">
        <x:f>AVERAGEIFS('回应前队列'!$G$7:$G$954,'回应前队列'!$A$7:$A$954,A11)</x:f>
        <x:v>0.8</x:v>
      </x:c>
      <x:c r="K11" s="10" t="n">
        <x:v>13</x:v>
      </x:c>
      <x:c r="L11" s="10" t="n">
        <x:v>0</x:v>
      </x:c>
      <x:c r="M11" s="10" t="n">
        <x:v>298</x:v>
      </x:c>
      <x:c r="N11" s="10" t="n">
        <x:v>2</x:v>
      </x:c>
      <x:c r="O11" s="9" t="n">
        <x:v>2.2</x:v>
      </x:c>
      <x:c r="P11" s="9" t="n">
        <x:v>0.8</x:v>
      </x:c>
    </x:row>
    <x:row r="12" ht="23" customHeight="1">
      <x:c r="A12" s="2" t="str">
        <x:v>D000_T02_C080_G075</x:v>
      </x:c>
      <x:c r="B12" s="19" t="n">
        <x:v>0</x:v>
      </x:c>
      <x:c r="C12" s="2" t="n">
        <x:v>2</x:v>
      </x:c>
      <x:c r="D12" s="19" t="n">
        <x:v>0.8</x:v>
      </x:c>
      <x:c r="E12" s="19" t="n">
        <x:v>0.75</x:v>
      </x:c>
      <x:c r="F12" s="10" t="n">
        <x:f>COUNTIFS('初始相信者'!$A$7:$A$917,A12)</x:f>
        <x:v>8</x:v>
      </x:c>
      <x:c r="G12" s="10" t="n">
        <x:f>COUNTIFS('初始相信者'!$A$7:$A$917,A12,'初始相信者'!$G$7:$G$917,1)</x:f>
        <x:v>8</x:v>
      </x:c>
      <x:c r="H12" s="10" t="n">
        <x:f>F12-G12</x:f>
        <x:v>0</x:v>
      </x:c>
      <x:c r="I12" s="9" t="n">
        <x:f>SUMIFS('初始相信者'!$I$7:$I$917,'初始相信者'!$A$7:$A$917,A12)/F12</x:f>
        <x:v>1.375</x:v>
      </x:c>
      <x:c r="J12" s="9" t="n">
        <x:f>AVERAGEIFS('回应前队列'!$G$7:$G$954,'回应前队列'!$A$7:$A$954,A12)</x:f>
        <x:v>0.375</x:v>
      </x:c>
      <x:c r="K12" s="10" t="n">
        <x:v>12</x:v>
      </x:c>
      <x:c r="L12" s="10" t="n">
        <x:v>0</x:v>
      </x:c>
      <x:c r="M12" s="10" t="n">
        <x:v>298</x:v>
      </x:c>
      <x:c r="N12" s="10" t="n">
        <x:v>2</x:v>
      </x:c>
      <x:c r="O12" s="9" t="n">
        <x:v>1.375</x:v>
      </x:c>
      <x:c r="P12" s="9" t="n">
        <x:v>0.375</x:v>
      </x:c>
    </x:row>
    <x:row r="13" ht="23" customHeight="1">
      <x:c r="A13" s="2" t="str">
        <x:v>D000_T04_C020_G025</x:v>
      </x:c>
      <x:c r="B13" s="19" t="n">
        <x:v>0</x:v>
      </x:c>
      <x:c r="C13" s="2" t="n">
        <x:v>4</x:v>
      </x:c>
      <x:c r="D13" s="19" t="n">
        <x:v>0.2</x:v>
      </x:c>
      <x:c r="E13" s="19" t="n">
        <x:v>0.25</x:v>
      </x:c>
      <x:c r="F13" s="10" t="n">
        <x:f>COUNTIFS('初始相信者'!$A$7:$A$917,A13)</x:f>
        <x:v>5</x:v>
      </x:c>
      <x:c r="G13" s="10" t="n">
        <x:f>COUNTIFS('初始相信者'!$A$7:$A$917,A13,'初始相信者'!$G$7:$G$917,1)</x:f>
        <x:v>4</x:v>
      </x:c>
      <x:c r="H13" s="10" t="n">
        <x:f>F13-G13</x:f>
        <x:v>1</x:v>
      </x:c>
      <x:c r="I13" s="9" t="n">
        <x:f>SUMIFS('初始相信者'!$I$7:$I$917,'初始相信者'!$A$7:$A$917,A13)/F13</x:f>
        <x:v>5.8</x:v>
      </x:c>
      <x:c r="J13" s="9" t="n">
        <x:f>AVERAGEIFS('回应前队列'!$G$7:$G$954,'回应前队列'!$A$7:$A$954,A13)</x:f>
        <x:v>1.8</x:v>
      </x:c>
      <x:c r="K13" s="10" t="n">
        <x:v>37</x:v>
      </x:c>
      <x:c r="L13" s="10" t="n">
        <x:v>2</x:v>
      </x:c>
      <x:c r="M13" s="10" t="n">
        <x:v>293</x:v>
      </x:c>
      <x:c r="N13" s="10" t="n">
        <x:v>5</x:v>
      </x:c>
      <x:c r="O13" s="9" t="n">
        <x:v>5.8</x:v>
      </x:c>
      <x:c r="P13" s="9" t="n">
        <x:v>1.8</x:v>
      </x:c>
    </x:row>
    <x:row r="14" ht="23" customHeight="1">
      <x:c r="A14" s="2" t="str">
        <x:v>D000_T04_C020_G050</x:v>
      </x:c>
      <x:c r="B14" s="19" t="n">
        <x:v>0</x:v>
      </x:c>
      <x:c r="C14" s="2" t="n">
        <x:v>4</x:v>
      </x:c>
      <x:c r="D14" s="19" t="n">
        <x:v>0.2</x:v>
      </x:c>
      <x:c r="E14" s="19" t="n">
        <x:v>0.5</x:v>
      </x:c>
      <x:c r="F14" s="10" t="n">
        <x:f>COUNTIFS('初始相信者'!$A$7:$A$917,A14)</x:f>
        <x:v>6</x:v>
      </x:c>
      <x:c r="G14" s="10" t="n">
        <x:f>COUNTIFS('初始相信者'!$A$7:$A$917,A14,'初始相信者'!$G$7:$G$917,1)</x:f>
        <x:v>5</x:v>
      </x:c>
      <x:c r="H14" s="10" t="n">
        <x:f>F14-G14</x:f>
        <x:v>1</x:v>
      </x:c>
      <x:c r="I14" s="9" t="n">
        <x:f>SUMIFS('初始相信者'!$I$7:$I$917,'初始相信者'!$A$7:$A$917,A14)/F14</x:f>
        <x:v>6.166666666666667</x:v>
      </x:c>
      <x:c r="J14" s="9" t="n">
        <x:f>AVERAGEIFS('回应前队列'!$G$7:$G$954,'回应前队列'!$A$7:$A$954,A14)</x:f>
        <x:v>2.142857142857143</x:v>
      </x:c>
      <x:c r="K14" s="10" t="n">
        <x:v>48</x:v>
      </x:c>
      <x:c r="L14" s="10" t="n">
        <x:v>2</x:v>
      </x:c>
      <x:c r="M14" s="10" t="n">
        <x:v>285</x:v>
      </x:c>
      <x:c r="N14" s="10" t="n">
        <x:v>13</x:v>
      </x:c>
      <x:c r="O14" s="9" t="n">
        <x:v>6.166666666666667</x:v>
      </x:c>
      <x:c r="P14" s="9" t="n">
        <x:v>2.142857142857143</x:v>
      </x:c>
    </x:row>
    <x:row r="15" ht="23" customHeight="1">
      <x:c r="A15" s="2" t="str">
        <x:v>D000_T04_C020_G075</x:v>
      </x:c>
      <x:c r="B15" s="19" t="n">
        <x:v>0</x:v>
      </x:c>
      <x:c r="C15" s="2" t="n">
        <x:v>4</x:v>
      </x:c>
      <x:c r="D15" s="19" t="n">
        <x:v>0.2</x:v>
      </x:c>
      <x:c r="E15" s="19" t="n">
        <x:v>0.75</x:v>
      </x:c>
      <x:c r="F15" s="10" t="n">
        <x:f>COUNTIFS('初始相信者'!$A$7:$A$917,A15)</x:f>
        <x:v>2</x:v>
      </x:c>
      <x:c r="G15" s="10" t="n">
        <x:f>COUNTIFS('初始相信者'!$A$7:$A$917,A15,'初始相信者'!$G$7:$G$917,1)</x:f>
        <x:v>1</x:v>
      </x:c>
      <x:c r="H15" s="10" t="n">
        <x:f>F15-G15</x:f>
        <x:v>1</x:v>
      </x:c>
      <x:c r="I15" s="9" t="n">
        <x:f>SUMIFS('初始相信者'!$I$7:$I$917,'初始相信者'!$A$7:$A$917,A15)/F15</x:f>
        <x:v>7.5</x:v>
      </x:c>
      <x:c r="J15" s="9" t="n">
        <x:f>AVERAGEIFS('回应前队列'!$G$7:$G$954,'回应前队列'!$A$7:$A$954,A15)</x:f>
        <x:v>2.75</x:v>
      </x:c>
      <x:c r="K15" s="10" t="n">
        <x:v>26</x:v>
      </x:c>
      <x:c r="L15" s="10" t="n">
        <x:v>1</x:v>
      </x:c>
      <x:c r="M15" s="10" t="n">
        <x:v>297</x:v>
      </x:c>
      <x:c r="N15" s="10" t="n">
        <x:v>2</x:v>
      </x:c>
      <x:c r="O15" s="9" t="n">
        <x:v>7.5</x:v>
      </x:c>
      <x:c r="P15" s="9" t="n">
        <x:v>2.75</x:v>
      </x:c>
    </x:row>
    <x:row r="16" ht="23" customHeight="1">
      <x:c r="A16" s="2" t="str">
        <x:v>D000_T04_C080_G025</x:v>
      </x:c>
      <x:c r="B16" s="19" t="n">
        <x:v>0</x:v>
      </x:c>
      <x:c r="C16" s="2" t="n">
        <x:v>4</x:v>
      </x:c>
      <x:c r="D16" s="19" t="n">
        <x:v>0.8</x:v>
      </x:c>
      <x:c r="E16" s="19" t="n">
        <x:v>0.25</x:v>
      </x:c>
      <x:c r="F16" s="10" t="n">
        <x:f>COUNTIFS('初始相信者'!$A$7:$A$917,A16)</x:f>
        <x:v>8</x:v>
      </x:c>
      <x:c r="G16" s="10" t="n">
        <x:f>COUNTIFS('初始相信者'!$A$7:$A$917,A16,'初始相信者'!$G$7:$G$917,1)</x:f>
        <x:v>5</x:v>
      </x:c>
      <x:c r="H16" s="10" t="n">
        <x:f>F16-G16</x:f>
        <x:v>3</x:v>
      </x:c>
      <x:c r="I16" s="9" t="n">
        <x:f>SUMIFS('初始相信者'!$I$7:$I$917,'初始相信者'!$A$7:$A$917,A16)/F16</x:f>
        <x:v>6.25</x:v>
      </x:c>
      <x:c r="J16" s="9" t="n">
        <x:f>AVERAGEIFS('回应前队列'!$G$7:$G$954,'回应前队列'!$A$7:$A$954,A16)</x:f>
        <x:v>2</x:v>
      </x:c>
      <x:c r="K16" s="10" t="n">
        <x:v>63</x:v>
      </x:c>
      <x:c r="L16" s="10" t="n">
        <x:v>6</x:v>
      </x:c>
      <x:c r="M16" s="10" t="n">
        <x:v>291</x:v>
      </x:c>
      <x:c r="N16" s="10" t="n">
        <x:v>3</x:v>
      </x:c>
      <x:c r="O16" s="9" t="n">
        <x:v>6.25</x:v>
      </x:c>
      <x:c r="P16" s="9" t="n">
        <x:v>2</x:v>
      </x:c>
    </x:row>
    <x:row r="17" ht="23" customHeight="1">
      <x:c r="A17" s="2" t="str">
        <x:v>D000_T04_C080_G050</x:v>
      </x:c>
      <x:c r="B17" s="19" t="n">
        <x:v>0</x:v>
      </x:c>
      <x:c r="C17" s="2" t="n">
        <x:v>4</x:v>
      </x:c>
      <x:c r="D17" s="19" t="n">
        <x:v>0.8</x:v>
      </x:c>
      <x:c r="E17" s="19" t="n">
        <x:v>0.5</x:v>
      </x:c>
      <x:c r="F17" s="10" t="n">
        <x:f>COUNTIFS('初始相信者'!$A$7:$A$917,A17)</x:f>
        <x:v>4</x:v>
      </x:c>
      <x:c r="G17" s="10" t="n">
        <x:f>COUNTIFS('初始相信者'!$A$7:$A$917,A17,'初始相信者'!$G$7:$G$917,1)</x:f>
        <x:v>3</x:v>
      </x:c>
      <x:c r="H17" s="10" t="n">
        <x:f>F17-G17</x:f>
        <x:v>1</x:v>
      </x:c>
      <x:c r="I17" s="9" t="n">
        <x:f>SUMIFS('初始相信者'!$I$7:$I$917,'初始相信者'!$A$7:$A$917,A17)/F17</x:f>
        <x:v>4.5</x:v>
      </x:c>
      <x:c r="J17" s="9" t="n">
        <x:f>AVERAGEIFS('回应前队列'!$G$7:$G$954,'回应前队列'!$A$7:$A$954,A17)</x:f>
        <x:v>0.75</x:v>
      </x:c>
      <x:c r="K17" s="10" t="n">
        <x:v>19</x:v>
      </x:c>
      <x:c r="L17" s="10" t="n">
        <x:v>1</x:v>
      </x:c>
      <x:c r="M17" s="10" t="n">
        <x:v>293</x:v>
      </x:c>
      <x:c r="N17" s="10" t="n">
        <x:v>6</x:v>
      </x:c>
      <x:c r="O17" s="9" t="n">
        <x:v>4.5</x:v>
      </x:c>
      <x:c r="P17" s="9" t="n">
        <x:v>0.75</x:v>
      </x:c>
    </x:row>
    <x:row r="18" ht="23" customHeight="1">
      <x:c r="A18" s="2" t="str">
        <x:v>D000_T04_C080_G075</x:v>
      </x:c>
      <x:c r="B18" s="19" t="n">
        <x:v>0</x:v>
      </x:c>
      <x:c r="C18" s="2" t="n">
        <x:v>4</x:v>
      </x:c>
      <x:c r="D18" s="19" t="n">
        <x:v>0.8</x:v>
      </x:c>
      <x:c r="E18" s="19" t="n">
        <x:v>0.75</x:v>
      </x:c>
      <x:c r="F18" s="10" t="n">
        <x:f>COUNTIFS('初始相信者'!$A$7:$A$917,A18)</x:f>
        <x:v>6</x:v>
      </x:c>
      <x:c r="G18" s="10" t="n">
        <x:f>COUNTIFS('初始相信者'!$A$7:$A$917,A18,'初始相信者'!$G$7:$G$917,1)</x:f>
        <x:v>6</x:v>
      </x:c>
      <x:c r="H18" s="10" t="n">
        <x:f>F18-G18</x:f>
        <x:v>0</x:v>
      </x:c>
      <x:c r="I18" s="9" t="n">
        <x:f>SUMIFS('初始相信者'!$I$7:$I$917,'初始相信者'!$A$7:$A$917,A18)/F18</x:f>
        <x:v>3.5</x:v>
      </x:c>
      <x:c r="J18" s="9" t="n">
        <x:f>AVERAGEIFS('回应前队列'!$G$7:$G$954,'回应前队列'!$A$7:$A$954,A18)</x:f>
        <x:v>0.5</x:v>
      </x:c>
      <x:c r="K18" s="10" t="n">
        <x:v>21</x:v>
      </x:c>
      <x:c r="L18" s="10" t="n">
        <x:v>0</x:v>
      </x:c>
      <x:c r="M18" s="10" t="n">
        <x:v>299</x:v>
      </x:c>
      <x:c r="N18" s="10" t="n">
        <x:v>1</x:v>
      </x:c>
      <x:c r="O18" s="9" t="n">
        <x:v>3.5</x:v>
      </x:c>
      <x:c r="P18" s="9" t="n">
        <x:v>0.5</x:v>
      </x:c>
    </x:row>
    <x:row r="19" ht="23" customHeight="1">
      <x:c r="A19" s="2" t="str">
        <x:v>D000_T07_C020_G025</x:v>
      </x:c>
      <x:c r="B19" s="19" t="n">
        <x:v>0</x:v>
      </x:c>
      <x:c r="C19" s="2" t="n">
        <x:v>7</x:v>
      </x:c>
      <x:c r="D19" s="19" t="n">
        <x:v>0.2</x:v>
      </x:c>
      <x:c r="E19" s="19" t="n">
        <x:v>0.25</x:v>
      </x:c>
      <x:c r="F19" s="10" t="n">
        <x:f>COUNTIFS('初始相信者'!$A$7:$A$917,A19)</x:f>
        <x:v>7</x:v>
      </x:c>
      <x:c r="G19" s="10" t="n">
        <x:f>COUNTIFS('初始相信者'!$A$7:$A$917,A19,'初始相信者'!$G$7:$G$917,1)</x:f>
        <x:v>3</x:v>
      </x:c>
      <x:c r="H19" s="10" t="n">
        <x:f>F19-G19</x:f>
        <x:v>4</x:v>
      </x:c>
      <x:c r="I19" s="9" t="n">
        <x:f>SUMIFS('初始相信者'!$I$7:$I$917,'初始相信者'!$A$7:$A$917,A19)/F19</x:f>
        <x:v>8</x:v>
      </x:c>
      <x:c r="J19" s="9" t="n">
        <x:f>AVERAGEIFS('回应前队列'!$G$7:$G$954,'回应前队列'!$A$7:$A$954,A19)</x:f>
        <x:v>2.3636363636363638</x:v>
      </x:c>
      <x:c r="K19" s="10" t="n">
        <x:v>94</x:v>
      </x:c>
      <x:c r="L19" s="10" t="n">
        <x:v>9</x:v>
      </x:c>
      <x:c r="M19" s="10" t="n">
        <x:v>286</x:v>
      </x:c>
      <x:c r="N19" s="10" t="n">
        <x:v>5</x:v>
      </x:c>
      <x:c r="O19" s="9" t="n">
        <x:v>8</x:v>
      </x:c>
      <x:c r="P19" s="9" t="n">
        <x:v>2.363636363636364</x:v>
      </x:c>
    </x:row>
    <x:row r="20" ht="23" customHeight="1">
      <x:c r="A20" s="2" t="str">
        <x:v>D000_T07_C020_G050</x:v>
      </x:c>
      <x:c r="B20" s="19" t="n">
        <x:v>0</x:v>
      </x:c>
      <x:c r="C20" s="2" t="n">
        <x:v>7</x:v>
      </x:c>
      <x:c r="D20" s="19" t="n">
        <x:v>0.2</x:v>
      </x:c>
      <x:c r="E20" s="19" t="n">
        <x:v>0.5</x:v>
      </x:c>
      <x:c r="F20" s="10" t="n">
        <x:f>COUNTIFS('初始相信者'!$A$7:$A$917,A20)</x:f>
        <x:v>7</x:v>
      </x:c>
      <x:c r="G20" s="10" t="n">
        <x:f>COUNTIFS('初始相信者'!$A$7:$A$917,A20,'初始相信者'!$G$7:$G$917,1)</x:f>
        <x:v>5</x:v>
      </x:c>
      <x:c r="H20" s="10" t="n">
        <x:f>F20-G20</x:f>
        <x:v>2</x:v>
      </x:c>
      <x:c r="I20" s="9" t="n">
        <x:f>SUMIFS('初始相信者'!$I$7:$I$917,'初始相信者'!$A$7:$A$917,A20)/F20</x:f>
        <x:v>7.571428571428571</x:v>
      </x:c>
      <x:c r="J20" s="9" t="n">
        <x:f>AVERAGEIFS('回应前队列'!$G$7:$G$954,'回应前队列'!$A$7:$A$954,A20)</x:f>
        <x:v>1.75</x:v>
      </x:c>
      <x:c r="K20" s="10" t="n">
        <x:v>63</x:v>
      </x:c>
      <x:c r="L20" s="10" t="n">
        <x:v>3</x:v>
      </x:c>
      <x:c r="M20" s="10" t="n">
        <x:v>294</x:v>
      </x:c>
      <x:c r="N20" s="10" t="n">
        <x:v>3</x:v>
      </x:c>
      <x:c r="O20" s="9" t="n">
        <x:v>7.571428571428571</x:v>
      </x:c>
      <x:c r="P20" s="9" t="n">
        <x:v>1.75</x:v>
      </x:c>
    </x:row>
    <x:row r="21" ht="23" customHeight="1">
      <x:c r="A21" s="2" t="str">
        <x:v>D000_T07_C020_G075</x:v>
      </x:c>
      <x:c r="B21" s="19" t="n">
        <x:v>0</x:v>
      </x:c>
      <x:c r="C21" s="2" t="n">
        <x:v>7</x:v>
      </x:c>
      <x:c r="D21" s="19" t="n">
        <x:v>0.2</x:v>
      </x:c>
      <x:c r="E21" s="19" t="n">
        <x:v>0.75</x:v>
      </x:c>
      <x:c r="F21" s="10" t="n">
        <x:f>COUNTIFS('初始相信者'!$A$7:$A$917,A21)</x:f>
        <x:v>4</x:v>
      </x:c>
      <x:c r="G21" s="10" t="n">
        <x:f>COUNTIFS('初始相信者'!$A$7:$A$917,A21,'初始相信者'!$G$7:$G$917,1)</x:f>
        <x:v>4</x:v>
      </x:c>
      <x:c r="H21" s="10" t="n">
        <x:f>F21-G21</x:f>
        <x:v>0</x:v>
      </x:c>
      <x:c r="I21" s="9" t="n">
        <x:f>SUMIFS('初始相信者'!$I$7:$I$917,'初始相信者'!$A$7:$A$917,A21)/F21</x:f>
        <x:v>8.25</x:v>
      </x:c>
      <x:c r="J21" s="9" t="n">
        <x:f>AVERAGEIFS('回应前队列'!$G$7:$G$954,'回应前队列'!$A$7:$A$954,A21)</x:f>
        <x:v>1.8</x:v>
      </x:c>
      <x:c r="K21" s="10" t="n">
        <x:v>40</x:v>
      </x:c>
      <x:c r="L21" s="10" t="n">
        <x:v>0</x:v>
      </x:c>
      <x:c r="M21" s="10" t="n">
        <x:v>300</x:v>
      </x:c>
      <x:c r="N21" s="10" t="n">
        <x:v>0</x:v>
      </x:c>
      <x:c r="O21" s="9" t="n">
        <x:v>8.25</x:v>
      </x:c>
      <x:c r="P21" s="9" t="n">
        <x:v>1.8</x:v>
      </x:c>
    </x:row>
    <x:row r="22" ht="23" customHeight="1">
      <x:c r="A22" s="2" t="str">
        <x:v>D000_T07_C080_G025</x:v>
      </x:c>
      <x:c r="B22" s="19" t="n">
        <x:v>0</x:v>
      </x:c>
      <x:c r="C22" s="2" t="n">
        <x:v>7</x:v>
      </x:c>
      <x:c r="D22" s="19" t="n">
        <x:v>0.8</x:v>
      </x:c>
      <x:c r="E22" s="19" t="n">
        <x:v>0.25</x:v>
      </x:c>
      <x:c r="F22" s="10" t="n">
        <x:f>COUNTIFS('初始相信者'!$A$7:$A$917,A22)</x:f>
        <x:v>5</x:v>
      </x:c>
      <x:c r="G22" s="10" t="n">
        <x:f>COUNTIFS('初始相信者'!$A$7:$A$917,A22,'初始相信者'!$G$7:$G$917,1)</x:f>
        <x:v>4</x:v>
      </x:c>
      <x:c r="H22" s="10" t="n">
        <x:f>F22-G22</x:f>
        <x:v>1</x:v>
      </x:c>
      <x:c r="I22" s="9" t="n">
        <x:f>SUMIFS('初始相信者'!$I$7:$I$917,'初始相信者'!$A$7:$A$917,A22)/F22</x:f>
        <x:v>7.6</x:v>
      </x:c>
      <x:c r="J22" s="9" t="n">
        <x:f>AVERAGEIFS('回应前队列'!$G$7:$G$954,'回应前队列'!$A$7:$A$954,A22)</x:f>
        <x:v>1.75</x:v>
      </x:c>
      <x:c r="K22" s="10" t="n">
        <x:v>58</x:v>
      </x:c>
      <x:c r="L22" s="10" t="n">
        <x:v>3</x:v>
      </x:c>
      <x:c r="M22" s="10" t="n">
        <x:v>294</x:v>
      </x:c>
      <x:c r="N22" s="10" t="n">
        <x:v>3</x:v>
      </x:c>
      <x:c r="O22" s="9" t="n">
        <x:v>7.6</x:v>
      </x:c>
      <x:c r="P22" s="9" t="n">
        <x:v>1.75</x:v>
      </x:c>
    </x:row>
    <x:row r="23" ht="23" customHeight="1">
      <x:c r="A23" s="2" t="str">
        <x:v>D000_T07_C080_G050</x:v>
      </x:c>
      <x:c r="B23" s="19" t="n">
        <x:v>0</x:v>
      </x:c>
      <x:c r="C23" s="2" t="n">
        <x:v>7</x:v>
      </x:c>
      <x:c r="D23" s="19" t="n">
        <x:v>0.8</x:v>
      </x:c>
      <x:c r="E23" s="19" t="n">
        <x:v>0.5</x:v>
      </x:c>
      <x:c r="F23" s="10" t="n">
        <x:f>COUNTIFS('初始相信者'!$A$7:$A$917,A23)</x:f>
        <x:v>4</x:v>
      </x:c>
      <x:c r="G23" s="10" t="n">
        <x:f>COUNTIFS('初始相信者'!$A$7:$A$917,A23,'初始相信者'!$G$7:$G$917,1)</x:f>
        <x:v>4</x:v>
      </x:c>
      <x:c r="H23" s="10" t="n">
        <x:f>F23-G23</x:f>
        <x:v>0</x:v>
      </x:c>
      <x:c r="I23" s="9" t="n">
        <x:f>SUMIFS('初始相信者'!$I$7:$I$917,'初始相信者'!$A$7:$A$917,A23)/F23</x:f>
        <x:v>7</x:v>
      </x:c>
      <x:c r="J23" s="9" t="n">
        <x:f>AVERAGEIFS('回应前队列'!$G$7:$G$954,'回应前队列'!$A$7:$A$954,A23)</x:f>
        <x:v>1.1666666666666667</x:v>
      </x:c>
      <x:c r="K23" s="10" t="n">
        <x:v>42</x:v>
      </x:c>
      <x:c r="L23" s="10" t="n">
        <x:v>1</x:v>
      </x:c>
      <x:c r="M23" s="10" t="n">
        <x:v>298</x:v>
      </x:c>
      <x:c r="N23" s="10" t="n">
        <x:v>1</x:v>
      </x:c>
      <x:c r="O23" s="9" t="n">
        <x:v>7</x:v>
      </x:c>
      <x:c r="P23" s="9" t="n">
        <x:v>1.1666666666666667</x:v>
      </x:c>
    </x:row>
    <x:row r="24" ht="23" customHeight="1">
      <x:c r="A24" s="2" t="str">
        <x:v>D000_T07_C080_G075</x:v>
      </x:c>
      <x:c r="B24" s="19" t="n">
        <x:v>0</x:v>
      </x:c>
      <x:c r="C24" s="2" t="n">
        <x:v>7</x:v>
      </x:c>
      <x:c r="D24" s="19" t="n">
        <x:v>0.8</x:v>
      </x:c>
      <x:c r="E24" s="19" t="n">
        <x:v>0.75</x:v>
      </x:c>
      <x:c r="F24" s="10" t="n">
        <x:f>COUNTIFS('初始相信者'!$A$7:$A$917,A24)</x:f>
        <x:v>3</x:v>
      </x:c>
      <x:c r="G24" s="10" t="n">
        <x:f>COUNTIFS('初始相信者'!$A$7:$A$917,A24,'初始相信者'!$G$7:$G$917,1)</x:f>
        <x:v>3</x:v>
      </x:c>
      <x:c r="H24" s="10" t="n">
        <x:f>F24-G24</x:f>
        <x:v>0</x:v>
      </x:c>
      <x:c r="I24" s="9" t="n">
        <x:f>SUMIFS('初始相信者'!$I$7:$I$917,'初始相信者'!$A$7:$A$917,A24)/F24</x:f>
        <x:v>6.333333333333333</x:v>
      </x:c>
      <x:c r="J24" s="9" t="n">
        <x:f>AVERAGEIFS('回应前队列'!$G$7:$G$954,'回应前队列'!$A$7:$A$954,A24)</x:f>
        <x:v>0.25</x:v>
      </x:c>
      <x:c r="K24" s="10" t="n">
        <x:v>23</x:v>
      </x:c>
      <x:c r="L24" s="10" t="n">
        <x:v>0</x:v>
      </x:c>
      <x:c r="M24" s="10" t="n">
        <x:v>292</x:v>
      </x:c>
      <x:c r="N24" s="10" t="n">
        <x:v>8</x:v>
      </x:c>
      <x:c r="O24" s="9" t="n">
        <x:v>6.333333333333333</x:v>
      </x:c>
      <x:c r="P24" s="9" t="n">
        <x:v>0.25</x:v>
      </x:c>
    </x:row>
    <x:row r="25" ht="23" customHeight="1">
      <x:c r="A25" s="2" t="str">
        <x:v>D020_T02_C020_G025</x:v>
      </x:c>
      <x:c r="B25" s="19" t="n">
        <x:v>0.2</x:v>
      </x:c>
      <x:c r="C25" s="2" t="n">
        <x:v>2</x:v>
      </x:c>
      <x:c r="D25" s="19" t="n">
        <x:v>0.2</x:v>
      </x:c>
      <x:c r="E25" s="19" t="n">
        <x:v>0.25</x:v>
      </x:c>
      <x:c r="F25" s="10" t="n">
        <x:f>COUNTIFS('初始相信者'!$A$7:$A$917,A25)</x:f>
        <x:v>18</x:v>
      </x:c>
      <x:c r="G25" s="10" t="n">
        <x:f>COUNTIFS('初始相信者'!$A$7:$A$917,A25,'初始相信者'!$G$7:$G$917,1)</x:f>
        <x:v>12</x:v>
      </x:c>
      <x:c r="H25" s="10" t="n">
        <x:f>F25-G25</x:f>
        <x:v>6</x:v>
      </x:c>
      <x:c r="I25" s="9" t="n">
        <x:f>SUMIFS('初始相信者'!$I$7:$I$917,'初始相信者'!$A$7:$A$917,A25)/F25</x:f>
        <x:v>6.222222222222222</x:v>
      </x:c>
      <x:c r="J25" s="9" t="n">
        <x:f>AVERAGEIFS('回应前队列'!$G$7:$G$954,'回应前队列'!$A$7:$A$954,A25)</x:f>
        <x:v>2.4444444444444446</x:v>
      </x:c>
      <x:c r="K25" s="10" t="n">
        <x:v>118</x:v>
      </x:c>
      <x:c r="L25" s="10" t="n">
        <x:v>6</x:v>
      </x:c>
      <x:c r="M25" s="10" t="n">
        <x:v>289</x:v>
      </x:c>
      <x:c r="N25" s="10" t="n">
        <x:v>5</x:v>
      </x:c>
      <x:c r="O25" s="9" t="n">
        <x:v>6.222222222222222</x:v>
      </x:c>
      <x:c r="P25" s="9" t="n">
        <x:v>2.4444444444444446</x:v>
      </x:c>
    </x:row>
    <x:row r="26" ht="23" customHeight="1">
      <x:c r="A26" s="2" t="str">
        <x:v>D020_T02_C020_G050</x:v>
      </x:c>
      <x:c r="B26" s="19" t="n">
        <x:v>0.2</x:v>
      </x:c>
      <x:c r="C26" s="2" t="n">
        <x:v>2</x:v>
      </x:c>
      <x:c r="D26" s="19" t="n">
        <x:v>0.2</x:v>
      </x:c>
      <x:c r="E26" s="19" t="n">
        <x:v>0.5</x:v>
      </x:c>
      <x:c r="F26" s="10" t="n">
        <x:f>COUNTIFS('初始相信者'!$A$7:$A$917,A26)</x:f>
        <x:v>15</x:v>
      </x:c>
      <x:c r="G26" s="10" t="n">
        <x:f>COUNTIFS('初始相信者'!$A$7:$A$917,A26,'初始相信者'!$G$7:$G$917,1)</x:f>
        <x:v>10</x:v>
      </x:c>
      <x:c r="H26" s="10" t="n">
        <x:f>F26-G26</x:f>
        <x:v>5</x:v>
      </x:c>
      <x:c r="I26" s="9" t="n">
        <x:f>SUMIFS('初始相信者'!$I$7:$I$917,'初始相信者'!$A$7:$A$917,A26)/F26</x:f>
        <x:v>4.533333333333333</x:v>
      </x:c>
      <x:c r="J26" s="9" t="n">
        <x:f>AVERAGEIFS('回应前队列'!$G$7:$G$954,'回应前队列'!$A$7:$A$954,A26)</x:f>
        <x:v>1.8666666666666667</x:v>
      </x:c>
      <x:c r="K26" s="10" t="n">
        <x:v>74</x:v>
      </x:c>
      <x:c r="L26" s="10" t="n">
        <x:v>5</x:v>
      </x:c>
      <x:c r="M26" s="10" t="n">
        <x:v>290</x:v>
      </x:c>
      <x:c r="N26" s="10" t="n">
        <x:v>5</x:v>
      </x:c>
      <x:c r="O26" s="9" t="n">
        <x:v>4.533333333333333</x:v>
      </x:c>
      <x:c r="P26" s="9" t="n">
        <x:v>1.8666666666666667</x:v>
      </x:c>
    </x:row>
    <x:row r="27" ht="23" customHeight="1">
      <x:c r="A27" s="2" t="str">
        <x:v>D020_T02_C020_G075</x:v>
      </x:c>
      <x:c r="B27" s="19" t="n">
        <x:v>0.2</x:v>
      </x:c>
      <x:c r="C27" s="2" t="n">
        <x:v>2</x:v>
      </x:c>
      <x:c r="D27" s="19" t="n">
        <x:v>0.2</x:v>
      </x:c>
      <x:c r="E27" s="19" t="n">
        <x:v>0.75</x:v>
      </x:c>
      <x:c r="F27" s="10" t="n">
        <x:f>COUNTIFS('初始相信者'!$A$7:$A$917,A27)</x:f>
        <x:v>14</x:v>
      </x:c>
      <x:c r="G27" s="10" t="n">
        <x:f>COUNTIFS('初始相信者'!$A$7:$A$917,A27,'初始相信者'!$G$7:$G$917,1)</x:f>
        <x:v>13</x:v>
      </x:c>
      <x:c r="H27" s="10" t="n">
        <x:f>F27-G27</x:f>
        <x:v>1</x:v>
      </x:c>
      <x:c r="I27" s="9" t="n">
        <x:f>SUMIFS('初始相信者'!$I$7:$I$917,'初始相信者'!$A$7:$A$917,A27)/F27</x:f>
        <x:v>2.7142857142857144</x:v>
      </x:c>
      <x:c r="J27" s="9" t="n">
        <x:f>AVERAGEIFS('回应前队列'!$G$7:$G$954,'回应前队列'!$A$7:$A$954,A27)</x:f>
        <x:v>1.3571428571428572</x:v>
      </x:c>
      <x:c r="K27" s="10" t="n">
        <x:v>40</x:v>
      </x:c>
      <x:c r="L27" s="10" t="n">
        <x:v>1</x:v>
      </x:c>
      <x:c r="M27" s="10" t="n">
        <x:v>296</x:v>
      </x:c>
      <x:c r="N27" s="10" t="n">
        <x:v>3</x:v>
      </x:c>
      <x:c r="O27" s="9" t="n">
        <x:v>2.7142857142857144</x:v>
      </x:c>
      <x:c r="P27" s="9" t="n">
        <x:v>1.3571428571428572</x:v>
      </x:c>
    </x:row>
    <x:row r="28" ht="23" customHeight="1">
      <x:c r="A28" s="2" t="str">
        <x:v>D020_T02_C080_G025</x:v>
      </x:c>
      <x:c r="B28" s="19" t="n">
        <x:v>0.2</x:v>
      </x:c>
      <x:c r="C28" s="2" t="n">
        <x:v>2</x:v>
      </x:c>
      <x:c r="D28" s="19" t="n">
        <x:v>0.8</x:v>
      </x:c>
      <x:c r="E28" s="19" t="n">
        <x:v>0.25</x:v>
      </x:c>
      <x:c r="F28" s="10" t="n">
        <x:f>COUNTIFS('初始相信者'!$A$7:$A$917,A28)</x:f>
        <x:v>16</x:v>
      </x:c>
      <x:c r="G28" s="10" t="n">
        <x:f>COUNTIFS('初始相信者'!$A$7:$A$917,A28,'初始相信者'!$G$7:$G$917,1)</x:f>
        <x:v>15</x:v>
      </x:c>
      <x:c r="H28" s="10" t="n">
        <x:f>F28-G28</x:f>
        <x:v>1</x:v>
      </x:c>
      <x:c r="I28" s="9" t="n">
        <x:f>SUMIFS('初始相信者'!$I$7:$I$917,'初始相信者'!$A$7:$A$917,A28)/F28</x:f>
        <x:v>3.5</x:v>
      </x:c>
      <x:c r="J28" s="9" t="n">
        <x:f>AVERAGEIFS('回应前队列'!$G$7:$G$954,'回应前队列'!$A$7:$A$954,A28)</x:f>
        <x:v>1.6875</x:v>
      </x:c>
      <x:c r="K28" s="10" t="n">
        <x:v>57</x:v>
      </x:c>
      <x:c r="L28" s="10" t="n">
        <x:v>1</x:v>
      </x:c>
      <x:c r="M28" s="10" t="n">
        <x:v>291</x:v>
      </x:c>
      <x:c r="N28" s="10" t="n">
        <x:v>8</x:v>
      </x:c>
      <x:c r="O28" s="9" t="n">
        <x:v>3.5</x:v>
      </x:c>
      <x:c r="P28" s="9" t="n">
        <x:v>1.6875</x:v>
      </x:c>
    </x:row>
    <x:row r="29" ht="23" customHeight="1">
      <x:c r="A29" s="2" t="str">
        <x:v>D020_T02_C080_G050</x:v>
      </x:c>
      <x:c r="B29" s="19" t="n">
        <x:v>0.2</x:v>
      </x:c>
      <x:c r="C29" s="2" t="n">
        <x:v>2</x:v>
      </x:c>
      <x:c r="D29" s="19" t="n">
        <x:v>0.8</x:v>
      </x:c>
      <x:c r="E29" s="19" t="n">
        <x:v>0.5</x:v>
      </x:c>
      <x:c r="F29" s="10" t="n">
        <x:f>COUNTIFS('初始相信者'!$A$7:$A$917,A29)</x:f>
        <x:v>14</x:v>
      </x:c>
      <x:c r="G29" s="10" t="n">
        <x:f>COUNTIFS('初始相信者'!$A$7:$A$917,A29,'初始相信者'!$G$7:$G$917,1)</x:f>
        <x:v>13</x:v>
      </x:c>
      <x:c r="H29" s="10" t="n">
        <x:f>F29-G29</x:f>
        <x:v>1</x:v>
      </x:c>
      <x:c r="I29" s="9" t="n">
        <x:f>SUMIFS('初始相信者'!$I$7:$I$917,'初始相信者'!$A$7:$A$917,A29)/F29</x:f>
        <x:v>2.0714285714285716</x:v>
      </x:c>
      <x:c r="J29" s="9" t="n">
        <x:f>AVERAGEIFS('回应前队列'!$G$7:$G$954,'回应前队列'!$A$7:$A$954,A29)</x:f>
        <x:v>0.7142857142857143</x:v>
      </x:c>
      <x:c r="K29" s="10" t="n">
        <x:v>30</x:v>
      </x:c>
      <x:c r="L29" s="10" t="n">
        <x:v>1</x:v>
      </x:c>
      <x:c r="M29" s="10" t="n">
        <x:v>295</x:v>
      </x:c>
      <x:c r="N29" s="10" t="n">
        <x:v>4</x:v>
      </x:c>
      <x:c r="O29" s="9" t="n">
        <x:v>2.071428571428572</x:v>
      </x:c>
      <x:c r="P29" s="9" t="n">
        <x:v>0.7142857142857143</x:v>
      </x:c>
    </x:row>
    <x:row r="30" ht="23" customHeight="1">
      <x:c r="A30" s="2" t="str">
        <x:v>D020_T02_C080_G075</x:v>
      </x:c>
      <x:c r="B30" s="19" t="n">
        <x:v>0.2</x:v>
      </x:c>
      <x:c r="C30" s="2" t="n">
        <x:v>2</x:v>
      </x:c>
      <x:c r="D30" s="19" t="n">
        <x:v>0.8</x:v>
      </x:c>
      <x:c r="E30" s="19" t="n">
        <x:v>0.75</x:v>
      </x:c>
      <x:c r="F30" s="10" t="n">
        <x:f>COUNTIFS('初始相信者'!$A$7:$A$917,A30)</x:f>
        <x:v>10</x:v>
      </x:c>
      <x:c r="G30" s="10" t="n">
        <x:f>COUNTIFS('初始相信者'!$A$7:$A$917,A30,'初始相信者'!$G$7:$G$917,1)</x:f>
        <x:v>10</x:v>
      </x:c>
      <x:c r="H30" s="10" t="n">
        <x:f>F30-G30</x:f>
        <x:v>0</x:v>
      </x:c>
      <x:c r="I30" s="9" t="n">
        <x:f>SUMIFS('初始相信者'!$I$7:$I$917,'初始相信者'!$A$7:$A$917,A30)/F30</x:f>
        <x:v>1.4</x:v>
      </x:c>
      <x:c r="J30" s="9" t="n">
        <x:f>AVERAGEIFS('回应前队列'!$G$7:$G$954,'回应前队列'!$A$7:$A$954,A30)</x:f>
        <x:v>0.4</x:v>
      </x:c>
      <x:c r="K30" s="10" t="n">
        <x:v>14</x:v>
      </x:c>
      <x:c r="L30" s="10" t="n">
        <x:v>0</x:v>
      </x:c>
      <x:c r="M30" s="10" t="n">
        <x:v>297</x:v>
      </x:c>
      <x:c r="N30" s="10" t="n">
        <x:v>3</x:v>
      </x:c>
      <x:c r="O30" s="9" t="n">
        <x:v>1.4</x:v>
      </x:c>
      <x:c r="P30" s="9" t="n">
        <x:v>0.4</x:v>
      </x:c>
    </x:row>
    <x:row r="31" ht="23" customHeight="1">
      <x:c r="A31" s="2" t="str">
        <x:v>D020_T04_C020_G025</x:v>
      </x:c>
      <x:c r="B31" s="19" t="n">
        <x:v>0.2</x:v>
      </x:c>
      <x:c r="C31" s="2" t="n">
        <x:v>4</x:v>
      </x:c>
      <x:c r="D31" s="19" t="n">
        <x:v>0.2</x:v>
      </x:c>
      <x:c r="E31" s="19" t="n">
        <x:v>0.25</x:v>
      </x:c>
      <x:c r="F31" s="10" t="n">
        <x:f>COUNTIFS('初始相信者'!$A$7:$A$917,A31)</x:f>
        <x:v>16</x:v>
      </x:c>
      <x:c r="G31" s="10" t="n">
        <x:f>COUNTIFS('初始相信者'!$A$7:$A$917,A31,'初始相信者'!$G$7:$G$917,1)</x:f>
        <x:v>6</x:v>
      </x:c>
      <x:c r="H31" s="10" t="n">
        <x:f>F31-G31</x:f>
        <x:v>10</x:v>
      </x:c>
      <x:c r="I31" s="9" t="n">
        <x:f>SUMIFS('初始相信者'!$I$7:$I$917,'初始相信者'!$A$7:$A$917,A31)/F31</x:f>
        <x:v>7.375</x:v>
      </x:c>
      <x:c r="J31" s="9" t="n">
        <x:f>AVERAGEIFS('回应前队列'!$G$7:$G$954,'回应前队列'!$A$7:$A$954,A31)</x:f>
        <x:v>2.5</x:v>
      </x:c>
      <x:c r="K31" s="10" t="n">
        <x:v>128</x:v>
      </x:c>
      <x:c r="L31" s="10" t="n">
        <x:v>10</x:v>
      </x:c>
      <x:c r="M31" s="10" t="n">
        <x:v>287</x:v>
      </x:c>
      <x:c r="N31" s="10" t="n">
        <x:v>3</x:v>
      </x:c>
      <x:c r="O31" s="9" t="n">
        <x:v>7.375</x:v>
      </x:c>
      <x:c r="P31" s="9" t="n">
        <x:v>2.5</x:v>
      </x:c>
    </x:row>
    <x:row r="32" ht="23" customHeight="1">
      <x:c r="A32" s="2" t="str">
        <x:v>D020_T04_C020_G050</x:v>
      </x:c>
      <x:c r="B32" s="19" t="n">
        <x:v>0.2</x:v>
      </x:c>
      <x:c r="C32" s="2" t="n">
        <x:v>4</x:v>
      </x:c>
      <x:c r="D32" s="19" t="n">
        <x:v>0.2</x:v>
      </x:c>
      <x:c r="E32" s="19" t="n">
        <x:v>0.5</x:v>
      </x:c>
      <x:c r="F32" s="10" t="n">
        <x:f>COUNTIFS('初始相信者'!$A$7:$A$917,A32)</x:f>
        <x:v>17</x:v>
      </x:c>
      <x:c r="G32" s="10" t="n">
        <x:f>COUNTIFS('初始相信者'!$A$7:$A$917,A32,'初始相信者'!$G$7:$G$917,1)</x:f>
        <x:v>13</x:v>
      </x:c>
      <x:c r="H32" s="10" t="n">
        <x:f>F32-G32</x:f>
        <x:v>4</x:v>
      </x:c>
      <x:c r="I32" s="9" t="n">
        <x:f>SUMIFS('初始相信者'!$I$7:$I$917,'初始相信者'!$A$7:$A$917,A32)/F32</x:f>
        <x:v>5.352941176470588</x:v>
      </x:c>
      <x:c r="J32" s="9" t="n">
        <x:f>AVERAGEIFS('回应前队列'!$G$7:$G$954,'回应前队列'!$A$7:$A$954,A32)</x:f>
        <x:v>1.5555555555555556</x:v>
      </x:c>
      <x:c r="K32" s="10" t="n">
        <x:v>99</x:v>
      </x:c>
      <x:c r="L32" s="10" t="n">
        <x:v>4</x:v>
      </x:c>
      <x:c r="M32" s="10" t="n">
        <x:v>295</x:v>
      </x:c>
      <x:c r="N32" s="10" t="n">
        <x:v>1</x:v>
      </x:c>
      <x:c r="O32" s="9" t="n">
        <x:v>5.352941176470588</x:v>
      </x:c>
      <x:c r="P32" s="9" t="n">
        <x:v>1.5555555555555556</x:v>
      </x:c>
    </x:row>
    <x:row r="33" ht="23" customHeight="1">
      <x:c r="A33" s="2" t="str">
        <x:v>D020_T04_C020_G075</x:v>
      </x:c>
      <x:c r="B33" s="19" t="n">
        <x:v>0.2</x:v>
      </x:c>
      <x:c r="C33" s="2" t="n">
        <x:v>4</x:v>
      </x:c>
      <x:c r="D33" s="19" t="n">
        <x:v>0.2</x:v>
      </x:c>
      <x:c r="E33" s="19" t="n">
        <x:v>0.75</x:v>
      </x:c>
      <x:c r="F33" s="10" t="n">
        <x:f>COUNTIFS('初始相信者'!$A$7:$A$917,A33)</x:f>
        <x:v>11</x:v>
      </x:c>
      <x:c r="G33" s="10" t="n">
        <x:f>COUNTIFS('初始相信者'!$A$7:$A$917,A33,'初始相信者'!$G$7:$G$917,1)</x:f>
        <x:v>9</x:v>
      </x:c>
      <x:c r="H33" s="10" t="n">
        <x:f>F33-G33</x:f>
        <x:v>2</x:v>
      </x:c>
      <x:c r="I33" s="9" t="n">
        <x:f>SUMIFS('初始相信者'!$I$7:$I$917,'初始相信者'!$A$7:$A$917,A33)/F33</x:f>
        <x:v>5.181818181818182</x:v>
      </x:c>
      <x:c r="J33" s="9" t="n">
        <x:f>AVERAGEIFS('回应前队列'!$G$7:$G$954,'回应前队列'!$A$7:$A$954,A33)</x:f>
        <x:v>1.4545454545454546</x:v>
      </x:c>
      <x:c r="K33" s="10" t="n">
        <x:v>59</x:v>
      </x:c>
      <x:c r="L33" s="10" t="n">
        <x:v>2</x:v>
      </x:c>
      <x:c r="M33" s="10" t="n">
        <x:v>298</x:v>
      </x:c>
      <x:c r="N33" s="10" t="n">
        <x:v>0</x:v>
      </x:c>
      <x:c r="O33" s="9" t="n">
        <x:v>5.181818181818182</x:v>
      </x:c>
      <x:c r="P33" s="9" t="n">
        <x:v>1.4545454545454546</x:v>
      </x:c>
    </x:row>
    <x:row r="34" ht="23" customHeight="1">
      <x:c r="A34" s="2" t="str">
        <x:v>D020_T04_C080_G025</x:v>
      </x:c>
      <x:c r="B34" s="19" t="n">
        <x:v>0.2</x:v>
      </x:c>
      <x:c r="C34" s="2" t="n">
        <x:v>4</x:v>
      </x:c>
      <x:c r="D34" s="19" t="n">
        <x:v>0.8</x:v>
      </x:c>
      <x:c r="E34" s="19" t="n">
        <x:v>0.25</x:v>
      </x:c>
      <x:c r="F34" s="10" t="n">
        <x:f>COUNTIFS('初始相信者'!$A$7:$A$917,A34)</x:f>
        <x:v>17</x:v>
      </x:c>
      <x:c r="G34" s="10" t="n">
        <x:f>COUNTIFS('初始相信者'!$A$7:$A$917,A34,'初始相信者'!$G$7:$G$917,1)</x:f>
        <x:v>12</x:v>
      </x:c>
      <x:c r="H34" s="10" t="n">
        <x:f>F34-G34</x:f>
        <x:v>5</x:v>
      </x:c>
      <x:c r="I34" s="9" t="n">
        <x:f>SUMIFS('初始相信者'!$I$7:$I$917,'初始相信者'!$A$7:$A$917,A34)/F34</x:f>
        <x:v>6.176470588235294</x:v>
      </x:c>
      <x:c r="J34" s="9" t="n">
        <x:f>AVERAGEIFS('回应前队列'!$G$7:$G$954,'回应前队列'!$A$7:$A$954,A34)</x:f>
        <x:v>1.8888888888888888</x:v>
      </x:c>
      <x:c r="K34" s="10" t="n">
        <x:v>119</x:v>
      </x:c>
      <x:c r="L34" s="10" t="n">
        <x:v>6</x:v>
      </x:c>
      <x:c r="M34" s="10" t="n">
        <x:v>289</x:v>
      </x:c>
      <x:c r="N34" s="10" t="n">
        <x:v>5</x:v>
      </x:c>
      <x:c r="O34" s="9" t="n">
        <x:v>6.176470588235294</x:v>
      </x:c>
      <x:c r="P34" s="9" t="n">
        <x:v>1.8888888888888888</x:v>
      </x:c>
    </x:row>
    <x:row r="35" ht="23" customHeight="1">
      <x:c r="A35" s="2" t="str">
        <x:v>D020_T04_C080_G050</x:v>
      </x:c>
      <x:c r="B35" s="19" t="n">
        <x:v>0.2</x:v>
      </x:c>
      <x:c r="C35" s="2" t="n">
        <x:v>4</x:v>
      </x:c>
      <x:c r="D35" s="19" t="n">
        <x:v>0.8</x:v>
      </x:c>
      <x:c r="E35" s="19" t="n">
        <x:v>0.5</x:v>
      </x:c>
      <x:c r="F35" s="10" t="n">
        <x:f>COUNTIFS('初始相信者'!$A$7:$A$917,A35)</x:f>
        <x:v>17</x:v>
      </x:c>
      <x:c r="G35" s="10" t="n">
        <x:f>COUNTIFS('初始相信者'!$A$7:$A$917,A35,'初始相信者'!$G$7:$G$917,1)</x:f>
        <x:v>17</x:v>
      </x:c>
      <x:c r="H35" s="10" t="n">
        <x:f>F35-G35</x:f>
        <x:v>0</x:v>
      </x:c>
      <x:c r="I35" s="9" t="n">
        <x:f>SUMIFS('初始相信者'!$I$7:$I$917,'初始相信者'!$A$7:$A$917,A35)/F35</x:f>
        <x:v>4</x:v>
      </x:c>
      <x:c r="J35" s="9" t="n">
        <x:f>AVERAGEIFS('回应前队列'!$G$7:$G$954,'回应前队列'!$A$7:$A$954,A35)</x:f>
        <x:v>0.8235294117647058</x:v>
      </x:c>
      <x:c r="K35" s="10" t="n">
        <x:v>68</x:v>
      </x:c>
      <x:c r="L35" s="10" t="n">
        <x:v>0</x:v>
      </x:c>
      <x:c r="M35" s="10" t="n">
        <x:v>297</x:v>
      </x:c>
      <x:c r="N35" s="10" t="n">
        <x:v>3</x:v>
      </x:c>
      <x:c r="O35" s="9" t="n">
        <x:v>4</x:v>
      </x:c>
      <x:c r="P35" s="9" t="n">
        <x:v>0.8235294117647058</x:v>
      </x:c>
    </x:row>
    <x:row r="36" ht="23" customHeight="1">
      <x:c r="A36" s="2" t="str">
        <x:v>D020_T04_C080_G075</x:v>
      </x:c>
      <x:c r="B36" s="19" t="n">
        <x:v>0.2</x:v>
      </x:c>
      <x:c r="C36" s="2" t="n">
        <x:v>4</x:v>
      </x:c>
      <x:c r="D36" s="19" t="n">
        <x:v>0.8</x:v>
      </x:c>
      <x:c r="E36" s="19" t="n">
        <x:v>0.75</x:v>
      </x:c>
      <x:c r="F36" s="10" t="n">
        <x:f>COUNTIFS('初始相信者'!$A$7:$A$917,A36)</x:f>
        <x:v>13</x:v>
      </x:c>
      <x:c r="G36" s="10" t="n">
        <x:f>COUNTIFS('初始相信者'!$A$7:$A$917,A36,'初始相信者'!$G$7:$G$917,1)</x:f>
        <x:v>13</x:v>
      </x:c>
      <x:c r="H36" s="10" t="n">
        <x:f>F36-G36</x:f>
        <x:v>0</x:v>
      </x:c>
      <x:c r="I36" s="9" t="n">
        <x:f>SUMIFS('初始相信者'!$I$7:$I$917,'初始相信者'!$A$7:$A$917,A36)/F36</x:f>
        <x:v>3.3076923076923075</x:v>
      </x:c>
      <x:c r="J36" s="9" t="n">
        <x:f>AVERAGEIFS('回应前队列'!$G$7:$G$954,'回应前队列'!$A$7:$A$954,A36)</x:f>
        <x:v>0.2857142857142857</x:v>
      </x:c>
      <x:c r="K36" s="10" t="n">
        <x:v>44</x:v>
      </x:c>
      <x:c r="L36" s="10" t="n">
        <x:v>0</x:v>
      </x:c>
      <x:c r="M36" s="10" t="n">
        <x:v>294</x:v>
      </x:c>
      <x:c r="N36" s="10" t="n">
        <x:v>6</x:v>
      </x:c>
      <x:c r="O36" s="9" t="n">
        <x:v>3.3076923076923075</x:v>
      </x:c>
      <x:c r="P36" s="9" t="n">
        <x:v>0.2857142857142857</x:v>
      </x:c>
    </x:row>
    <x:row r="37" ht="23" customHeight="1">
      <x:c r="A37" s="2" t="str">
        <x:v>D020_T07_C020_G025</x:v>
      </x:c>
      <x:c r="B37" s="19" t="n">
        <x:v>0.2</x:v>
      </x:c>
      <x:c r="C37" s="2" t="n">
        <x:v>7</x:v>
      </x:c>
      <x:c r="D37" s="19" t="n">
        <x:v>0.2</x:v>
      </x:c>
      <x:c r="E37" s="19" t="n">
        <x:v>0.25</x:v>
      </x:c>
      <x:c r="F37" s="10" t="n">
        <x:f>COUNTIFS('初始相信者'!$A$7:$A$917,A37)</x:f>
        <x:v>20</x:v>
      </x:c>
      <x:c r="G37" s="10" t="n">
        <x:f>COUNTIFS('初始相信者'!$A$7:$A$917,A37,'初始相信者'!$G$7:$G$917,1)</x:f>
        <x:v>2</x:v>
      </x:c>
      <x:c r="H37" s="10" t="n">
        <x:f>F37-G37</x:f>
        <x:v>18</x:v>
      </x:c>
      <x:c r="I37" s="9" t="n">
        <x:f>SUMIFS('初始相信者'!$I$7:$I$917,'初始相信者'!$A$7:$A$917,A37)/F37</x:f>
        <x:v>8.7</x:v>
      </x:c>
      <x:c r="J37" s="9" t="n">
        <x:f>AVERAGEIFS('回应前队列'!$G$7:$G$954,'回应前队列'!$A$7:$A$954,A37)</x:f>
        <x:v>2.7142857142857144</x:v>
      </x:c>
      <x:c r="K37" s="10" t="n">
        <x:v>198</x:v>
      </x:c>
      <x:c r="L37" s="10" t="n">
        <x:v>19</x:v>
      </x:c>
      <x:c r="M37" s="10" t="n">
        <x:v>279</x:v>
      </x:c>
      <x:c r="N37" s="10" t="n">
        <x:v>2</x:v>
      </x:c>
      <x:c r="O37" s="9" t="n">
        <x:v>8.7</x:v>
      </x:c>
      <x:c r="P37" s="9" t="n">
        <x:v>2.7142857142857144</x:v>
      </x:c>
    </x:row>
    <x:row r="38" ht="23" customHeight="1">
      <x:c r="A38" s="2" t="str">
        <x:v>D020_T07_C020_G050</x:v>
      </x:c>
      <x:c r="B38" s="19" t="n">
        <x:v>0.2</x:v>
      </x:c>
      <x:c r="C38" s="2" t="n">
        <x:v>7</x:v>
      </x:c>
      <x:c r="D38" s="19" t="n">
        <x:v>0.2</x:v>
      </x:c>
      <x:c r="E38" s="19" t="n">
        <x:v>0.5</x:v>
      </x:c>
      <x:c r="F38" s="10" t="n">
        <x:f>COUNTIFS('初始相信者'!$A$7:$A$917,A38)</x:f>
        <x:v>18</x:v>
      </x:c>
      <x:c r="G38" s="10" t="n">
        <x:f>COUNTIFS('初始相信者'!$A$7:$A$917,A38,'初始相信者'!$G$7:$G$917,1)</x:f>
        <x:v>13</x:v>
      </x:c>
      <x:c r="H38" s="10" t="n">
        <x:f>F38-G38</x:f>
        <x:v>5</x:v>
      </x:c>
      <x:c r="I38" s="9" t="n">
        <x:f>SUMIFS('初始相信者'!$I$7:$I$917,'初始相信者'!$A$7:$A$917,A38)/F38</x:f>
        <x:v>8</x:v>
      </x:c>
      <x:c r="J38" s="9" t="n">
        <x:f>AVERAGEIFS('回应前队列'!$G$7:$G$954,'回应前队列'!$A$7:$A$954,A38)</x:f>
        <x:v>2</x:v>
      </x:c>
      <x:c r="K38" s="10" t="n">
        <x:v>149</x:v>
      </x:c>
      <x:c r="L38" s="10" t="n">
        <x:v>5</x:v>
      </x:c>
      <x:c r="M38" s="10" t="n">
        <x:v>294</x:v>
      </x:c>
      <x:c r="N38" s="10" t="n">
        <x:v>1</x:v>
      </x:c>
      <x:c r="O38" s="9" t="n">
        <x:v>8</x:v>
      </x:c>
      <x:c r="P38" s="9" t="n">
        <x:v>2</x:v>
      </x:c>
    </x:row>
    <x:row r="39" ht="23" customHeight="1">
      <x:c r="A39" s="2" t="str">
        <x:v>D020_T07_C020_G075</x:v>
      </x:c>
      <x:c r="B39" s="19" t="n">
        <x:v>0.2</x:v>
      </x:c>
      <x:c r="C39" s="2" t="n">
        <x:v>7</x:v>
      </x:c>
      <x:c r="D39" s="19" t="n">
        <x:v>0.2</x:v>
      </x:c>
      <x:c r="E39" s="19" t="n">
        <x:v>0.75</x:v>
      </x:c>
      <x:c r="F39" s="10" t="n">
        <x:f>COUNTIFS('初始相信者'!$A$7:$A$917,A39)</x:f>
        <x:v>17</x:v>
      </x:c>
      <x:c r="G39" s="10" t="n">
        <x:f>COUNTIFS('初始相信者'!$A$7:$A$917,A39,'初始相信者'!$G$7:$G$917,1)</x:f>
        <x:v>11</x:v>
      </x:c>
      <x:c r="H39" s="10" t="n">
        <x:f>F39-G39</x:f>
        <x:v>6</x:v>
      </x:c>
      <x:c r="I39" s="9" t="n">
        <x:f>SUMIFS('初始相信者'!$I$7:$I$917,'初始相信者'!$A$7:$A$917,A39)/F39</x:f>
        <x:v>7.705882352941177</x:v>
      </x:c>
      <x:c r="J39" s="9" t="n">
        <x:f>AVERAGEIFS('回应前队列'!$G$7:$G$954,'回应前队列'!$A$7:$A$954,A39)</x:f>
        <x:v>1.6111111111111112</x:v>
      </x:c>
      <x:c r="K39" s="10" t="n">
        <x:v>141</x:v>
      </x:c>
      <x:c r="L39" s="10" t="n">
        <x:v>7</x:v>
      </x:c>
      <x:c r="M39" s="10" t="n">
        <x:v>291</x:v>
      </x:c>
      <x:c r="N39" s="10" t="n">
        <x:v>2</x:v>
      </x:c>
      <x:c r="O39" s="9" t="n">
        <x:v>7.705882352941177</x:v>
      </x:c>
      <x:c r="P39" s="9" t="n">
        <x:v>1.6111111111111112</x:v>
      </x:c>
    </x:row>
    <x:row r="40" ht="23" customHeight="1">
      <x:c r="A40" s="2" t="str">
        <x:v>D020_T07_C080_G025</x:v>
      </x:c>
      <x:c r="B40" s="19" t="n">
        <x:v>0.2</x:v>
      </x:c>
      <x:c r="C40" s="2" t="n">
        <x:v>7</x:v>
      </x:c>
      <x:c r="D40" s="19" t="n">
        <x:v>0.8</x:v>
      </x:c>
      <x:c r="E40" s="19" t="n">
        <x:v>0.25</x:v>
      </x:c>
      <x:c r="F40" s="10" t="n">
        <x:f>COUNTIFS('初始相信者'!$A$7:$A$917,A40)</x:f>
        <x:v>17</x:v>
      </x:c>
      <x:c r="G40" s="10" t="n">
        <x:f>COUNTIFS('初始相信者'!$A$7:$A$917,A40,'初始相信者'!$G$7:$G$917,1)</x:f>
        <x:v>6</x:v>
      </x:c>
      <x:c r="H40" s="10" t="n">
        <x:f>F40-G40</x:f>
        <x:v>11</x:v>
      </x:c>
      <x:c r="I40" s="9" t="n">
        <x:f>SUMIFS('初始相信者'!$I$7:$I$917,'初始相信者'!$A$7:$A$917,A40)/F40</x:f>
        <x:v>8.705882352941176</x:v>
      </x:c>
      <x:c r="J40" s="9" t="n">
        <x:f>AVERAGEIFS('回应前队列'!$G$7:$G$954,'回应前队列'!$A$7:$A$954,A40)</x:f>
        <x:v>2.7058823529411766</x:v>
      </x:c>
      <x:c r="K40" s="10" t="n">
        <x:v>161</x:v>
      </x:c>
      <x:c r="L40" s="10" t="n">
        <x:v>12</x:v>
      </x:c>
      <x:c r="M40" s="10" t="n">
        <x:v>287</x:v>
      </x:c>
      <x:c r="N40" s="10" t="n">
        <x:v>1</x:v>
      </x:c>
      <x:c r="O40" s="9" t="n">
        <x:v>8.705882352941176</x:v>
      </x:c>
      <x:c r="P40" s="9" t="n">
        <x:v>2.7058823529411766</x:v>
      </x:c>
    </x:row>
    <x:row r="41" ht="23" customHeight="1">
      <x:c r="A41" s="2" t="str">
        <x:v>D020_T07_C080_G050</x:v>
      </x:c>
      <x:c r="B41" s="19" t="n">
        <x:v>0.2</x:v>
      </x:c>
      <x:c r="C41" s="2" t="n">
        <x:v>7</x:v>
      </x:c>
      <x:c r="D41" s="19" t="n">
        <x:v>0.8</x:v>
      </x:c>
      <x:c r="E41" s="19" t="n">
        <x:v>0.5</x:v>
      </x:c>
      <x:c r="F41" s="10" t="n">
        <x:f>COUNTIFS('初始相信者'!$A$7:$A$917,A41)</x:f>
        <x:v>19</x:v>
      </x:c>
      <x:c r="G41" s="10" t="n">
        <x:f>COUNTIFS('初始相信者'!$A$7:$A$917,A41,'初始相信者'!$G$7:$G$917,1)</x:f>
        <x:v>18</x:v>
      </x:c>
      <x:c r="H41" s="10" t="n">
        <x:f>F41-G41</x:f>
        <x:v>1</x:v>
      </x:c>
      <x:c r="I41" s="9" t="n">
        <x:f>SUMIFS('初始相信者'!$I$7:$I$917,'初始相信者'!$A$7:$A$917,A41)/F41</x:f>
        <x:v>6.631578947368421</x:v>
      </x:c>
      <x:c r="J41" s="9" t="n">
        <x:f>AVERAGEIFS('回应前队列'!$G$7:$G$954,'回应前队列'!$A$7:$A$954,A41)</x:f>
        <x:v>0.6</x:v>
      </x:c>
      <x:c r="K41" s="10" t="n">
        <x:v>131</x:v>
      </x:c>
      <x:c r="L41" s="10" t="n">
        <x:v>1</x:v>
      </x:c>
      <x:c r="M41" s="10" t="n">
        <x:v>294</x:v>
      </x:c>
      <x:c r="N41" s="10" t="n">
        <x:v>5</x:v>
      </x:c>
      <x:c r="O41" s="9" t="n">
        <x:v>6.631578947368421</x:v>
      </x:c>
      <x:c r="P41" s="9" t="n">
        <x:v>0.6</x:v>
      </x:c>
    </x:row>
    <x:row r="42" ht="23" customHeight="1">
      <x:c r="A42" s="2" t="str">
        <x:v>D020_T07_C080_G075</x:v>
      </x:c>
      <x:c r="B42" s="19" t="n">
        <x:v>0.2</x:v>
      </x:c>
      <x:c r="C42" s="2" t="n">
        <x:v>7</x:v>
      </x:c>
      <x:c r="D42" s="19" t="n">
        <x:v>0.8</x:v>
      </x:c>
      <x:c r="E42" s="19" t="n">
        <x:v>0.75</x:v>
      </x:c>
      <x:c r="F42" s="10" t="n">
        <x:f>COUNTIFS('初始相信者'!$A$7:$A$917,A42)</x:f>
        <x:v>15</x:v>
      </x:c>
      <x:c r="G42" s="10" t="n">
        <x:f>COUNTIFS('初始相信者'!$A$7:$A$917,A42,'初始相信者'!$G$7:$G$917,1)</x:f>
        <x:v>15</x:v>
      </x:c>
      <x:c r="H42" s="10" t="n">
        <x:f>F42-G42</x:f>
        <x:v>0</x:v>
      </x:c>
      <x:c r="I42" s="9" t="n">
        <x:f>SUMIFS('初始相信者'!$I$7:$I$917,'初始相信者'!$A$7:$A$917,A42)/F42</x:f>
        <x:v>6.666666666666667</x:v>
      </x:c>
      <x:c r="J42" s="9" t="n">
        <x:f>AVERAGEIFS('回应前队列'!$G$7:$G$954,'回应前队列'!$A$7:$A$954,A42)</x:f>
        <x:v>0.625</x:v>
      </x:c>
      <x:c r="K42" s="10" t="n">
        <x:v>104</x:v>
      </x:c>
      <x:c r="L42" s="10" t="n">
        <x:v>0</x:v>
      </x:c>
      <x:c r="M42" s="10" t="n">
        <x:v>298</x:v>
      </x:c>
      <x:c r="N42" s="10" t="n">
        <x:v>2</x:v>
      </x:c>
      <x:c r="O42" s="9" t="n">
        <x:v>6.666666666666667</x:v>
      </x:c>
      <x:c r="P42" s="9" t="n">
        <x:v>0.625</x:v>
      </x:c>
    </x:row>
    <x:row r="43" ht="23" customHeight="1">
      <x:c r="A43" s="2" t="str">
        <x:v>D040_T02_C020_G025</x:v>
      </x:c>
      <x:c r="B43" s="19" t="n">
        <x:v>0.4</x:v>
      </x:c>
      <x:c r="C43" s="2" t="n">
        <x:v>2</x:v>
      </x:c>
      <x:c r="D43" s="19" t="n">
        <x:v>0.2</x:v>
      </x:c>
      <x:c r="E43" s="19" t="n">
        <x:v>0.25</x:v>
      </x:c>
      <x:c r="F43" s="10" t="n">
        <x:f>COUNTIFS('初始相信者'!$A$7:$A$917,A43)</x:f>
        <x:v>32</x:v>
      </x:c>
      <x:c r="G43" s="10" t="n">
        <x:f>COUNTIFS('初始相信者'!$A$7:$A$917,A43,'初始相信者'!$G$7:$G$917,1)</x:f>
        <x:v>26</x:v>
      </x:c>
      <x:c r="H43" s="10" t="n">
        <x:f>F43-G43</x:f>
        <x:v>6</x:v>
      </x:c>
      <x:c r="I43" s="9" t="n">
        <x:f>SUMIFS('初始相信者'!$I$7:$I$917,'初始相信者'!$A$7:$A$917,A43)/F43</x:f>
        <x:v>5.96875</x:v>
      </x:c>
      <x:c r="J43" s="9" t="n">
        <x:f>AVERAGEIFS('回应前队列'!$G$7:$G$954,'回应前队列'!$A$7:$A$954,A43)</x:f>
        <x:v>2.71875</x:v>
      </x:c>
      <x:c r="K43" s="10" t="n">
        <x:v>197</x:v>
      </x:c>
      <x:c r="L43" s="10" t="n">
        <x:v>6</x:v>
      </x:c>
      <x:c r="M43" s="10" t="n">
        <x:v>292</x:v>
      </x:c>
      <x:c r="N43" s="10" t="n">
        <x:v>2</x:v>
      </x:c>
      <x:c r="O43" s="9" t="n">
        <x:v>5.96875</x:v>
      </x:c>
      <x:c r="P43" s="9" t="n">
        <x:v>2.71875</x:v>
      </x:c>
    </x:row>
    <x:row r="44" ht="23" customHeight="1">
      <x:c r="A44" s="2" t="str">
        <x:v>D040_T02_C020_G050</x:v>
      </x:c>
      <x:c r="B44" s="19" t="n">
        <x:v>0.4</x:v>
      </x:c>
      <x:c r="C44" s="2" t="n">
        <x:v>2</x:v>
      </x:c>
      <x:c r="D44" s="19" t="n">
        <x:v>0.2</x:v>
      </x:c>
      <x:c r="E44" s="19" t="n">
        <x:v>0.5</x:v>
      </x:c>
      <x:c r="F44" s="10" t="n">
        <x:f>COUNTIFS('初始相信者'!$A$7:$A$917,A44)</x:f>
        <x:v>29</x:v>
      </x:c>
      <x:c r="G44" s="10" t="n">
        <x:f>COUNTIFS('初始相信者'!$A$7:$A$917,A44,'初始相信者'!$G$7:$G$917,1)</x:f>
        <x:v>28</x:v>
      </x:c>
      <x:c r="H44" s="10" t="n">
        <x:f>F44-G44</x:f>
        <x:v>1</x:v>
      </x:c>
      <x:c r="I44" s="9" t="n">
        <x:f>SUMIFS('初始相信者'!$I$7:$I$917,'初始相信者'!$A$7:$A$917,A44)/F44</x:f>
        <x:v>2.689655172413793</x:v>
      </x:c>
      <x:c r="J44" s="9" t="n">
        <x:f>AVERAGEIFS('回应前队列'!$G$7:$G$954,'回应前队列'!$A$7:$A$954,A44)</x:f>
        <x:v>1.5172413793103448</x:v>
      </x:c>
      <x:c r="K44" s="10" t="n">
        <x:v>79</x:v>
      </x:c>
      <x:c r="L44" s="10" t="n">
        <x:v>1</x:v>
      </x:c>
      <x:c r="M44" s="10" t="n">
        <x:v>298</x:v>
      </x:c>
      <x:c r="N44" s="10" t="n">
        <x:v>1</x:v>
      </x:c>
      <x:c r="O44" s="9" t="n">
        <x:v>2.689655172413793</x:v>
      </x:c>
      <x:c r="P44" s="9" t="n">
        <x:v>1.5172413793103448</x:v>
      </x:c>
    </x:row>
    <x:row r="45" ht="23" customHeight="1">
      <x:c r="A45" s="2" t="str">
        <x:v>D040_T02_C020_G075</x:v>
      </x:c>
      <x:c r="B45" s="19" t="n">
        <x:v>0.4</x:v>
      </x:c>
      <x:c r="C45" s="2" t="n">
        <x:v>2</x:v>
      </x:c>
      <x:c r="D45" s="19" t="n">
        <x:v>0.2</x:v>
      </x:c>
      <x:c r="E45" s="19" t="n">
        <x:v>0.75</x:v>
      </x:c>
      <x:c r="F45" s="10" t="n">
        <x:f>COUNTIFS('初始相信者'!$A$7:$A$917,A45)</x:f>
        <x:v>31</x:v>
      </x:c>
      <x:c r="G45" s="10" t="n">
        <x:f>COUNTIFS('初始相信者'!$A$7:$A$917,A45,'初始相信者'!$G$7:$G$917,1)</x:f>
        <x:v>31</x:v>
      </x:c>
      <x:c r="H45" s="10" t="n">
        <x:f>F45-G45</x:f>
        <x:v>0</x:v>
      </x:c>
      <x:c r="I45" s="9" t="n">
        <x:f>SUMIFS('初始相信者'!$I$7:$I$917,'初始相信者'!$A$7:$A$917,A45)/F45</x:f>
        <x:v>2.3548387096774195</x:v>
      </x:c>
      <x:c r="J45" s="9" t="n">
        <x:f>AVERAGEIFS('回应前队列'!$G$7:$G$954,'回应前队列'!$A$7:$A$954,A45)</x:f>
        <x:v>1.3548387096774193</x:v>
      </x:c>
      <x:c r="K45" s="10" t="n">
        <x:v>73</x:v>
      </x:c>
      <x:c r="L45" s="10" t="n">
        <x:v>0</x:v>
      </x:c>
      <x:c r="M45" s="10" t="n">
        <x:v>296</x:v>
      </x:c>
      <x:c r="N45" s="10" t="n">
        <x:v>4</x:v>
      </x:c>
      <x:c r="O45" s="9" t="n">
        <x:v>2.3548387096774195</x:v>
      </x:c>
      <x:c r="P45" s="9" t="n">
        <x:v>1.3548387096774193</x:v>
      </x:c>
    </x:row>
    <x:row r="46" ht="23" customHeight="1">
      <x:c r="A46" s="2" t="str">
        <x:v>D040_T02_C080_G025</x:v>
      </x:c>
      <x:c r="B46" s="19" t="n">
        <x:v>0.4</x:v>
      </x:c>
      <x:c r="C46" s="2" t="n">
        <x:v>2</x:v>
      </x:c>
      <x:c r="D46" s="19" t="n">
        <x:v>0.8</x:v>
      </x:c>
      <x:c r="E46" s="19" t="n">
        <x:v>0.25</x:v>
      </x:c>
      <x:c r="F46" s="10" t="n">
        <x:f>COUNTIFS('初始相信者'!$A$7:$A$917,A46)</x:f>
        <x:v>32</x:v>
      </x:c>
      <x:c r="G46" s="10" t="n">
        <x:f>COUNTIFS('初始相信者'!$A$7:$A$917,A46,'初始相信者'!$G$7:$G$917,1)</x:f>
        <x:v>28</x:v>
      </x:c>
      <x:c r="H46" s="10" t="n">
        <x:f>F46-G46</x:f>
        <x:v>4</x:v>
      </x:c>
      <x:c r="I46" s="9" t="n">
        <x:f>SUMIFS('初始相信者'!$I$7:$I$917,'初始相信者'!$A$7:$A$917,A46)/F46</x:f>
        <x:v>4.65625</x:v>
      </x:c>
      <x:c r="J46" s="9" t="n">
        <x:f>AVERAGEIFS('回应前队列'!$G$7:$G$954,'回应前队列'!$A$7:$A$954,A46)</x:f>
        <x:v>2.09375</x:v>
      </x:c>
      <x:c r="K46" s="10" t="n">
        <x:v>154</x:v>
      </x:c>
      <x:c r="L46" s="10" t="n">
        <x:v>5</x:v>
      </x:c>
      <x:c r="M46" s="10" t="n">
        <x:v>285</x:v>
      </x:c>
      <x:c r="N46" s="10" t="n">
        <x:v>10</x:v>
      </x:c>
      <x:c r="O46" s="9" t="n">
        <x:v>4.65625</x:v>
      </x:c>
      <x:c r="P46" s="9" t="n">
        <x:v>2.09375</x:v>
      </x:c>
    </x:row>
    <x:row r="47" ht="23" customHeight="1">
      <x:c r="A47" s="2" t="str">
        <x:v>D040_T02_C080_G050</x:v>
      </x:c>
      <x:c r="B47" s="19" t="n">
        <x:v>0.4</x:v>
      </x:c>
      <x:c r="C47" s="2" t="n">
        <x:v>2</x:v>
      </x:c>
      <x:c r="D47" s="19" t="n">
        <x:v>0.8</x:v>
      </x:c>
      <x:c r="E47" s="19" t="n">
        <x:v>0.5</x:v>
      </x:c>
      <x:c r="F47" s="10" t="n">
        <x:f>COUNTIFS('初始相信者'!$A$7:$A$917,A47)</x:f>
        <x:v>30</x:v>
      </x:c>
      <x:c r="G47" s="10" t="n">
        <x:f>COUNTIFS('初始相信者'!$A$7:$A$917,A47,'初始相信者'!$G$7:$G$917,1)</x:f>
        <x:v>30</x:v>
      </x:c>
      <x:c r="H47" s="10" t="n">
        <x:f>F47-G47</x:f>
        <x:v>0</x:v>
      </x:c>
      <x:c r="I47" s="9" t="n">
        <x:f>SUMIFS('初始相信者'!$I$7:$I$917,'初始相信者'!$A$7:$A$917,A47)/F47</x:f>
        <x:v>1.8666666666666667</x:v>
      </x:c>
      <x:c r="J47" s="9" t="n">
        <x:f>AVERAGEIFS('回应前队列'!$G$7:$G$954,'回应前队列'!$A$7:$A$954,A47)</x:f>
        <x:v>0.7333333333333333</x:v>
      </x:c>
      <x:c r="K47" s="10" t="n">
        <x:v>56</x:v>
      </x:c>
      <x:c r="L47" s="10" t="n">
        <x:v>0</x:v>
      </x:c>
      <x:c r="M47" s="10" t="n">
        <x:v>300</x:v>
      </x:c>
      <x:c r="N47" s="10" t="n">
        <x:v>0</x:v>
      </x:c>
      <x:c r="O47" s="9" t="n">
        <x:v>1.8666666666666667</x:v>
      </x:c>
      <x:c r="P47" s="9" t="n">
        <x:v>0.7333333333333333</x:v>
      </x:c>
    </x:row>
    <x:row r="48" ht="23" customHeight="1">
      <x:c r="A48" s="2" t="str">
        <x:v>D040_T02_C080_G075</x:v>
      </x:c>
      <x:c r="B48" s="19" t="n">
        <x:v>0.4</x:v>
      </x:c>
      <x:c r="C48" s="2" t="n">
        <x:v>2</x:v>
      </x:c>
      <x:c r="D48" s="19" t="n">
        <x:v>0.8</x:v>
      </x:c>
      <x:c r="E48" s="19" t="n">
        <x:v>0.75</x:v>
      </x:c>
      <x:c r="F48" s="10" t="n">
        <x:f>COUNTIFS('初始相信者'!$A$7:$A$917,A48)</x:f>
        <x:v>30</x:v>
      </x:c>
      <x:c r="G48" s="10" t="n">
        <x:f>COUNTIFS('初始相信者'!$A$7:$A$917,A48,'初始相信者'!$G$7:$G$917,1)</x:f>
        <x:v>29</x:v>
      </x:c>
      <x:c r="H48" s="10" t="n">
        <x:f>F48-G48</x:f>
        <x:v>1</x:v>
      </x:c>
      <x:c r="I48" s="9" t="n">
        <x:f>SUMIFS('初始相信者'!$I$7:$I$917,'初始相信者'!$A$7:$A$917,A48)/F48</x:f>
        <x:v>1.5</x:v>
      </x:c>
      <x:c r="J48" s="9" t="n">
        <x:f>AVERAGEIFS('回应前队列'!$G$7:$G$954,'回应前队列'!$A$7:$A$954,A48)</x:f>
        <x:v>0.3333333333333333</x:v>
      </x:c>
      <x:c r="K48" s="10" t="n">
        <x:v>46</x:v>
      </x:c>
      <x:c r="L48" s="10" t="n">
        <x:v>1</x:v>
      </x:c>
      <x:c r="M48" s="10" t="n">
        <x:v>297</x:v>
      </x:c>
      <x:c r="N48" s="10" t="n">
        <x:v>2</x:v>
      </x:c>
      <x:c r="O48" s="9" t="n">
        <x:v>1.5</x:v>
      </x:c>
      <x:c r="P48" s="9" t="n">
        <x:v>0.3333333333333333</x:v>
      </x:c>
    </x:row>
    <x:row r="49" ht="23" customHeight="1">
      <x:c r="A49" s="2" t="str">
        <x:v>D040_T04_C020_G025</x:v>
      </x:c>
      <x:c r="B49" s="19" t="n">
        <x:v>0.4</x:v>
      </x:c>
      <x:c r="C49" s="2" t="n">
        <x:v>4</x:v>
      </x:c>
      <x:c r="D49" s="19" t="n">
        <x:v>0.2</x:v>
      </x:c>
      <x:c r="E49" s="19" t="n">
        <x:v>0.25</x:v>
      </x:c>
      <x:c r="F49" s="10" t="n">
        <x:f>COUNTIFS('初始相信者'!$A$7:$A$917,A49)</x:f>
        <x:v>31</x:v>
      </x:c>
      <x:c r="G49" s="10" t="n">
        <x:f>COUNTIFS('初始相信者'!$A$7:$A$917,A49,'初始相信者'!$G$7:$G$917,1)</x:f>
        <x:v>12</x:v>
      </x:c>
      <x:c r="H49" s="10" t="n">
        <x:f>F49-G49</x:f>
        <x:v>19</x:v>
      </x:c>
      <x:c r="I49" s="9" t="n">
        <x:f>SUMIFS('初始相信者'!$I$7:$I$917,'初始相信者'!$A$7:$A$917,A49)/F49</x:f>
        <x:v>7.935483870967742</x:v>
      </x:c>
      <x:c r="J49" s="9" t="n">
        <x:f>AVERAGEIFS('回应前队列'!$G$7:$G$954,'回应前队列'!$A$7:$A$954,A49)</x:f>
        <x:v>2.7096774193548385</x:v>
      </x:c>
      <x:c r="K49" s="10" t="n">
        <x:v>272</x:v>
      </x:c>
      <x:c r="L49" s="10" t="n">
        <x:v>20</x:v>
      </x:c>
      <x:c r="M49" s="10" t="n">
        <x:v>275</x:v>
      </x:c>
      <x:c r="N49" s="10" t="n">
        <x:v>5</x:v>
      </x:c>
      <x:c r="O49" s="9" t="n">
        <x:v>7.935483870967742</x:v>
      </x:c>
      <x:c r="P49" s="9" t="n">
        <x:v>2.7096774193548385</x:v>
      </x:c>
    </x:row>
    <x:row r="50" ht="23" customHeight="1">
      <x:c r="A50" s="2" t="str">
        <x:v>D040_T04_C020_G050</x:v>
      </x:c>
      <x:c r="B50" s="19" t="n">
        <x:v>0.4</x:v>
      </x:c>
      <x:c r="C50" s="2" t="n">
        <x:v>4</x:v>
      </x:c>
      <x:c r="D50" s="19" t="n">
        <x:v>0.2</x:v>
      </x:c>
      <x:c r="E50" s="19" t="n">
        <x:v>0.5</x:v>
      </x:c>
      <x:c r="F50" s="10" t="n">
        <x:f>COUNTIFS('初始相信者'!$A$7:$A$917,A50)</x:f>
        <x:v>30</x:v>
      </x:c>
      <x:c r="G50" s="10" t="n">
        <x:f>COUNTIFS('初始相信者'!$A$7:$A$917,A50,'初始相信者'!$G$7:$G$917,1)</x:f>
        <x:v>29</x:v>
      </x:c>
      <x:c r="H50" s="10" t="n">
        <x:f>F50-G50</x:f>
        <x:v>1</x:v>
      </x:c>
      <x:c r="I50" s="9" t="n">
        <x:f>SUMIFS('初始相信者'!$I$7:$I$917,'初始相信者'!$A$7:$A$917,A50)/F50</x:f>
        <x:v>4.9</x:v>
      </x:c>
      <x:c r="J50" s="9" t="n">
        <x:f>AVERAGEIFS('回应前队列'!$G$7:$G$954,'回应前队列'!$A$7:$A$954,A50)</x:f>
        <x:v>1.6666666666666667</x:v>
      </x:c>
      <x:c r="K50" s="10" t="n">
        <x:v>150</x:v>
      </x:c>
      <x:c r="L50" s="10" t="n">
        <x:v>1</x:v>
      </x:c>
      <x:c r="M50" s="10" t="n">
        <x:v>299</x:v>
      </x:c>
      <x:c r="N50" s="10" t="n">
        <x:v>0</x:v>
      </x:c>
      <x:c r="O50" s="9" t="n">
        <x:v>4.9</x:v>
      </x:c>
      <x:c r="P50" s="9" t="n">
        <x:v>1.6666666666666667</x:v>
      </x:c>
    </x:row>
    <x:row r="51" ht="23" customHeight="1">
      <x:c r="A51" s="2" t="str">
        <x:v>D040_T04_C020_G075</x:v>
      </x:c>
      <x:c r="B51" s="19" t="n">
        <x:v>0.4</x:v>
      </x:c>
      <x:c r="C51" s="2" t="n">
        <x:v>4</x:v>
      </x:c>
      <x:c r="D51" s="19" t="n">
        <x:v>0.2</x:v>
      </x:c>
      <x:c r="E51" s="19" t="n">
        <x:v>0.75</x:v>
      </x:c>
      <x:c r="F51" s="10" t="n">
        <x:f>COUNTIFS('初始相信者'!$A$7:$A$917,A51)</x:f>
        <x:v>25</x:v>
      </x:c>
      <x:c r="G51" s="10" t="n">
        <x:f>COUNTIFS('初始相信者'!$A$7:$A$917,A51,'初始相信者'!$G$7:$G$917,1)</x:f>
        <x:v>24</x:v>
      </x:c>
      <x:c r="H51" s="10" t="n">
        <x:f>F51-G51</x:f>
        <x:v>1</x:v>
      </x:c>
      <x:c r="I51" s="9" t="n">
        <x:f>SUMIFS('初始相信者'!$I$7:$I$917,'初始相信者'!$A$7:$A$917,A51)/F51</x:f>
        <x:v>5.16</x:v>
      </x:c>
      <x:c r="J51" s="9" t="n">
        <x:f>AVERAGEIFS('回应前队列'!$G$7:$G$954,'回应前队列'!$A$7:$A$954,A51)</x:f>
        <x:v>1.88</x:v>
      </x:c>
      <x:c r="K51" s="10" t="n">
        <x:v>130</x:v>
      </x:c>
      <x:c r="L51" s="10" t="n">
        <x:v>1</x:v>
      </x:c>
      <x:c r="M51" s="10" t="n">
        <x:v>297</x:v>
      </x:c>
      <x:c r="N51" s="10" t="n">
        <x:v>2</x:v>
      </x:c>
      <x:c r="O51" s="9" t="n">
        <x:v>5.16</x:v>
      </x:c>
      <x:c r="P51" s="9" t="n">
        <x:v>1.88</x:v>
      </x:c>
    </x:row>
    <x:row r="52" ht="23" customHeight="1">
      <x:c r="A52" s="2" t="str">
        <x:v>D040_T04_C080_G025</x:v>
      </x:c>
      <x:c r="B52" s="19" t="n">
        <x:v>0.4</x:v>
      </x:c>
      <x:c r="C52" s="2" t="n">
        <x:v>4</x:v>
      </x:c>
      <x:c r="D52" s="19" t="n">
        <x:v>0.8</x:v>
      </x:c>
      <x:c r="E52" s="19" t="n">
        <x:v>0.25</x:v>
      </x:c>
      <x:c r="F52" s="10" t="n">
        <x:f>COUNTIFS('初始相信者'!$A$7:$A$917,A52)</x:f>
        <x:v>30</x:v>
      </x:c>
      <x:c r="G52" s="10" t="n">
        <x:f>COUNTIFS('初始相信者'!$A$7:$A$917,A52,'初始相信者'!$G$7:$G$917,1)</x:f>
        <x:v>17</x:v>
      </x:c>
      <x:c r="H52" s="10" t="n">
        <x:f>F52-G52</x:f>
        <x:v>13</x:v>
      </x:c>
      <x:c r="I52" s="9" t="n">
        <x:f>SUMIFS('初始相信者'!$I$7:$I$917,'初始相信者'!$A$7:$A$917,A52)/F52</x:f>
        <x:v>7.233333333333333</x:v>
      </x:c>
      <x:c r="J52" s="9" t="n">
        <x:f>AVERAGEIFS('回应前队列'!$G$7:$G$954,'回应前队列'!$A$7:$A$954,A52)</x:f>
        <x:v>2.466666666666667</x:v>
      </x:c>
      <x:c r="K52" s="10" t="n">
        <x:v>230</x:v>
      </x:c>
      <x:c r="L52" s="10" t="n">
        <x:v>13</x:v>
      </x:c>
      <x:c r="M52" s="10" t="n">
        <x:v>281</x:v>
      </x:c>
      <x:c r="N52" s="10" t="n">
        <x:v>6</x:v>
      </x:c>
      <x:c r="O52" s="9" t="n">
        <x:v>7.233333333333333</x:v>
      </x:c>
      <x:c r="P52" s="9" t="n">
        <x:v>2.466666666666667</x:v>
      </x:c>
    </x:row>
    <x:row r="53" ht="23" customHeight="1">
      <x:c r="A53" s="2" t="str">
        <x:v>D040_T04_C080_G050</x:v>
      </x:c>
      <x:c r="B53" s="19" t="n">
        <x:v>0.4</x:v>
      </x:c>
      <x:c r="C53" s="2" t="n">
        <x:v>4</x:v>
      </x:c>
      <x:c r="D53" s="19" t="n">
        <x:v>0.8</x:v>
      </x:c>
      <x:c r="E53" s="19" t="n">
        <x:v>0.5</x:v>
      </x:c>
      <x:c r="F53" s="10" t="n">
        <x:f>COUNTIFS('初始相信者'!$A$7:$A$917,A53)</x:f>
        <x:v>31</x:v>
      </x:c>
      <x:c r="G53" s="10" t="n">
        <x:f>COUNTIFS('初始相信者'!$A$7:$A$917,A53,'初始相信者'!$G$7:$G$917,1)</x:f>
        <x:v>30</x:v>
      </x:c>
      <x:c r="H53" s="10" t="n">
        <x:f>F53-G53</x:f>
        <x:v>1</x:v>
      </x:c>
      <x:c r="I53" s="9" t="n">
        <x:f>SUMIFS('初始相信者'!$I$7:$I$917,'初始相信者'!$A$7:$A$917,A53)/F53</x:f>
        <x:v>4.451612903225806</x:v>
      </x:c>
      <x:c r="J53" s="9" t="n">
        <x:f>AVERAGEIFS('回应前队列'!$G$7:$G$954,'回应前队列'!$A$7:$A$954,A53)</x:f>
        <x:v>1.21875</x:v>
      </x:c>
      <x:c r="K53" s="10" t="n">
        <x:v>140</x:v>
      </x:c>
      <x:c r="L53" s="10" t="n">
        <x:v>1</x:v>
      </x:c>
      <x:c r="M53" s="10" t="n">
        <x:v>298</x:v>
      </x:c>
      <x:c r="N53" s="10" t="n">
        <x:v>1</x:v>
      </x:c>
      <x:c r="O53" s="9" t="n">
        <x:v>4.451612903225806</x:v>
      </x:c>
      <x:c r="P53" s="9" t="n">
        <x:v>1.21875</x:v>
      </x:c>
    </x:row>
    <x:row r="54" ht="23" customHeight="1">
      <x:c r="A54" s="2" t="str">
        <x:v>D040_T04_C080_G075</x:v>
      </x:c>
      <x:c r="B54" s="19" t="n">
        <x:v>0.4</x:v>
      </x:c>
      <x:c r="C54" s="2" t="n">
        <x:v>4</x:v>
      </x:c>
      <x:c r="D54" s="19" t="n">
        <x:v>0.8</x:v>
      </x:c>
      <x:c r="E54" s="19" t="n">
        <x:v>0.75</x:v>
      </x:c>
      <x:c r="F54" s="10" t="n">
        <x:f>COUNTIFS('初始相信者'!$A$7:$A$917,A54)</x:f>
        <x:v>26</x:v>
      </x:c>
      <x:c r="G54" s="10" t="n">
        <x:f>COUNTIFS('初始相信者'!$A$7:$A$917,A54,'初始相信者'!$G$7:$G$917,1)</x:f>
        <x:v>26</x:v>
      </x:c>
      <x:c r="H54" s="10" t="n">
        <x:f>F54-G54</x:f>
        <x:v>0</x:v>
      </x:c>
      <x:c r="I54" s="9" t="n">
        <x:f>SUMIFS('初始相信者'!$I$7:$I$917,'初始相信者'!$A$7:$A$917,A54)/F54</x:f>
        <x:v>3.3076923076923075</x:v>
      </x:c>
      <x:c r="J54" s="9" t="n">
        <x:f>AVERAGEIFS('回应前队列'!$G$7:$G$954,'回应前队列'!$A$7:$A$954,A54)</x:f>
        <x:v>0.3076923076923077</x:v>
      </x:c>
      <x:c r="K54" s="10" t="n">
        <x:v>86</x:v>
      </x:c>
      <x:c r="L54" s="10" t="n">
        <x:v>0</x:v>
      </x:c>
      <x:c r="M54" s="10" t="n">
        <x:v>298</x:v>
      </x:c>
      <x:c r="N54" s="10" t="n">
        <x:v>2</x:v>
      </x:c>
      <x:c r="O54" s="9" t="n">
        <x:v>3.3076923076923075</x:v>
      </x:c>
      <x:c r="P54" s="9" t="n">
        <x:v>0.3076923076923077</x:v>
      </x:c>
    </x:row>
    <x:row r="55" ht="23" customHeight="1">
      <x:c r="A55" s="2" t="str">
        <x:v>D040_T07_C020_G025</x:v>
      </x:c>
      <x:c r="B55" s="19" t="n">
        <x:v>0.4</x:v>
      </x:c>
      <x:c r="C55" s="2" t="n">
        <x:v>7</x:v>
      </x:c>
      <x:c r="D55" s="19" t="n">
        <x:v>0.2</x:v>
      </x:c>
      <x:c r="E55" s="19" t="n">
        <x:v>0.25</x:v>
      </x:c>
      <x:c r="F55" s="10" t="n">
        <x:f>COUNTIFS('初始相信者'!$A$7:$A$917,A55)</x:f>
        <x:v>33</x:v>
      </x:c>
      <x:c r="G55" s="10" t="n">
        <x:f>COUNTIFS('初始相信者'!$A$7:$A$917,A55,'初始相信者'!$G$7:$G$917,1)</x:f>
        <x:v>5</x:v>
      </x:c>
      <x:c r="H55" s="10" t="n">
        <x:f>F55-G55</x:f>
        <x:v>28</x:v>
      </x:c>
      <x:c r="I55" s="9" t="n">
        <x:f>SUMIFS('初始相信者'!$I$7:$I$917,'初始相信者'!$A$7:$A$917,A55)/F55</x:f>
        <x:v>8.848484848484848</x:v>
      </x:c>
      <x:c r="J55" s="9" t="n">
        <x:f>AVERAGEIFS('回应前队列'!$G$7:$G$954,'回应前队列'!$A$7:$A$954,A55)</x:f>
        <x:v>2.823529411764706</x:v>
      </x:c>
      <x:c r="K55" s="10" t="n">
        <x:v>327</x:v>
      </x:c>
      <x:c r="L55" s="10" t="n">
        <x:v>29</x:v>
      </x:c>
      <x:c r="M55" s="10" t="n">
        <x:v>265</x:v>
      </x:c>
      <x:c r="N55" s="10" t="n">
        <x:v>6</x:v>
      </x:c>
      <x:c r="O55" s="9" t="n">
        <x:v>8.848484848484848</x:v>
      </x:c>
      <x:c r="P55" s="9" t="n">
        <x:v>2.823529411764706</x:v>
      </x:c>
    </x:row>
    <x:row r="56" ht="23" customHeight="1">
      <x:c r="A56" s="2" t="str">
        <x:v>D040_T07_C020_G050</x:v>
      </x:c>
      <x:c r="B56" s="19" t="n">
        <x:v>0.4</x:v>
      </x:c>
      <x:c r="C56" s="2" t="n">
        <x:v>7</x:v>
      </x:c>
      <x:c r="D56" s="19" t="n">
        <x:v>0.2</x:v>
      </x:c>
      <x:c r="E56" s="19" t="n">
        <x:v>0.5</x:v>
      </x:c>
      <x:c r="F56" s="10" t="n">
        <x:f>COUNTIFS('初始相信者'!$A$7:$A$917,A56)</x:f>
        <x:v>28</x:v>
      </x:c>
      <x:c r="G56" s="10" t="n">
        <x:f>COUNTIFS('初始相信者'!$A$7:$A$917,A56,'初始相信者'!$G$7:$G$917,1)</x:f>
        <x:v>21</x:v>
      </x:c>
      <x:c r="H56" s="10" t="n">
        <x:f>F56-G56</x:f>
        <x:v>7</x:v>
      </x:c>
      <x:c r="I56" s="9" t="n">
        <x:f>SUMIFS('初始相信者'!$I$7:$I$917,'初始相信者'!$A$7:$A$917,A56)/F56</x:f>
        <x:v>7.857142857142857</x:v>
      </x:c>
      <x:c r="J56" s="9" t="n">
        <x:f>AVERAGEIFS('回应前队列'!$G$7:$G$954,'回应前队列'!$A$7:$A$954,A56)</x:f>
        <x:v>1.967741935483871</x:v>
      </x:c>
      <x:c r="K56" s="10" t="n">
        <x:v>247</x:v>
      </x:c>
      <x:c r="L56" s="10" t="n">
        <x:v>8</x:v>
      </x:c>
      <x:c r="M56" s="10" t="n">
        <x:v>291</x:v>
      </x:c>
      <x:c r="N56" s="10" t="n">
        <x:v>1</x:v>
      </x:c>
      <x:c r="O56" s="9" t="n">
        <x:v>7.857142857142857</x:v>
      </x:c>
      <x:c r="P56" s="9" t="n">
        <x:v>1.967741935483871</x:v>
      </x:c>
    </x:row>
    <x:row r="57" ht="23" customHeight="1">
      <x:c r="A57" s="2" t="str">
        <x:v>D040_T07_C020_G075</x:v>
      </x:c>
      <x:c r="B57" s="19" t="n">
        <x:v>0.4</x:v>
      </x:c>
      <x:c r="C57" s="2" t="n">
        <x:v>7</x:v>
      </x:c>
      <x:c r="D57" s="19" t="n">
        <x:v>0.2</x:v>
      </x:c>
      <x:c r="E57" s="19" t="n">
        <x:v>0.75</x:v>
      </x:c>
      <x:c r="F57" s="10" t="n">
        <x:f>COUNTIFS('初始相信者'!$A$7:$A$917,A57)</x:f>
        <x:v>26</x:v>
      </x:c>
      <x:c r="G57" s="10" t="n">
        <x:f>COUNTIFS('初始相信者'!$A$7:$A$917,A57,'初始相信者'!$G$7:$G$917,1)</x:f>
        <x:v>24</x:v>
      </x:c>
      <x:c r="H57" s="10" t="n">
        <x:f>F57-G57</x:f>
        <x:v>2</x:v>
      </x:c>
      <x:c r="I57" s="9" t="n">
        <x:f>SUMIFS('初始相信者'!$I$7:$I$917,'初始相信者'!$A$7:$A$917,A57)/F57</x:f>
        <x:v>7.423076923076923</x:v>
      </x:c>
      <x:c r="J57" s="9" t="n">
        <x:f>AVERAGEIFS('回应前队列'!$G$7:$G$954,'回应前队列'!$A$7:$A$954,A57)</x:f>
        <x:v>1.5</x:v>
      </x:c>
      <x:c r="K57" s="10" t="n">
        <x:v>202</x:v>
      </x:c>
      <x:c r="L57" s="10" t="n">
        <x:v>2</x:v>
      </x:c>
      <x:c r="M57" s="10" t="n">
        <x:v>298</x:v>
      </x:c>
      <x:c r="N57" s="10" t="n">
        <x:v>0</x:v>
      </x:c>
      <x:c r="O57" s="9" t="n">
        <x:v>7.423076923076923</x:v>
      </x:c>
      <x:c r="P57" s="9" t="n">
        <x:v>1.5</x:v>
      </x:c>
    </x:row>
    <x:row r="58" ht="23" customHeight="1">
      <x:c r="A58" s="2" t="str">
        <x:v>D040_T07_C080_G025</x:v>
      </x:c>
      <x:c r="B58" s="19" t="n">
        <x:v>0.4</x:v>
      </x:c>
      <x:c r="C58" s="2" t="n">
        <x:v>7</x:v>
      </x:c>
      <x:c r="D58" s="19" t="n">
        <x:v>0.8</x:v>
      </x:c>
      <x:c r="E58" s="19" t="n">
        <x:v>0.25</x:v>
      </x:c>
      <x:c r="F58" s="10" t="n">
        <x:f>COUNTIFS('初始相信者'!$A$7:$A$917,A58)</x:f>
        <x:v>33</x:v>
      </x:c>
      <x:c r="G58" s="10" t="n">
        <x:f>COUNTIFS('初始相信者'!$A$7:$A$917,A58,'初始相信者'!$G$7:$G$917,1)</x:f>
        <x:v>12</x:v>
      </x:c>
      <x:c r="H58" s="10" t="n">
        <x:f>F58-G58</x:f>
        <x:v>21</x:v>
      </x:c>
      <x:c r="I58" s="9" t="n">
        <x:f>SUMIFS('初始相信者'!$I$7:$I$917,'初始相信者'!$A$7:$A$917,A58)/F58</x:f>
        <x:v>8.393939393939394</x:v>
      </x:c>
      <x:c r="J58" s="9" t="n">
        <x:f>AVERAGEIFS('回应前队列'!$G$7:$G$954,'回应前队列'!$A$7:$A$954,A58)</x:f>
        <x:v>2.323529411764706</x:v>
      </x:c>
      <x:c r="K58" s="10" t="n">
        <x:v>302</x:v>
      </x:c>
      <x:c r="L58" s="10" t="n">
        <x:v>21</x:v>
      </x:c>
      <x:c r="M58" s="10" t="n">
        <x:v>274</x:v>
      </x:c>
      <x:c r="N58" s="10" t="n">
        <x:v>5</x:v>
      </x:c>
      <x:c r="O58" s="9" t="n">
        <x:v>8.393939393939394</x:v>
      </x:c>
      <x:c r="P58" s="9" t="n">
        <x:v>2.323529411764706</x:v>
      </x:c>
    </x:row>
    <x:row r="59" ht="23" customHeight="1">
      <x:c r="A59" s="2" t="str">
        <x:v>D040_T07_C080_G050</x:v>
      </x:c>
      <x:c r="B59" s="19" t="n">
        <x:v>0.4</x:v>
      </x:c>
      <x:c r="C59" s="2" t="n">
        <x:v>7</x:v>
      </x:c>
      <x:c r="D59" s="19" t="n">
        <x:v>0.8</x:v>
      </x:c>
      <x:c r="E59" s="19" t="n">
        <x:v>0.5</x:v>
      </x:c>
      <x:c r="F59" s="10" t="n">
        <x:f>COUNTIFS('初始相信者'!$A$7:$A$917,A59)</x:f>
        <x:v>28</x:v>
      </x:c>
      <x:c r="G59" s="10" t="n">
        <x:f>COUNTIFS('初始相信者'!$A$7:$A$917,A59,'初始相信者'!$G$7:$G$917,1)</x:f>
        <x:v>25</x:v>
      </x:c>
      <x:c r="H59" s="10" t="n">
        <x:f>F59-G59</x:f>
        <x:v>3</x:v>
      </x:c>
      <x:c r="I59" s="9" t="n">
        <x:f>SUMIFS('初始相信者'!$I$7:$I$917,'初始相信者'!$A$7:$A$917,A59)/F59</x:f>
        <x:v>6.857142857142857</x:v>
      </x:c>
      <x:c r="J59" s="9" t="n">
        <x:f>AVERAGEIFS('回应前队列'!$G$7:$G$954,'回应前队列'!$A$7:$A$954,A59)</x:f>
        <x:v>0.8064516129032258</x:v>
      </x:c>
      <x:c r="K59" s="10" t="n">
        <x:v>205</x:v>
      </x:c>
      <x:c r="L59" s="10" t="n">
        <x:v>3</x:v>
      </x:c>
      <x:c r="M59" s="10" t="n">
        <x:v>296</x:v>
      </x:c>
      <x:c r="N59" s="10" t="n">
        <x:v>1</x:v>
      </x:c>
      <x:c r="O59" s="9" t="n">
        <x:v>6.857142857142857</x:v>
      </x:c>
      <x:c r="P59" s="9" t="n">
        <x:v>0.8064516129032258</x:v>
      </x:c>
    </x:row>
    <x:row r="60" ht="23" customHeight="1">
      <x:c r="A60" s="2" t="str">
        <x:v>D040_T07_C080_G075</x:v>
      </x:c>
      <x:c r="B60" s="19" t="n">
        <x:v>0.4</x:v>
      </x:c>
      <x:c r="C60" s="2" t="n">
        <x:v>7</x:v>
      </x:c>
      <x:c r="D60" s="19" t="n">
        <x:v>0.8</x:v>
      </x:c>
      <x:c r="E60" s="19" t="n">
        <x:v>0.75</x:v>
      </x:c>
      <x:c r="F60" s="10" t="n">
        <x:f>COUNTIFS('初始相信者'!$A$7:$A$917,A60)</x:f>
        <x:v>31</x:v>
      </x:c>
      <x:c r="G60" s="10" t="n">
        <x:f>COUNTIFS('初始相信者'!$A$7:$A$917,A60,'初始相信者'!$G$7:$G$917,1)</x:f>
        <x:v>30</x:v>
      </x:c>
      <x:c r="H60" s="10" t="n">
        <x:f>F60-G60</x:f>
        <x:v>1</x:v>
      </x:c>
      <x:c r="I60" s="9" t="n">
        <x:f>SUMIFS('初始相信者'!$I$7:$I$917,'初始相信者'!$A$7:$A$917,A60)/F60</x:f>
        <x:v>6.290322580645161</x:v>
      </x:c>
      <x:c r="J60" s="9" t="n">
        <x:f>AVERAGEIFS('回应前队列'!$G$7:$G$954,'回应前队列'!$A$7:$A$954,A60)</x:f>
        <x:v>0.3235294117647059</x:v>
      </x:c>
      <x:c r="K60" s="10" t="n">
        <x:v>204</x:v>
      </x:c>
      <x:c r="L60" s="10" t="n">
        <x:v>1</x:v>
      </x:c>
      <x:c r="M60" s="10" t="n">
        <x:v>292</x:v>
      </x:c>
      <x:c r="N60" s="10" t="n">
        <x:v>7</x:v>
      </x:c>
      <x:c r="O60" s="9" t="n">
        <x:v>6.290322580645161</x:v>
      </x:c>
      <x:c r="P60" s="9" t="n">
        <x:v>0.3235294117647059</x:v>
      </x:c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7" hidden="0" customWidth="1"/>
    <x:col min="5" max="5" width="17" hidden="0" customWidth="1"/>
    <x:col min="6" max="6" width="23" hidden="0" customWidth="1"/>
    <x:col min="7" max="7" width="25" hidden="0" customWidth="1"/>
    <x:col min="8" max="8" width="18" hidden="0" customWidth="1"/>
    <x:col min="9" max="9" width="22" hidden="0" customWidth="1"/>
    <x:col min="10" max="10" width="12" hidden="0" customWidth="1"/>
    <x:col min="11" max="11" width="10" hidden="0" customWidth="1"/>
    <x:col min="12" max="12" width="12" hidden="0" customWidth="1"/>
    <x:col min="13" max="13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第1轮相信者的首次转变与删失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911条用户×情景轨迹；涉及47个不同ID，全部圈内。事件0的实际TBU留空，受限贡献9不代表已转变。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8" t="str">
        <x:v>情景ID</x:v>
      </x:c>
      <x:c r="B6" s="8" t="str">
        <x:v>用户ID</x:v>
      </x:c>
      <x:c r="C6" s="8" t="str">
        <x:v>群体</x:v>
      </x:c>
      <x:c r="D6" s="8" t="str">
        <x:v>首次相信轮</x:v>
      </x:c>
      <x:c r="E6" s="8" t="str">
        <x:v>首次不信轮</x:v>
      </x:c>
      <x:c r="F6" s="8" t="str">
        <x:v>持续或删失步数</x:v>
      </x:c>
      <x:c r="G6" s="8" t="str">
        <x:v>事件 1转变0删失</x:v>
      </x:c>
      <x:c r="H6" s="8" t="str">
        <x:v>实际TBU</x:v>
      </x:c>
      <x:c r="I6" s="8" t="str">
        <x:v>9轮限制持续</x:v>
      </x:c>
      <x:c r="J6" s="8" t="str">
        <x:v>DGC</x:v>
      </x:c>
      <x:c r="K6" s="8" t="str">
        <x:v>RT</x:v>
      </x:c>
      <x:c r="L6" s="8" t="str">
        <x:v>TC</x:v>
      </x:c>
      <x:c r="M6" s="8" t="str">
        <x:v>GC</x:v>
      </x:c>
    </x:row>
    <x:row r="7" ht="23" customHeight="1">
      <x:c r="A7" s="2" t="str">
        <x:v>D000_T02_C020_G025</x:v>
      </x:c>
      <x:c r="B7" s="2" t="str">
        <x:v>A0011</x:v>
      </x:c>
      <x:c r="C7" s="2" t="str">
        <x:v>圈内</x:v>
      </x:c>
      <x:c r="D7" s="10" t="n">
        <x:v>1</x:v>
      </x:c>
      <x:c r="E7" s="10" t="n">
        <x:v>5</x:v>
      </x:c>
      <x:c r="F7" s="10" t="n">
        <x:v>4</x:v>
      </x:c>
      <x:c r="G7" s="10" t="n">
        <x:v>1</x:v>
      </x:c>
      <x:c r="H7" s="10" t="n">
        <x:f>IF(G7=1,E7-D7,"")</x:f>
        <x:v>4</x:v>
      </x:c>
      <x:c r="I7" s="10" t="n">
        <x:f>MIN(F7,9)</x:f>
        <x:v>4</x:v>
      </x:c>
      <x:c r="J7" s="19" t="n">
        <x:v>0</x:v>
      </x:c>
      <x:c r="K7" s="2" t="n">
        <x:v>2</x:v>
      </x:c>
      <x:c r="L7" s="19" t="n">
        <x:v>0.2</x:v>
      </x:c>
      <x:c r="M7" s="19" t="n">
        <x:v>0.25</x:v>
      </x:c>
    </x:row>
    <x:row r="8" ht="23" customHeight="1">
      <x:c r="A8" s="2" t="str">
        <x:v>D000_T02_C020_G025</x:v>
      </x:c>
      <x:c r="B8" s="2" t="str">
        <x:v>A0018</x:v>
      </x:c>
      <x:c r="C8" s="2" t="str">
        <x:v>圈内</x:v>
      </x:c>
      <x:c r="D8" s="10" t="n">
        <x:v>1</x:v>
      </x:c>
      <x:c r="E8" s="10" t="n">
        <x:v>6</x:v>
      </x:c>
      <x:c r="F8" s="10" t="n">
        <x:v>5</x:v>
      </x:c>
      <x:c r="G8" s="10" t="n">
        <x:v>1</x:v>
      </x:c>
      <x:c r="H8" s="10" t="n">
        <x:f>IF(G8=1,E8-D8,"")</x:f>
        <x:v>5</x:v>
      </x:c>
      <x:c r="I8" s="10" t="n">
        <x:f>MIN(F8,9)</x:f>
        <x:v>5</x:v>
      </x:c>
      <x:c r="J8" s="19" t="n">
        <x:v>0</x:v>
      </x:c>
      <x:c r="K8" s="2" t="n">
        <x:v>2</x:v>
      </x:c>
      <x:c r="L8" s="19" t="n">
        <x:v>0.2</x:v>
      </x:c>
      <x:c r="M8" s="19" t="n">
        <x:v>0.25</x:v>
      </x:c>
    </x:row>
    <x:row r="9" ht="23" customHeight="1">
      <x:c r="A9" s="2" t="str">
        <x:v>D000_T02_C020_G025</x:v>
      </x:c>
      <x:c r="B9" s="2" t="str">
        <x:v>A0029</x:v>
      </x:c>
      <x:c r="C9" s="2" t="str">
        <x:v>圈内</x:v>
      </x:c>
      <x:c r="D9" s="10" t="n">
        <x:v>1</x:v>
      </x:c>
      <x:c r="E9" s="10" t="n">
        <x:v>10</x:v>
      </x:c>
      <x:c r="F9" s="10" t="n">
        <x:v>9</x:v>
      </x:c>
      <x:c r="G9" s="10" t="n">
        <x:v>1</x:v>
      </x:c>
      <x:c r="H9" s="10" t="n">
        <x:f>IF(G9=1,E9-D9,"")</x:f>
        <x:v>9</x:v>
      </x:c>
      <x:c r="I9" s="10" t="n">
        <x:f>MIN(F9,9)</x:f>
        <x:v>9</x:v>
      </x:c>
      <x:c r="J9" s="19" t="n">
        <x:v>0</x:v>
      </x:c>
      <x:c r="K9" s="2" t="n">
        <x:v>2</x:v>
      </x:c>
      <x:c r="L9" s="19" t="n">
        <x:v>0.2</x:v>
      </x:c>
      <x:c r="M9" s="19" t="n">
        <x:v>0.25</x:v>
      </x:c>
    </x:row>
    <x:row r="10" ht="23" customHeight="1">
      <x:c r="A10" s="2" t="str">
        <x:v>D000_T02_C020_G025</x:v>
      </x:c>
      <x:c r="B10" s="2" t="str">
        <x:v>A0032</x:v>
      </x:c>
      <x:c r="C10" s="2" t="str">
        <x:v>圈内</x:v>
      </x:c>
      <x:c r="D10" s="10" t="n">
        <x:v>1</x:v>
      </x:c>
      <x:c r="E10" s="10" t="n">
        <x:v>5</x:v>
      </x:c>
      <x:c r="F10" s="10" t="n">
        <x:v>4</x:v>
      </x:c>
      <x:c r="G10" s="10" t="n">
        <x:v>1</x:v>
      </x:c>
      <x:c r="H10" s="10" t="n">
        <x:f>IF(G10=1,E10-D10,"")</x:f>
        <x:v>4</x:v>
      </x:c>
      <x:c r="I10" s="10" t="n">
        <x:f>MIN(F10,9)</x:f>
        <x:v>4</x:v>
      </x:c>
      <x:c r="J10" s="19" t="n">
        <x:v>0</x:v>
      </x:c>
      <x:c r="K10" s="2" t="n">
        <x:v>2</x:v>
      </x:c>
      <x:c r="L10" s="19" t="n">
        <x:v>0.2</x:v>
      </x:c>
      <x:c r="M10" s="19" t="n">
        <x:v>0.25</x:v>
      </x:c>
    </x:row>
    <x:row r="11" ht="23" customHeight="1">
      <x:c r="A11" s="2" t="str">
        <x:v>D000_T02_C020_G050</x:v>
      </x:c>
      <x:c r="B11" s="2" t="str">
        <x:v>A0011</x:v>
      </x:c>
      <x:c r="C11" s="2" t="str">
        <x:v>圈内</x:v>
      </x:c>
      <x:c r="D11" s="10" t="n">
        <x:v>1</x:v>
      </x:c>
      <x:c r="E11" s="10" t="n">
        <x:v>2</x:v>
      </x:c>
      <x:c r="F11" s="10" t="n">
        <x:v>1</x:v>
      </x:c>
      <x:c r="G11" s="10" t="n">
        <x:v>1</x:v>
      </x:c>
      <x:c r="H11" s="10" t="n">
        <x:f>IF(G11=1,E11-D11,"")</x:f>
        <x:v>1</x:v>
      </x:c>
      <x:c r="I11" s="10" t="n">
        <x:f>MIN(F11,9)</x:f>
        <x:v>1</x:v>
      </x:c>
      <x:c r="J11" s="19" t="n">
        <x:v>0</x:v>
      </x:c>
      <x:c r="K11" s="2" t="n">
        <x:v>2</x:v>
      </x:c>
      <x:c r="L11" s="19" t="n">
        <x:v>0.2</x:v>
      </x:c>
      <x:c r="M11" s="19" t="n">
        <x:v>0.5</x:v>
      </x:c>
    </x:row>
    <x:row r="12" ht="23" customHeight="1">
      <x:c r="A12" s="2" t="str">
        <x:v>D000_T02_C020_G050</x:v>
      </x:c>
      <x:c r="B12" s="2" t="str">
        <x:v>A0014</x:v>
      </x:c>
      <x:c r="C12" s="2" t="str">
        <x:v>圈内</x:v>
      </x:c>
      <x:c r="D12" s="10" t="n">
        <x:v>1</x:v>
      </x:c>
      <x:c r="E12" s="10" t="n">
        <x:v>2</x:v>
      </x:c>
      <x:c r="F12" s="10" t="n">
        <x:v>1</x:v>
      </x:c>
      <x:c r="G12" s="10" t="n">
        <x:v>1</x:v>
      </x:c>
      <x:c r="H12" s="10" t="n">
        <x:f>IF(G12=1,E12-D12,"")</x:f>
        <x:v>1</x:v>
      </x:c>
      <x:c r="I12" s="10" t="n">
        <x:f>MIN(F12,9)</x:f>
        <x:v>1</x:v>
      </x:c>
      <x:c r="J12" s="19" t="n">
        <x:v>0</x:v>
      </x:c>
      <x:c r="K12" s="2" t="n">
        <x:v>2</x:v>
      </x:c>
      <x:c r="L12" s="19" t="n">
        <x:v>0.2</x:v>
      </x:c>
      <x:c r="M12" s="19" t="n">
        <x:v>0.5</x:v>
      </x:c>
    </x:row>
    <x:row r="13" ht="23" customHeight="1">
      <x:c r="A13" s="2" t="str">
        <x:v>D000_T02_C020_G050</x:v>
      </x:c>
      <x:c r="B13" s="2" t="str">
        <x:v>A0016</x:v>
      </x:c>
      <x:c r="C13" s="2" t="str">
        <x:v>圈内</x:v>
      </x:c>
      <x:c r="D13" s="10" t="n">
        <x:v>1</x:v>
      </x:c>
      <x:c r="E13" s="10" t="n">
        <x:v>4</x:v>
      </x:c>
      <x:c r="F13" s="10" t="n">
        <x:v>3</x:v>
      </x:c>
      <x:c r="G13" s="10" t="n">
        <x:v>1</x:v>
      </x:c>
      <x:c r="H13" s="10" t="n">
        <x:f>IF(G13=1,E13-D13,"")</x:f>
        <x:v>3</x:v>
      </x:c>
      <x:c r="I13" s="10" t="n">
        <x:f>MIN(F13,9)</x:f>
        <x:v>3</x:v>
      </x:c>
      <x:c r="J13" s="19" t="n">
        <x:v>0</x:v>
      </x:c>
      <x:c r="K13" s="2" t="n">
        <x:v>2</x:v>
      </x:c>
      <x:c r="L13" s="19" t="n">
        <x:v>0.2</x:v>
      </x:c>
      <x:c r="M13" s="19" t="n">
        <x:v>0.5</x:v>
      </x:c>
    </x:row>
    <x:row r="14" ht="23" customHeight="1">
      <x:c r="A14" s="2" t="str">
        <x:v>D000_T02_C020_G050</x:v>
      </x:c>
      <x:c r="B14" s="2" t="str">
        <x:v>A0017</x:v>
      </x:c>
      <x:c r="C14" s="2" t="str">
        <x:v>圈内</x:v>
      </x:c>
      <x:c r="D14" s="10" t="n">
        <x:v>1</x:v>
      </x:c>
      <x:c r="E14" s="10" t="n">
        <x:v>10</x:v>
      </x:c>
      <x:c r="F14" s="10" t="n">
        <x:v>9</x:v>
      </x:c>
      <x:c r="G14" s="10" t="n">
        <x:v>1</x:v>
      </x:c>
      <x:c r="H14" s="10" t="n">
        <x:f>IF(G14=1,E14-D14,"")</x:f>
        <x:v>9</x:v>
      </x:c>
      <x:c r="I14" s="10" t="n">
        <x:f>MIN(F14,9)</x:f>
        <x:v>9</x:v>
      </x:c>
      <x:c r="J14" s="19" t="n">
        <x:v>0</x:v>
      </x:c>
      <x:c r="K14" s="2" t="n">
        <x:v>2</x:v>
      </x:c>
      <x:c r="L14" s="19" t="n">
        <x:v>0.2</x:v>
      </x:c>
      <x:c r="M14" s="19" t="n">
        <x:v>0.5</x:v>
      </x:c>
    </x:row>
    <x:row r="15" ht="23" customHeight="1">
      <x:c r="A15" s="2" t="str">
        <x:v>D000_T02_C020_G050</x:v>
      </x:c>
      <x:c r="B15" s="2" t="str">
        <x:v>A0018</x:v>
      </x:c>
      <x:c r="C15" s="2" t="str">
        <x:v>圈内</x:v>
      </x:c>
      <x:c r="D15" s="10" t="n">
        <x:v>1</x:v>
      </x:c>
      <x:c r="E15" s="10" t="n">
        <x:v>10</x:v>
      </x:c>
      <x:c r="F15" s="10" t="n">
        <x:v>9</x:v>
      </x:c>
      <x:c r="G15" s="10" t="n">
        <x:v>1</x:v>
      </x:c>
      <x:c r="H15" s="10" t="n">
        <x:f>IF(G15=1,E15-D15,"")</x:f>
        <x:v>9</x:v>
      </x:c>
      <x:c r="I15" s="10" t="n">
        <x:f>MIN(F15,9)</x:f>
        <x:v>9</x:v>
      </x:c>
      <x:c r="J15" s="19" t="n">
        <x:v>0</x:v>
      </x:c>
      <x:c r="K15" s="2" t="n">
        <x:v>2</x:v>
      </x:c>
      <x:c r="L15" s="19" t="n">
        <x:v>0.2</x:v>
      </x:c>
      <x:c r="M15" s="19" t="n">
        <x:v>0.5</x:v>
      </x:c>
    </x:row>
    <x:row r="16" ht="23" customHeight="1">
      <x:c r="A16" s="2" t="str">
        <x:v>D000_T02_C020_G050</x:v>
      </x:c>
      <x:c r="B16" s="2" t="str">
        <x:v>A0029</x:v>
      </x:c>
      <x:c r="C16" s="2" t="str">
        <x:v>圈内</x:v>
      </x:c>
      <x:c r="D16" s="10" t="n">
        <x:v>1</x:v>
      </x:c>
      <x:c r="E16" s="10" t="n">
        <x:v>4</x:v>
      </x:c>
      <x:c r="F16" s="10" t="n">
        <x:v>3</x:v>
      </x:c>
      <x:c r="G16" s="10" t="n">
        <x:v>1</x:v>
      </x:c>
      <x:c r="H16" s="10" t="n">
        <x:f>IF(G16=1,E16-D16,"")</x:f>
        <x:v>3</x:v>
      </x:c>
      <x:c r="I16" s="10" t="n">
        <x:f>MIN(F16,9)</x:f>
        <x:v>3</x:v>
      </x:c>
      <x:c r="J16" s="19" t="n">
        <x:v>0</x:v>
      </x:c>
      <x:c r="K16" s="2" t="n">
        <x:v>2</x:v>
      </x:c>
      <x:c r="L16" s="19" t="n">
        <x:v>0.2</x:v>
      </x:c>
      <x:c r="M16" s="19" t="n">
        <x:v>0.5</x:v>
      </x:c>
    </x:row>
    <x:row r="17" ht="23" customHeight="1">
      <x:c r="A17" s="2" t="str">
        <x:v>D000_T02_C020_G050</x:v>
      </x:c>
      <x:c r="B17" s="2" t="str">
        <x:v>A0040</x:v>
      </x:c>
      <x:c r="C17" s="2" t="str">
        <x:v>圈内</x:v>
      </x:c>
      <x:c r="D17" s="10" t="n">
        <x:v>1</x:v>
      </x:c>
      <x:c r="E17" s="10" t="n">
        <x:v>4</x:v>
      </x:c>
      <x:c r="F17" s="10" t="n">
        <x:v>3</x:v>
      </x:c>
      <x:c r="G17" s="10" t="n">
        <x:v>1</x:v>
      </x:c>
      <x:c r="H17" s="10" t="n">
        <x:f>IF(G17=1,E17-D17,"")</x:f>
        <x:v>3</x:v>
      </x:c>
      <x:c r="I17" s="10" t="n">
        <x:f>MIN(F17,9)</x:f>
        <x:v>3</x:v>
      </x:c>
      <x:c r="J17" s="19" t="n">
        <x:v>0</x:v>
      </x:c>
      <x:c r="K17" s="2" t="n">
        <x:v>2</x:v>
      </x:c>
      <x:c r="L17" s="19" t="n">
        <x:v>0.2</x:v>
      </x:c>
      <x:c r="M17" s="19" t="n">
        <x:v>0.5</x:v>
      </x:c>
    </x:row>
    <x:row r="18" ht="23" customHeight="1">
      <x:c r="A18" s="2" t="str">
        <x:v>D000_T02_C020_G075</x:v>
      </x:c>
      <x:c r="B18" s="2" t="str">
        <x:v>A0011</x:v>
      </x:c>
      <x:c r="C18" s="2" t="str">
        <x:v>圈内</x:v>
      </x:c>
      <x:c r="D18" s="10" t="n">
        <x:v>1</x:v>
      </x:c>
      <x:c r="E18" s="10" t="n">
        <x:v>2</x:v>
      </x:c>
      <x:c r="F18" s="10" t="n">
        <x:v>1</x:v>
      </x:c>
      <x:c r="G18" s="10" t="n">
        <x:v>1</x:v>
      </x:c>
      <x:c r="H18" s="10" t="n">
        <x:f>IF(G18=1,E18-D18,"")</x:f>
        <x:v>1</x:v>
      </x:c>
      <x:c r="I18" s="10" t="n">
        <x:f>MIN(F18,9)</x:f>
        <x:v>1</x:v>
      </x:c>
      <x:c r="J18" s="19" t="n">
        <x:v>0</x:v>
      </x:c>
      <x:c r="K18" s="2" t="n">
        <x:v>2</x:v>
      </x:c>
      <x:c r="L18" s="19" t="n">
        <x:v>0.2</x:v>
      </x:c>
      <x:c r="M18" s="19" t="n">
        <x:v>0.75</x:v>
      </x:c>
    </x:row>
    <x:row r="19" ht="23" customHeight="1">
      <x:c r="A19" s="2" t="str">
        <x:v>D000_T02_C020_G075</x:v>
      </x:c>
      <x:c r="B19" s="2" t="str">
        <x:v>A0012</x:v>
      </x:c>
      <x:c r="C19" s="2" t="str">
        <x:v>圈内</x:v>
      </x:c>
      <x:c r="D19" s="10" t="n">
        <x:v>1</x:v>
      </x:c>
      <x:c r="E19" s="10" t="n">
        <x:v>5</x:v>
      </x:c>
      <x:c r="F19" s="10" t="n">
        <x:v>4</x:v>
      </x:c>
      <x:c r="G19" s="10" t="n">
        <x:v>1</x:v>
      </x:c>
      <x:c r="H19" s="10" t="n">
        <x:f>IF(G19=1,E19-D19,"")</x:f>
        <x:v>4</x:v>
      </x:c>
      <x:c r="I19" s="10" t="n">
        <x:f>MIN(F19,9)</x:f>
        <x:v>4</x:v>
      </x:c>
      <x:c r="J19" s="19" t="n">
        <x:v>0</x:v>
      </x:c>
      <x:c r="K19" s="2" t="n">
        <x:v>2</x:v>
      </x:c>
      <x:c r="L19" s="19" t="n">
        <x:v>0.2</x:v>
      </x:c>
      <x:c r="M19" s="19" t="n">
        <x:v>0.75</x:v>
      </x:c>
    </x:row>
    <x:row r="20" ht="23" customHeight="1">
      <x:c r="A20" s="2" t="str">
        <x:v>D000_T02_C020_G075</x:v>
      </x:c>
      <x:c r="B20" s="2" t="str">
        <x:v>A0041</x:v>
      </x:c>
      <x:c r="C20" s="2" t="str">
        <x:v>圈内</x:v>
      </x:c>
      <x:c r="D20" s="10" t="n">
        <x:v>1</x:v>
      </x:c>
      <x:c r="E20" s="10" t="n">
        <x:v>3</x:v>
      </x:c>
      <x:c r="F20" s="10" t="n">
        <x:v>2</x:v>
      </x:c>
      <x:c r="G20" s="10" t="n">
        <x:v>1</x:v>
      </x:c>
      <x:c r="H20" s="10" t="n">
        <x:f>IF(G20=1,E20-D20,"")</x:f>
        <x:v>2</x:v>
      </x:c>
      <x:c r="I20" s="10" t="n">
        <x:f>MIN(F20,9)</x:f>
        <x:v>2</x:v>
      </x:c>
      <x:c r="J20" s="19" t="n">
        <x:v>0</x:v>
      </x:c>
      <x:c r="K20" s="2" t="n">
        <x:v>2</x:v>
      </x:c>
      <x:c r="L20" s="19" t="n">
        <x:v>0.2</x:v>
      </x:c>
      <x:c r="M20" s="19" t="n">
        <x:v>0.75</x:v>
      </x:c>
    </x:row>
    <x:row r="21" ht="23" customHeight="1">
      <x:c r="A21" s="2" t="str">
        <x:v>D000_T02_C080_G025</x:v>
      </x:c>
      <x:c r="B21" s="2" t="str">
        <x:v>A0011</x:v>
      </x:c>
      <x:c r="C21" s="2" t="str">
        <x:v>圈内</x:v>
      </x:c>
      <x:c r="D21" s="10" t="n">
        <x:v>1</x:v>
      </x:c>
      <x:c r="E21" s="10" t="n">
        <x:v>5</x:v>
      </x:c>
      <x:c r="F21" s="10" t="n">
        <x:v>4</x:v>
      </x:c>
      <x:c r="G21" s="10" t="n">
        <x:v>1</x:v>
      </x:c>
      <x:c r="H21" s="10" t="n">
        <x:f>IF(G21=1,E21-D21,"")</x:f>
        <x:v>4</x:v>
      </x:c>
      <x:c r="I21" s="10" t="n">
        <x:f>MIN(F21,9)</x:f>
        <x:v>4</x:v>
      </x:c>
      <x:c r="J21" s="19" t="n">
        <x:v>0</x:v>
      </x:c>
      <x:c r="K21" s="2" t="n">
        <x:v>2</x:v>
      </x:c>
      <x:c r="L21" s="19" t="n">
        <x:v>0.8</x:v>
      </x:c>
      <x:c r="M21" s="19" t="n">
        <x:v>0.25</x:v>
      </x:c>
    </x:row>
    <x:row r="22" ht="23" customHeight="1">
      <x:c r="A22" s="2" t="str">
        <x:v>D000_T02_C080_G025</x:v>
      </x:c>
      <x:c r="B22" s="2" t="str">
        <x:v>A0017</x:v>
      </x:c>
      <x:c r="C22" s="2" t="str">
        <x:v>圈内</x:v>
      </x:c>
      <x:c r="D22" s="10" t="n">
        <x:v>1</x:v>
      </x:c>
      <x:c r="E22" s="10" t="n">
        <x:v>3</x:v>
      </x:c>
      <x:c r="F22" s="10" t="n">
        <x:v>2</x:v>
      </x:c>
      <x:c r="G22" s="10" t="n">
        <x:v>1</x:v>
      </x:c>
      <x:c r="H22" s="10" t="n">
        <x:f>IF(G22=1,E22-D22,"")</x:f>
        <x:v>2</x:v>
      </x:c>
      <x:c r="I22" s="10" t="n">
        <x:f>MIN(F22,9)</x:f>
        <x:v>2</x:v>
      </x:c>
      <x:c r="J22" s="19" t="n">
        <x:v>0</x:v>
      </x:c>
      <x:c r="K22" s="2" t="n">
        <x:v>2</x:v>
      </x:c>
      <x:c r="L22" s="19" t="n">
        <x:v>0.8</x:v>
      </x:c>
      <x:c r="M22" s="19" t="n">
        <x:v>0.25</x:v>
      </x:c>
    </x:row>
    <x:row r="23" ht="23" customHeight="1">
      <x:c r="A23" s="2" t="str">
        <x:v>D000_T02_C080_G025</x:v>
      </x:c>
      <x:c r="B23" s="2" t="str">
        <x:v>A0018</x:v>
      </x:c>
      <x:c r="C23" s="2" t="str">
        <x:v>圈内</x:v>
      </x:c>
      <x:c r="D23" s="10" t="n">
        <x:v>1</x:v>
      </x:c>
      <x:c r="E23" s="10" t="n">
        <x:v>3</x:v>
      </x:c>
      <x:c r="F23" s="10" t="n">
        <x:v>2</x:v>
      </x:c>
      <x:c r="G23" s="10" t="n">
        <x:v>1</x:v>
      </x:c>
      <x:c r="H23" s="10" t="n">
        <x:f>IF(G23=1,E23-D23,"")</x:f>
        <x:v>2</x:v>
      </x:c>
      <x:c r="I23" s="10" t="n">
        <x:f>MIN(F23,9)</x:f>
        <x:v>2</x:v>
      </x:c>
      <x:c r="J23" s="19" t="n">
        <x:v>0</x:v>
      </x:c>
      <x:c r="K23" s="2" t="n">
        <x:v>2</x:v>
      </x:c>
      <x:c r="L23" s="19" t="n">
        <x:v>0.8</x:v>
      </x:c>
      <x:c r="M23" s="19" t="n">
        <x:v>0.25</x:v>
      </x:c>
    </x:row>
    <x:row r="24" ht="23" customHeight="1">
      <x:c r="A24" s="2" t="str">
        <x:v>D000_T02_C080_G050</x:v>
      </x:c>
      <x:c r="B24" s="2" t="str">
        <x:v>A0011</x:v>
      </x:c>
      <x:c r="C24" s="2" t="str">
        <x:v>圈内</x:v>
      </x:c>
      <x:c r="D24" s="10" t="n">
        <x:v>1</x:v>
      </x:c>
      <x:c r="E24" s="10" t="n">
        <x:v>3</x:v>
      </x:c>
      <x:c r="F24" s="10" t="n">
        <x:v>2</x:v>
      </x:c>
      <x:c r="G24" s="10" t="n">
        <x:v>1</x:v>
      </x:c>
      <x:c r="H24" s="10" t="n">
        <x:f>IF(G24=1,E24-D24,"")</x:f>
        <x:v>2</x:v>
      </x:c>
      <x:c r="I24" s="10" t="n">
        <x:f>MIN(F24,9)</x:f>
        <x:v>2</x:v>
      </x:c>
      <x:c r="J24" s="19" t="n">
        <x:v>0</x:v>
      </x:c>
      <x:c r="K24" s="2" t="n">
        <x:v>2</x:v>
      </x:c>
      <x:c r="L24" s="19" t="n">
        <x:v>0.8</x:v>
      </x:c>
      <x:c r="M24" s="19" t="n">
        <x:v>0.5</x:v>
      </x:c>
    </x:row>
    <x:row r="25" ht="23" customHeight="1">
      <x:c r="A25" s="2" t="str">
        <x:v>D000_T02_C080_G050</x:v>
      </x:c>
      <x:c r="B25" s="2" t="str">
        <x:v>A0012</x:v>
      </x:c>
      <x:c r="C25" s="2" t="str">
        <x:v>圈内</x:v>
      </x:c>
      <x:c r="D25" s="10" t="n">
        <x:v>1</x:v>
      </x:c>
      <x:c r="E25" s="10" t="n">
        <x:v>7</x:v>
      </x:c>
      <x:c r="F25" s="10" t="n">
        <x:v>6</x:v>
      </x:c>
      <x:c r="G25" s="10" t="n">
        <x:v>1</x:v>
      </x:c>
      <x:c r="H25" s="10" t="n">
        <x:f>IF(G25=1,E25-D25,"")</x:f>
        <x:v>6</x:v>
      </x:c>
      <x:c r="I25" s="10" t="n">
        <x:f>MIN(F25,9)</x:f>
        <x:v>6</x:v>
      </x:c>
      <x:c r="J25" s="19" t="n">
        <x:v>0</x:v>
      </x:c>
      <x:c r="K25" s="2" t="n">
        <x:v>2</x:v>
      </x:c>
      <x:c r="L25" s="19" t="n">
        <x:v>0.8</x:v>
      </x:c>
      <x:c r="M25" s="19" t="n">
        <x:v>0.5</x:v>
      </x:c>
    </x:row>
    <x:row r="26" ht="23" customHeight="1">
      <x:c r="A26" s="2" t="str">
        <x:v>D000_T02_C080_G050</x:v>
      </x:c>
      <x:c r="B26" s="2" t="str">
        <x:v>A0034</x:v>
      </x:c>
      <x:c r="C26" s="2" t="str">
        <x:v>圈内</x:v>
      </x:c>
      <x:c r="D26" s="10" t="n">
        <x:v>1</x:v>
      </x:c>
      <x:c r="E26" s="10" t="n">
        <x:v>2</x:v>
      </x:c>
      <x:c r="F26" s="10" t="n">
        <x:v>1</x:v>
      </x:c>
      <x:c r="G26" s="10" t="n">
        <x:v>1</x:v>
      </x:c>
      <x:c r="H26" s="10" t="n">
        <x:f>IF(G26=1,E26-D26,"")</x:f>
        <x:v>1</x:v>
      </x:c>
      <x:c r="I26" s="10" t="n">
        <x:f>MIN(F26,9)</x:f>
        <x:v>1</x:v>
      </x:c>
      <x:c r="J26" s="19" t="n">
        <x:v>0</x:v>
      </x:c>
      <x:c r="K26" s="2" t="n">
        <x:v>2</x:v>
      </x:c>
      <x:c r="L26" s="19" t="n">
        <x:v>0.8</x:v>
      </x:c>
      <x:c r="M26" s="19" t="n">
        <x:v>0.5</x:v>
      </x:c>
    </x:row>
    <x:row r="27" ht="23" customHeight="1">
      <x:c r="A27" s="2" t="str">
        <x:v>D000_T02_C080_G050</x:v>
      </x:c>
      <x:c r="B27" s="2" t="str">
        <x:v>A0035</x:v>
      </x:c>
      <x:c r="C27" s="2" t="str">
        <x:v>圈内</x:v>
      </x:c>
      <x:c r="D27" s="10" t="n">
        <x:v>1</x:v>
      </x:c>
      <x:c r="E27" s="10" t="n">
        <x:v>2</x:v>
      </x:c>
      <x:c r="F27" s="10" t="n">
        <x:v>1</x:v>
      </x:c>
      <x:c r="G27" s="10" t="n">
        <x:v>1</x:v>
      </x:c>
      <x:c r="H27" s="10" t="n">
        <x:f>IF(G27=1,E27-D27,"")</x:f>
        <x:v>1</x:v>
      </x:c>
      <x:c r="I27" s="10" t="n">
        <x:f>MIN(F27,9)</x:f>
        <x:v>1</x:v>
      </x:c>
      <x:c r="J27" s="19" t="n">
        <x:v>0</x:v>
      </x:c>
      <x:c r="K27" s="2" t="n">
        <x:v>2</x:v>
      </x:c>
      <x:c r="L27" s="19" t="n">
        <x:v>0.8</x:v>
      </x:c>
      <x:c r="M27" s="19" t="n">
        <x:v>0.5</x:v>
      </x:c>
    </x:row>
    <x:row r="28" ht="23" customHeight="1">
      <x:c r="A28" s="2" t="str">
        <x:v>D000_T02_C080_G050</x:v>
      </x:c>
      <x:c r="B28" s="2" t="str">
        <x:v>A0040</x:v>
      </x:c>
      <x:c r="C28" s="2" t="str">
        <x:v>圈内</x:v>
      </x:c>
      <x:c r="D28" s="10" t="n">
        <x:v>1</x:v>
      </x:c>
      <x:c r="E28" s="10" t="n">
        <x:v>2</x:v>
      </x:c>
      <x:c r="F28" s="10" t="n">
        <x:v>1</x:v>
      </x:c>
      <x:c r="G28" s="10" t="n">
        <x:v>1</x:v>
      </x:c>
      <x:c r="H28" s="10" t="n">
        <x:f>IF(G28=1,E28-D28,"")</x:f>
        <x:v>1</x:v>
      </x:c>
      <x:c r="I28" s="10" t="n">
        <x:f>MIN(F28,9)</x:f>
        <x:v>1</x:v>
      </x:c>
      <x:c r="J28" s="19" t="n">
        <x:v>0</x:v>
      </x:c>
      <x:c r="K28" s="2" t="n">
        <x:v>2</x:v>
      </x:c>
      <x:c r="L28" s="19" t="n">
        <x:v>0.8</x:v>
      </x:c>
      <x:c r="M28" s="19" t="n">
        <x:v>0.5</x:v>
      </x:c>
    </x:row>
    <x:row r="29" ht="23" customHeight="1">
      <x:c r="A29" s="2" t="str">
        <x:v>D000_T02_C080_G075</x:v>
      </x:c>
      <x:c r="B29" s="2" t="str">
        <x:v>A0005</x:v>
      </x:c>
      <x:c r="C29" s="2" t="str">
        <x:v>圈内</x:v>
      </x:c>
      <x:c r="D29" s="10" t="n">
        <x:v>1</x:v>
      </x:c>
      <x:c r="E29" s="10" t="n">
        <x:v>2</x:v>
      </x:c>
      <x:c r="F29" s="10" t="n">
        <x:v>1</x:v>
      </x:c>
      <x:c r="G29" s="10" t="n">
        <x:v>1</x:v>
      </x:c>
      <x:c r="H29" s="10" t="n">
        <x:f>IF(G29=1,E29-D29,"")</x:f>
        <x:v>1</x:v>
      </x:c>
      <x:c r="I29" s="10" t="n">
        <x:f>MIN(F29,9)</x:f>
        <x:v>1</x:v>
      </x:c>
      <x:c r="J29" s="19" t="n">
        <x:v>0</x:v>
      </x:c>
      <x:c r="K29" s="2" t="n">
        <x:v>2</x:v>
      </x:c>
      <x:c r="L29" s="19" t="n">
        <x:v>0.8</x:v>
      </x:c>
      <x:c r="M29" s="19" t="n">
        <x:v>0.75</x:v>
      </x:c>
    </x:row>
    <x:row r="30" ht="23" customHeight="1">
      <x:c r="A30" s="2" t="str">
        <x:v>D000_T02_C080_G075</x:v>
      </x:c>
      <x:c r="B30" s="2" t="str">
        <x:v>A0011</x:v>
      </x:c>
      <x:c r="C30" s="2" t="str">
        <x:v>圈内</x:v>
      </x:c>
      <x:c r="D30" s="10" t="n">
        <x:v>1</x:v>
      </x:c>
      <x:c r="E30" s="10" t="n">
        <x:v>3</x:v>
      </x:c>
      <x:c r="F30" s="10" t="n">
        <x:v>2</x:v>
      </x:c>
      <x:c r="G30" s="10" t="n">
        <x:v>1</x:v>
      </x:c>
      <x:c r="H30" s="10" t="n">
        <x:f>IF(G30=1,E30-D30,"")</x:f>
        <x:v>2</x:v>
      </x:c>
      <x:c r="I30" s="10" t="n">
        <x:f>MIN(F30,9)</x:f>
        <x:v>2</x:v>
      </x:c>
      <x:c r="J30" s="19" t="n">
        <x:v>0</x:v>
      </x:c>
      <x:c r="K30" s="2" t="n">
        <x:v>2</x:v>
      </x:c>
      <x:c r="L30" s="19" t="n">
        <x:v>0.8</x:v>
      </x:c>
      <x:c r="M30" s="19" t="n">
        <x:v>0.75</x:v>
      </x:c>
    </x:row>
    <x:row r="31" ht="23" customHeight="1">
      <x:c r="A31" s="2" t="str">
        <x:v>D000_T02_C080_G075</x:v>
      </x:c>
      <x:c r="B31" s="2" t="str">
        <x:v>A0012</x:v>
      </x:c>
      <x:c r="C31" s="2" t="str">
        <x:v>圈内</x:v>
      </x:c>
      <x:c r="D31" s="10" t="n">
        <x:v>1</x:v>
      </x:c>
      <x:c r="E31" s="10" t="n">
        <x:v>2</x:v>
      </x:c>
      <x:c r="F31" s="10" t="n">
        <x:v>1</x:v>
      </x:c>
      <x:c r="G31" s="10" t="n">
        <x:v>1</x:v>
      </x:c>
      <x:c r="H31" s="10" t="n">
        <x:f>IF(G31=1,E31-D31,"")</x:f>
        <x:v>1</x:v>
      </x:c>
      <x:c r="I31" s="10" t="n">
        <x:f>MIN(F31,9)</x:f>
        <x:v>1</x:v>
      </x:c>
      <x:c r="J31" s="19" t="n">
        <x:v>0</x:v>
      </x:c>
      <x:c r="K31" s="2" t="n">
        <x:v>2</x:v>
      </x:c>
      <x:c r="L31" s="19" t="n">
        <x:v>0.8</x:v>
      </x:c>
      <x:c r="M31" s="19" t="n">
        <x:v>0.75</x:v>
      </x:c>
    </x:row>
    <x:row r="32" ht="23" customHeight="1">
      <x:c r="A32" s="2" t="str">
        <x:v>D000_T02_C080_G075</x:v>
      </x:c>
      <x:c r="B32" s="2" t="str">
        <x:v>A0017</x:v>
      </x:c>
      <x:c r="C32" s="2" t="str">
        <x:v>圈内</x:v>
      </x:c>
      <x:c r="D32" s="10" t="n">
        <x:v>1</x:v>
      </x:c>
      <x:c r="E32" s="10" t="n">
        <x:v>4</x:v>
      </x:c>
      <x:c r="F32" s="10" t="n">
        <x:v>3</x:v>
      </x:c>
      <x:c r="G32" s="10" t="n">
        <x:v>1</x:v>
      </x:c>
      <x:c r="H32" s="10" t="n">
        <x:f>IF(G32=1,E32-D32,"")</x:f>
        <x:v>3</x:v>
      </x:c>
      <x:c r="I32" s="10" t="n">
        <x:f>MIN(F32,9)</x:f>
        <x:v>3</x:v>
      </x:c>
      <x:c r="J32" s="19" t="n">
        <x:v>0</x:v>
      </x:c>
      <x:c r="K32" s="2" t="n">
        <x:v>2</x:v>
      </x:c>
      <x:c r="L32" s="19" t="n">
        <x:v>0.8</x:v>
      </x:c>
      <x:c r="M32" s="19" t="n">
        <x:v>0.75</x:v>
      </x:c>
    </x:row>
    <x:row r="33" ht="23" customHeight="1">
      <x:c r="A33" s="2" t="str">
        <x:v>D000_T02_C080_G075</x:v>
      </x:c>
      <x:c r="B33" s="2" t="str">
        <x:v>A0018</x:v>
      </x:c>
      <x:c r="C33" s="2" t="str">
        <x:v>圈内</x:v>
      </x:c>
      <x:c r="D33" s="10" t="n">
        <x:v>1</x:v>
      </x:c>
      <x:c r="E33" s="10" t="n">
        <x:v>2</x:v>
      </x:c>
      <x:c r="F33" s="10" t="n">
        <x:v>1</x:v>
      </x:c>
      <x:c r="G33" s="10" t="n">
        <x:v>1</x:v>
      </x:c>
      <x:c r="H33" s="10" t="n">
        <x:f>IF(G33=1,E33-D33,"")</x:f>
        <x:v>1</x:v>
      </x:c>
      <x:c r="I33" s="10" t="n">
        <x:f>MIN(F33,9)</x:f>
        <x:v>1</x:v>
      </x:c>
      <x:c r="J33" s="19" t="n">
        <x:v>0</x:v>
      </x:c>
      <x:c r="K33" s="2" t="n">
        <x:v>2</x:v>
      </x:c>
      <x:c r="L33" s="19" t="n">
        <x:v>0.8</x:v>
      </x:c>
      <x:c r="M33" s="19" t="n">
        <x:v>0.75</x:v>
      </x:c>
    </x:row>
    <x:row r="34" ht="23" customHeight="1">
      <x:c r="A34" s="2" t="str">
        <x:v>D000_T02_C080_G075</x:v>
      </x:c>
      <x:c r="B34" s="2" t="str">
        <x:v>A0040</x:v>
      </x:c>
      <x:c r="C34" s="2" t="str">
        <x:v>圈内</x:v>
      </x:c>
      <x:c r="D34" s="10" t="n">
        <x:v>1</x:v>
      </x:c>
      <x:c r="E34" s="10" t="n">
        <x:v>2</x:v>
      </x:c>
      <x:c r="F34" s="10" t="n">
        <x:v>1</x:v>
      </x:c>
      <x:c r="G34" s="10" t="n">
        <x:v>1</x:v>
      </x:c>
      <x:c r="H34" s="10" t="n">
        <x:f>IF(G34=1,E34-D34,"")</x:f>
        <x:v>1</x:v>
      </x:c>
      <x:c r="I34" s="10" t="n">
        <x:f>MIN(F34,9)</x:f>
        <x:v>1</x:v>
      </x:c>
      <x:c r="J34" s="19" t="n">
        <x:v>0</x:v>
      </x:c>
      <x:c r="K34" s="2" t="n">
        <x:v>2</x:v>
      </x:c>
      <x:c r="L34" s="19" t="n">
        <x:v>0.8</x:v>
      </x:c>
      <x:c r="M34" s="19" t="n">
        <x:v>0.75</x:v>
      </x:c>
    </x:row>
    <x:row r="35" ht="23" customHeight="1">
      <x:c r="A35" s="2" t="str">
        <x:v>D000_T02_C080_G075</x:v>
      </x:c>
      <x:c r="B35" s="2" t="str">
        <x:v>A0041</x:v>
      </x:c>
      <x:c r="C35" s="2" t="str">
        <x:v>圈内</x:v>
      </x:c>
      <x:c r="D35" s="10" t="n">
        <x:v>1</x:v>
      </x:c>
      <x:c r="E35" s="10" t="n">
        <x:v>2</x:v>
      </x:c>
      <x:c r="F35" s="10" t="n">
        <x:v>1</x:v>
      </x:c>
      <x:c r="G35" s="10" t="n">
        <x:v>1</x:v>
      </x:c>
      <x:c r="H35" s="10" t="n">
        <x:f>IF(G35=1,E35-D35,"")</x:f>
        <x:v>1</x:v>
      </x:c>
      <x:c r="I35" s="10" t="n">
        <x:f>MIN(F35,9)</x:f>
        <x:v>1</x:v>
      </x:c>
      <x:c r="J35" s="19" t="n">
        <x:v>0</x:v>
      </x:c>
      <x:c r="K35" s="2" t="n">
        <x:v>2</x:v>
      </x:c>
      <x:c r="L35" s="19" t="n">
        <x:v>0.8</x:v>
      </x:c>
      <x:c r="M35" s="19" t="n">
        <x:v>0.75</x:v>
      </x:c>
    </x:row>
    <x:row r="36" ht="23" customHeight="1">
      <x:c r="A36" s="2" t="str">
        <x:v>D000_T02_C080_G075</x:v>
      </x:c>
      <x:c r="B36" s="2" t="str">
        <x:v>A0206</x:v>
      </x:c>
      <x:c r="C36" s="2" t="str">
        <x:v>圈内</x:v>
      </x:c>
      <x:c r="D36" s="10" t="n">
        <x:v>1</x:v>
      </x:c>
      <x:c r="E36" s="10" t="n">
        <x:v>2</x:v>
      </x:c>
      <x:c r="F36" s="10" t="n">
        <x:v>1</x:v>
      </x:c>
      <x:c r="G36" s="10" t="n">
        <x:v>1</x:v>
      </x:c>
      <x:c r="H36" s="10" t="n">
        <x:f>IF(G36=1,E36-D36,"")</x:f>
        <x:v>1</x:v>
      </x:c>
      <x:c r="I36" s="10" t="n">
        <x:f>MIN(F36,9)</x:f>
        <x:v>1</x:v>
      </x:c>
      <x:c r="J36" s="19" t="n">
        <x:v>0</x:v>
      </x:c>
      <x:c r="K36" s="2" t="n">
        <x:v>2</x:v>
      </x:c>
      <x:c r="L36" s="19" t="n">
        <x:v>0.8</x:v>
      </x:c>
      <x:c r="M36" s="19" t="n">
        <x:v>0.75</x:v>
      </x:c>
    </x:row>
    <x:row r="37" ht="23" customHeight="1">
      <x:c r="A37" s="2" t="str">
        <x:v>D000_T04_C020_G025</x:v>
      </x:c>
      <x:c r="B37" s="2" t="str">
        <x:v>A0001</x:v>
      </x:c>
      <x:c r="C37" s="2" t="str">
        <x:v>圈内</x:v>
      </x:c>
      <x:c r="D37" s="10" t="n">
        <x:v>1</x:v>
      </x:c>
      <x:c r="E37" s="10" t="n">
        <x:v>6</x:v>
      </x:c>
      <x:c r="F37" s="10" t="n">
        <x:v>5</x:v>
      </x:c>
      <x:c r="G37" s="10" t="n">
        <x:v>1</x:v>
      </x:c>
      <x:c r="H37" s="10" t="n">
        <x:f>IF(G37=1,E37-D37,"")</x:f>
        <x:v>5</x:v>
      </x:c>
      <x:c r="I37" s="10" t="n">
        <x:f>MIN(F37,9)</x:f>
        <x:v>5</x:v>
      </x:c>
      <x:c r="J37" s="19" t="n">
        <x:v>0</x:v>
      </x:c>
      <x:c r="K37" s="2" t="n">
        <x:v>4</x:v>
      </x:c>
      <x:c r="L37" s="19" t="n">
        <x:v>0.2</x:v>
      </x:c>
      <x:c r="M37" s="19" t="n">
        <x:v>0.25</x:v>
      </x:c>
    </x:row>
    <x:row r="38" ht="23" customHeight="1">
      <x:c r="A38" s="2" t="str">
        <x:v>D000_T04_C020_G025</x:v>
      </x:c>
      <x:c r="B38" s="2" t="str">
        <x:v>A0011</x:v>
      </x:c>
      <x:c r="C38" s="2" t="str">
        <x:v>圈内</x:v>
      </x:c>
      <x:c r="D38" s="10" t="n">
        <x:v>1</x:v>
      </x:c>
      <x:c r="E38" s="10" t="n">
        <x:v>5</x:v>
      </x:c>
      <x:c r="F38" s="10" t="n">
        <x:v>4</x:v>
      </x:c>
      <x:c r="G38" s="10" t="n">
        <x:v>1</x:v>
      </x:c>
      <x:c r="H38" s="10" t="n">
        <x:f>IF(G38=1,E38-D38,"")</x:f>
        <x:v>4</x:v>
      </x:c>
      <x:c r="I38" s="10" t="n">
        <x:f>MIN(F38,9)</x:f>
        <x:v>4</x:v>
      </x:c>
      <x:c r="J38" s="19" t="n">
        <x:v>0</x:v>
      </x:c>
      <x:c r="K38" s="2" t="n">
        <x:v>4</x:v>
      </x:c>
      <x:c r="L38" s="19" t="n">
        <x:v>0.2</x:v>
      </x:c>
      <x:c r="M38" s="19" t="n">
        <x:v>0.25</x:v>
      </x:c>
    </x:row>
    <x:row r="39" ht="23" customHeight="1">
      <x:c r="A39" s="2" t="str">
        <x:v>D000_T04_C020_G025</x:v>
      </x:c>
      <x:c r="B39" s="2" t="str">
        <x:v>A0018</x:v>
      </x:c>
      <x:c r="C39" s="2" t="str">
        <x:v>圈内</x:v>
      </x:c>
      <x:c r="D39" s="10" t="n">
        <x:v>1</x:v>
      </x:c>
      <x:c r="E39" s="10"/>
      <x:c r="F39" s="10" t="n">
        <x:v>9</x:v>
      </x:c>
      <x:c r="G39" s="10" t="n">
        <x:v>0</x:v>
      </x:c>
      <x:c r="H39" s="10" t="str">
        <x:f>IF(G39=1,E39-D39,"")</x:f>
      </x:c>
      <x:c r="I39" s="10" t="n">
        <x:f>MIN(F39,9)</x:f>
        <x:v>9</x:v>
      </x:c>
      <x:c r="J39" s="19" t="n">
        <x:v>0</x:v>
      </x:c>
      <x:c r="K39" s="2" t="n">
        <x:v>4</x:v>
      </x:c>
      <x:c r="L39" s="19" t="n">
        <x:v>0.2</x:v>
      </x:c>
      <x:c r="M39" s="19" t="n">
        <x:v>0.25</x:v>
      </x:c>
    </x:row>
    <x:row r="40" ht="23" customHeight="1">
      <x:c r="A40" s="2" t="str">
        <x:v>D000_T04_C020_G025</x:v>
      </x:c>
      <x:c r="B40" s="2" t="str">
        <x:v>A0090</x:v>
      </x:c>
      <x:c r="C40" s="2" t="str">
        <x:v>圈内</x:v>
      </x:c>
      <x:c r="D40" s="10" t="n">
        <x:v>1</x:v>
      </x:c>
      <x:c r="E40" s="10" t="n">
        <x:v>9</x:v>
      </x:c>
      <x:c r="F40" s="10" t="n">
        <x:v>8</x:v>
      </x:c>
      <x:c r="G40" s="10" t="n">
        <x:v>1</x:v>
      </x:c>
      <x:c r="H40" s="10" t="n">
        <x:f>IF(G40=1,E40-D40,"")</x:f>
        <x:v>8</x:v>
      </x:c>
      <x:c r="I40" s="10" t="n">
        <x:f>MIN(F40,9)</x:f>
        <x:v>8</x:v>
      </x:c>
      <x:c r="J40" s="19" t="n">
        <x:v>0</x:v>
      </x:c>
      <x:c r="K40" s="2" t="n">
        <x:v>4</x:v>
      </x:c>
      <x:c r="L40" s="19" t="n">
        <x:v>0.2</x:v>
      </x:c>
      <x:c r="M40" s="19" t="n">
        <x:v>0.25</x:v>
      </x:c>
    </x:row>
    <x:row r="41" ht="23" customHeight="1">
      <x:c r="A41" s="2" t="str">
        <x:v>D000_T04_C020_G025</x:v>
      </x:c>
      <x:c r="B41" s="2" t="str">
        <x:v>A0206</x:v>
      </x:c>
      <x:c r="C41" s="2" t="str">
        <x:v>圈内</x:v>
      </x:c>
      <x:c r="D41" s="10" t="n">
        <x:v>1</x:v>
      </x:c>
      <x:c r="E41" s="10" t="n">
        <x:v>4</x:v>
      </x:c>
      <x:c r="F41" s="10" t="n">
        <x:v>3</x:v>
      </x:c>
      <x:c r="G41" s="10" t="n">
        <x:v>1</x:v>
      </x:c>
      <x:c r="H41" s="10" t="n">
        <x:f>IF(G41=1,E41-D41,"")</x:f>
        <x:v>3</x:v>
      </x:c>
      <x:c r="I41" s="10" t="n">
        <x:f>MIN(F41,9)</x:f>
        <x:v>3</x:v>
      </x:c>
      <x:c r="J41" s="19" t="n">
        <x:v>0</x:v>
      </x:c>
      <x:c r="K41" s="2" t="n">
        <x:v>4</x:v>
      </x:c>
      <x:c r="L41" s="19" t="n">
        <x:v>0.2</x:v>
      </x:c>
      <x:c r="M41" s="19" t="n">
        <x:v>0.25</x:v>
      </x:c>
    </x:row>
    <x:row r="42" ht="23" customHeight="1">
      <x:c r="A42" s="2" t="str">
        <x:v>D000_T04_C020_G050</x:v>
      </x:c>
      <x:c r="B42" s="2" t="str">
        <x:v>A0011</x:v>
      </x:c>
      <x:c r="C42" s="2" t="str">
        <x:v>圈内</x:v>
      </x:c>
      <x:c r="D42" s="10" t="n">
        <x:v>1</x:v>
      </x:c>
      <x:c r="E42" s="10" t="n">
        <x:v>4</x:v>
      </x:c>
      <x:c r="F42" s="10" t="n">
        <x:v>3</x:v>
      </x:c>
      <x:c r="G42" s="10" t="n">
        <x:v>1</x:v>
      </x:c>
      <x:c r="H42" s="10" t="n">
        <x:f>IF(G42=1,E42-D42,"")</x:f>
        <x:v>3</x:v>
      </x:c>
      <x:c r="I42" s="10" t="n">
        <x:f>MIN(F42,9)</x:f>
        <x:v>3</x:v>
      </x:c>
      <x:c r="J42" s="19" t="n">
        <x:v>0</x:v>
      </x:c>
      <x:c r="K42" s="2" t="n">
        <x:v>4</x:v>
      </x:c>
      <x:c r="L42" s="19" t="n">
        <x:v>0.2</x:v>
      </x:c>
      <x:c r="M42" s="19" t="n">
        <x:v>0.5</x:v>
      </x:c>
    </x:row>
    <x:row r="43" ht="23" customHeight="1">
      <x:c r="A43" s="2" t="str">
        <x:v>D000_T04_C020_G050</x:v>
      </x:c>
      <x:c r="B43" s="2" t="str">
        <x:v>A0012</x:v>
      </x:c>
      <x:c r="C43" s="2" t="str">
        <x:v>圈内</x:v>
      </x:c>
      <x:c r="D43" s="10" t="n">
        <x:v>1</x:v>
      </x:c>
      <x:c r="E43" s="10" t="n">
        <x:v>7</x:v>
      </x:c>
      <x:c r="F43" s="10" t="n">
        <x:v>6</x:v>
      </x:c>
      <x:c r="G43" s="10" t="n">
        <x:v>1</x:v>
      </x:c>
      <x:c r="H43" s="10" t="n">
        <x:f>IF(G43=1,E43-D43,"")</x:f>
        <x:v>6</x:v>
      </x:c>
      <x:c r="I43" s="10" t="n">
        <x:f>MIN(F43,9)</x:f>
        <x:v>6</x:v>
      </x:c>
      <x:c r="J43" s="19" t="n">
        <x:v>0</x:v>
      </x:c>
      <x:c r="K43" s="2" t="n">
        <x:v>4</x:v>
      </x:c>
      <x:c r="L43" s="19" t="n">
        <x:v>0.2</x:v>
      </x:c>
      <x:c r="M43" s="19" t="n">
        <x:v>0.5</x:v>
      </x:c>
    </x:row>
    <x:row r="44" ht="23" customHeight="1">
      <x:c r="A44" s="2" t="str">
        <x:v>D000_T04_C020_G050</x:v>
      </x:c>
      <x:c r="B44" s="2" t="str">
        <x:v>A0014</x:v>
      </x:c>
      <x:c r="C44" s="2" t="str">
        <x:v>圈内</x:v>
      </x:c>
      <x:c r="D44" s="10" t="n">
        <x:v>1</x:v>
      </x:c>
      <x:c r="E44" s="10" t="n">
        <x:v>4</x:v>
      </x:c>
      <x:c r="F44" s="10" t="n">
        <x:v>3</x:v>
      </x:c>
      <x:c r="G44" s="10" t="n">
        <x:v>1</x:v>
      </x:c>
      <x:c r="H44" s="10" t="n">
        <x:f>IF(G44=1,E44-D44,"")</x:f>
        <x:v>3</x:v>
      </x:c>
      <x:c r="I44" s="10" t="n">
        <x:f>MIN(F44,9)</x:f>
        <x:v>3</x:v>
      </x:c>
      <x:c r="J44" s="19" t="n">
        <x:v>0</x:v>
      </x:c>
      <x:c r="K44" s="2" t="n">
        <x:v>4</x:v>
      </x:c>
      <x:c r="L44" s="19" t="n">
        <x:v>0.2</x:v>
      </x:c>
      <x:c r="M44" s="19" t="n">
        <x:v>0.5</x:v>
      </x:c>
    </x:row>
    <x:row r="45" ht="23" customHeight="1">
      <x:c r="A45" s="2" t="str">
        <x:v>D000_T04_C020_G050</x:v>
      </x:c>
      <x:c r="B45" s="2" t="str">
        <x:v>A0018</x:v>
      </x:c>
      <x:c r="C45" s="2" t="str">
        <x:v>圈内</x:v>
      </x:c>
      <x:c r="D45" s="10" t="n">
        <x:v>1</x:v>
      </x:c>
      <x:c r="E45" s="10" t="n">
        <x:v>9</x:v>
      </x:c>
      <x:c r="F45" s="10" t="n">
        <x:v>8</x:v>
      </x:c>
      <x:c r="G45" s="10" t="n">
        <x:v>1</x:v>
      </x:c>
      <x:c r="H45" s="10" t="n">
        <x:f>IF(G45=1,E45-D45,"")</x:f>
        <x:v>8</x:v>
      </x:c>
      <x:c r="I45" s="10" t="n">
        <x:f>MIN(F45,9)</x:f>
        <x:v>8</x:v>
      </x:c>
      <x:c r="J45" s="19" t="n">
        <x:v>0</x:v>
      </x:c>
      <x:c r="K45" s="2" t="n">
        <x:v>4</x:v>
      </x:c>
      <x:c r="L45" s="19" t="n">
        <x:v>0.2</x:v>
      </x:c>
      <x:c r="M45" s="19" t="n">
        <x:v>0.5</x:v>
      </x:c>
    </x:row>
    <x:row r="46" ht="23" customHeight="1">
      <x:c r="A46" s="2" t="str">
        <x:v>D000_T04_C020_G050</x:v>
      </x:c>
      <x:c r="B46" s="2" t="str">
        <x:v>A0033</x:v>
      </x:c>
      <x:c r="C46" s="2" t="str">
        <x:v>圈内</x:v>
      </x:c>
      <x:c r="D46" s="10" t="n">
        <x:v>1</x:v>
      </x:c>
      <x:c r="E46" s="10" t="n">
        <x:v>9</x:v>
      </x:c>
      <x:c r="F46" s="10" t="n">
        <x:v>8</x:v>
      </x:c>
      <x:c r="G46" s="10" t="n">
        <x:v>1</x:v>
      </x:c>
      <x:c r="H46" s="10" t="n">
        <x:f>IF(G46=1,E46-D46,"")</x:f>
        <x:v>8</x:v>
      </x:c>
      <x:c r="I46" s="10" t="n">
        <x:f>MIN(F46,9)</x:f>
        <x:v>8</x:v>
      </x:c>
      <x:c r="J46" s="19" t="n">
        <x:v>0</x:v>
      </x:c>
      <x:c r="K46" s="2" t="n">
        <x:v>4</x:v>
      </x:c>
      <x:c r="L46" s="19" t="n">
        <x:v>0.2</x:v>
      </x:c>
      <x:c r="M46" s="19" t="n">
        <x:v>0.5</x:v>
      </x:c>
    </x:row>
    <x:row r="47" ht="23" customHeight="1">
      <x:c r="A47" s="2" t="str">
        <x:v>D000_T04_C020_G050</x:v>
      </x:c>
      <x:c r="B47" s="2" t="str">
        <x:v>A0040</x:v>
      </x:c>
      <x:c r="C47" s="2" t="str">
        <x:v>圈内</x:v>
      </x:c>
      <x:c r="D47" s="10" t="n">
        <x:v>1</x:v>
      </x:c>
      <x:c r="E47" s="10"/>
      <x:c r="F47" s="10" t="n">
        <x:v>9</x:v>
      </x:c>
      <x:c r="G47" s="10" t="n">
        <x:v>0</x:v>
      </x:c>
      <x:c r="H47" s="10" t="str">
        <x:f>IF(G47=1,E47-D47,"")</x:f>
      </x:c>
      <x:c r="I47" s="10" t="n">
        <x:f>MIN(F47,9)</x:f>
        <x:v>9</x:v>
      </x:c>
      <x:c r="J47" s="19" t="n">
        <x:v>0</x:v>
      </x:c>
      <x:c r="K47" s="2" t="n">
        <x:v>4</x:v>
      </x:c>
      <x:c r="L47" s="19" t="n">
        <x:v>0.2</x:v>
      </x:c>
      <x:c r="M47" s="19" t="n">
        <x:v>0.5</x:v>
      </x:c>
    </x:row>
    <x:row r="48" ht="23" customHeight="1">
      <x:c r="A48" s="2" t="str">
        <x:v>D000_T04_C020_G075</x:v>
      </x:c>
      <x:c r="B48" s="2" t="str">
        <x:v>A0002</x:v>
      </x:c>
      <x:c r="C48" s="2" t="str">
        <x:v>圈内</x:v>
      </x:c>
      <x:c r="D48" s="10" t="n">
        <x:v>1</x:v>
      </x:c>
      <x:c r="E48" s="10"/>
      <x:c r="F48" s="10" t="n">
        <x:v>9</x:v>
      </x:c>
      <x:c r="G48" s="10" t="n">
        <x:v>0</x:v>
      </x:c>
      <x:c r="H48" s="10" t="str">
        <x:f>IF(G48=1,E48-D48,"")</x:f>
      </x:c>
      <x:c r="I48" s="10" t="n">
        <x:f>MIN(F48,9)</x:f>
        <x:v>9</x:v>
      </x:c>
      <x:c r="J48" s="19" t="n">
        <x:v>0</x:v>
      </x:c>
      <x:c r="K48" s="2" t="n">
        <x:v>4</x:v>
      </x:c>
      <x:c r="L48" s="19" t="n">
        <x:v>0.2</x:v>
      </x:c>
      <x:c r="M48" s="19" t="n">
        <x:v>0.75</x:v>
      </x:c>
    </x:row>
    <x:row r="49" ht="23" customHeight="1">
      <x:c r="A49" s="2" t="str">
        <x:v>D000_T04_C020_G075</x:v>
      </x:c>
      <x:c r="B49" s="2" t="str">
        <x:v>A0018</x:v>
      </x:c>
      <x:c r="C49" s="2" t="str">
        <x:v>圈内</x:v>
      </x:c>
      <x:c r="D49" s="10" t="n">
        <x:v>1</x:v>
      </x:c>
      <x:c r="E49" s="10" t="n">
        <x:v>7</x:v>
      </x:c>
      <x:c r="F49" s="10" t="n">
        <x:v>6</x:v>
      </x:c>
      <x:c r="G49" s="10" t="n">
        <x:v>1</x:v>
      </x:c>
      <x:c r="H49" s="10" t="n">
        <x:f>IF(G49=1,E49-D49,"")</x:f>
        <x:v>6</x:v>
      </x:c>
      <x:c r="I49" s="10" t="n">
        <x:f>MIN(F49,9)</x:f>
        <x:v>6</x:v>
      </x:c>
      <x:c r="J49" s="19" t="n">
        <x:v>0</x:v>
      </x:c>
      <x:c r="K49" s="2" t="n">
        <x:v>4</x:v>
      </x:c>
      <x:c r="L49" s="19" t="n">
        <x:v>0.2</x:v>
      </x:c>
      <x:c r="M49" s="19" t="n">
        <x:v>0.75</x:v>
      </x:c>
    </x:row>
    <x:row r="50" ht="23" customHeight="1">
      <x:c r="A50" s="2" t="str">
        <x:v>D000_T04_C080_G025</x:v>
      </x:c>
      <x:c r="B50" s="2" t="str">
        <x:v>A0005</x:v>
      </x:c>
      <x:c r="C50" s="2" t="str">
        <x:v>圈内</x:v>
      </x:c>
      <x:c r="D50" s="10" t="n">
        <x:v>1</x:v>
      </x:c>
      <x:c r="E50" s="10" t="n">
        <x:v>4</x:v>
      </x:c>
      <x:c r="F50" s="10" t="n">
        <x:v>3</x:v>
      </x:c>
      <x:c r="G50" s="10" t="n">
        <x:v>1</x:v>
      </x:c>
      <x:c r="H50" s="10" t="n">
        <x:f>IF(G50=1,E50-D50,"")</x:f>
        <x:v>3</x:v>
      </x:c>
      <x:c r="I50" s="10" t="n">
        <x:f>MIN(F50,9)</x:f>
        <x:v>3</x:v>
      </x:c>
      <x:c r="J50" s="19" t="n">
        <x:v>0</x:v>
      </x:c>
      <x:c r="K50" s="2" t="n">
        <x:v>4</x:v>
      </x:c>
      <x:c r="L50" s="19" t="n">
        <x:v>0.8</x:v>
      </x:c>
      <x:c r="M50" s="19" t="n">
        <x:v>0.25</x:v>
      </x:c>
    </x:row>
    <x:row r="51" ht="23" customHeight="1">
      <x:c r="A51" s="2" t="str">
        <x:v>D000_T04_C080_G025</x:v>
      </x:c>
      <x:c r="B51" s="2" t="str">
        <x:v>A0011</x:v>
      </x:c>
      <x:c r="C51" s="2" t="str">
        <x:v>圈内</x:v>
      </x:c>
      <x:c r="D51" s="10" t="n">
        <x:v>1</x:v>
      </x:c>
      <x:c r="E51" s="10"/>
      <x:c r="F51" s="10" t="n">
        <x:v>9</x:v>
      </x:c>
      <x:c r="G51" s="10" t="n">
        <x:v>0</x:v>
      </x:c>
      <x:c r="H51" s="10" t="str">
        <x:f>IF(G51=1,E51-D51,"")</x:f>
      </x:c>
      <x:c r="I51" s="10" t="n">
        <x:f>MIN(F51,9)</x:f>
        <x:v>9</x:v>
      </x:c>
      <x:c r="J51" s="19" t="n">
        <x:v>0</x:v>
      </x:c>
      <x:c r="K51" s="2" t="n">
        <x:v>4</x:v>
      </x:c>
      <x:c r="L51" s="19" t="n">
        <x:v>0.8</x:v>
      </x:c>
      <x:c r="M51" s="19" t="n">
        <x:v>0.25</x:v>
      </x:c>
    </x:row>
    <x:row r="52" ht="23" customHeight="1">
      <x:c r="A52" s="2" t="str">
        <x:v>D000_T04_C080_G025</x:v>
      </x:c>
      <x:c r="B52" s="2" t="str">
        <x:v>A0012</x:v>
      </x:c>
      <x:c r="C52" s="2" t="str">
        <x:v>圈内</x:v>
      </x:c>
      <x:c r="D52" s="10" t="n">
        <x:v>1</x:v>
      </x:c>
      <x:c r="E52" s="10" t="n">
        <x:v>7</x:v>
      </x:c>
      <x:c r="F52" s="10" t="n">
        <x:v>6</x:v>
      </x:c>
      <x:c r="G52" s="10" t="n">
        <x:v>1</x:v>
      </x:c>
      <x:c r="H52" s="10" t="n">
        <x:f>IF(G52=1,E52-D52,"")</x:f>
        <x:v>6</x:v>
      </x:c>
      <x:c r="I52" s="10" t="n">
        <x:f>MIN(F52,9)</x:f>
        <x:v>6</x:v>
      </x:c>
      <x:c r="J52" s="19" t="n">
        <x:v>0</x:v>
      </x:c>
      <x:c r="K52" s="2" t="n">
        <x:v>4</x:v>
      </x:c>
      <x:c r="L52" s="19" t="n">
        <x:v>0.8</x:v>
      </x:c>
      <x:c r="M52" s="19" t="n">
        <x:v>0.25</x:v>
      </x:c>
    </x:row>
    <x:row r="53" ht="23" customHeight="1">
      <x:c r="A53" s="2" t="str">
        <x:v>D000_T04_C080_G025</x:v>
      </x:c>
      <x:c r="B53" s="2" t="str">
        <x:v>A0014</x:v>
      </x:c>
      <x:c r="C53" s="2" t="str">
        <x:v>圈内</x:v>
      </x:c>
      <x:c r="D53" s="10" t="n">
        <x:v>1</x:v>
      </x:c>
      <x:c r="E53" s="10" t="n">
        <x:v>4</x:v>
      </x:c>
      <x:c r="F53" s="10" t="n">
        <x:v>3</x:v>
      </x:c>
      <x:c r="G53" s="10" t="n">
        <x:v>1</x:v>
      </x:c>
      <x:c r="H53" s="10" t="n">
        <x:f>IF(G53=1,E53-D53,"")</x:f>
        <x:v>3</x:v>
      </x:c>
      <x:c r="I53" s="10" t="n">
        <x:f>MIN(F53,9)</x:f>
        <x:v>3</x:v>
      </x:c>
      <x:c r="J53" s="19" t="n">
        <x:v>0</x:v>
      </x:c>
      <x:c r="K53" s="2" t="n">
        <x:v>4</x:v>
      </x:c>
      <x:c r="L53" s="19" t="n">
        <x:v>0.8</x:v>
      </x:c>
      <x:c r="M53" s="19" t="n">
        <x:v>0.25</x:v>
      </x:c>
    </x:row>
    <x:row r="54" ht="23" customHeight="1">
      <x:c r="A54" s="2" t="str">
        <x:v>D000_T04_C080_G025</x:v>
      </x:c>
      <x:c r="B54" s="2" t="str">
        <x:v>A0017</x:v>
      </x:c>
      <x:c r="C54" s="2" t="str">
        <x:v>圈内</x:v>
      </x:c>
      <x:c r="D54" s="10" t="n">
        <x:v>1</x:v>
      </x:c>
      <x:c r="E54" s="10"/>
      <x:c r="F54" s="10" t="n">
        <x:v>9</x:v>
      </x:c>
      <x:c r="G54" s="10" t="n">
        <x:v>0</x:v>
      </x:c>
      <x:c r="H54" s="10" t="str">
        <x:f>IF(G54=1,E54-D54,"")</x:f>
      </x:c>
      <x:c r="I54" s="10" t="n">
        <x:f>MIN(F54,9)</x:f>
        <x:v>9</x:v>
      </x:c>
      <x:c r="J54" s="19" t="n">
        <x:v>0</x:v>
      </x:c>
      <x:c r="K54" s="2" t="n">
        <x:v>4</x:v>
      </x:c>
      <x:c r="L54" s="19" t="n">
        <x:v>0.8</x:v>
      </x:c>
      <x:c r="M54" s="19" t="n">
        <x:v>0.25</x:v>
      </x:c>
    </x:row>
    <x:row r="55" ht="23" customHeight="1">
      <x:c r="A55" s="2" t="str">
        <x:v>D000_T04_C080_G025</x:v>
      </x:c>
      <x:c r="B55" s="2" t="str">
        <x:v>A0018</x:v>
      </x:c>
      <x:c r="C55" s="2" t="str">
        <x:v>圈内</x:v>
      </x:c>
      <x:c r="D55" s="10" t="n">
        <x:v>1</x:v>
      </x:c>
      <x:c r="E55" s="10" t="n">
        <x:v>9</x:v>
      </x:c>
      <x:c r="F55" s="10" t="n">
        <x:v>8</x:v>
      </x:c>
      <x:c r="G55" s="10" t="n">
        <x:v>1</x:v>
      </x:c>
      <x:c r="H55" s="10" t="n">
        <x:f>IF(G55=1,E55-D55,"")</x:f>
        <x:v>8</x:v>
      </x:c>
      <x:c r="I55" s="10" t="n">
        <x:f>MIN(F55,9)</x:f>
        <x:v>8</x:v>
      </x:c>
      <x:c r="J55" s="19" t="n">
        <x:v>0</x:v>
      </x:c>
      <x:c r="K55" s="2" t="n">
        <x:v>4</x:v>
      </x:c>
      <x:c r="L55" s="19" t="n">
        <x:v>0.8</x:v>
      </x:c>
      <x:c r="M55" s="19" t="n">
        <x:v>0.25</x:v>
      </x:c>
    </x:row>
    <x:row r="56" ht="23" customHeight="1">
      <x:c r="A56" s="2" t="str">
        <x:v>D000_T04_C080_G025</x:v>
      </x:c>
      <x:c r="B56" s="2" t="str">
        <x:v>A0032</x:v>
      </x:c>
      <x:c r="C56" s="2" t="str">
        <x:v>圈内</x:v>
      </x:c>
      <x:c r="D56" s="10" t="n">
        <x:v>1</x:v>
      </x:c>
      <x:c r="E56" s="10"/>
      <x:c r="F56" s="10" t="n">
        <x:v>9</x:v>
      </x:c>
      <x:c r="G56" s="10" t="n">
        <x:v>0</x:v>
      </x:c>
      <x:c r="H56" s="10" t="str">
        <x:f>IF(G56=1,E56-D56,"")</x:f>
      </x:c>
      <x:c r="I56" s="10" t="n">
        <x:f>MIN(F56,9)</x:f>
        <x:v>9</x:v>
      </x:c>
      <x:c r="J56" s="19" t="n">
        <x:v>0</x:v>
      </x:c>
      <x:c r="K56" s="2" t="n">
        <x:v>4</x:v>
      </x:c>
      <x:c r="L56" s="19" t="n">
        <x:v>0.8</x:v>
      </x:c>
      <x:c r="M56" s="19" t="n">
        <x:v>0.25</x:v>
      </x:c>
    </x:row>
    <x:row r="57" ht="23" customHeight="1">
      <x:c r="A57" s="2" t="str">
        <x:v>D000_T04_C080_G025</x:v>
      </x:c>
      <x:c r="B57" s="2" t="str">
        <x:v>A0033</x:v>
      </x:c>
      <x:c r="C57" s="2" t="str">
        <x:v>圈内</x:v>
      </x:c>
      <x:c r="D57" s="10" t="n">
        <x:v>1</x:v>
      </x:c>
      <x:c r="E57" s="10" t="n">
        <x:v>4</x:v>
      </x:c>
      <x:c r="F57" s="10" t="n">
        <x:v>3</x:v>
      </x:c>
      <x:c r="G57" s="10" t="n">
        <x:v>1</x:v>
      </x:c>
      <x:c r="H57" s="10" t="n">
        <x:f>IF(G57=1,E57-D57,"")</x:f>
        <x:v>3</x:v>
      </x:c>
      <x:c r="I57" s="10" t="n">
        <x:f>MIN(F57,9)</x:f>
        <x:v>3</x:v>
      </x:c>
      <x:c r="J57" s="19" t="n">
        <x:v>0</x:v>
      </x:c>
      <x:c r="K57" s="2" t="n">
        <x:v>4</x:v>
      </x:c>
      <x:c r="L57" s="19" t="n">
        <x:v>0.8</x:v>
      </x:c>
      <x:c r="M57" s="19" t="n">
        <x:v>0.25</x:v>
      </x:c>
    </x:row>
    <x:row r="58" ht="23" customHeight="1">
      <x:c r="A58" s="2" t="str">
        <x:v>D000_T04_C080_G050</x:v>
      </x:c>
      <x:c r="B58" s="2" t="str">
        <x:v>A0011</x:v>
      </x:c>
      <x:c r="C58" s="2" t="str">
        <x:v>圈内</x:v>
      </x:c>
      <x:c r="D58" s="10" t="n">
        <x:v>1</x:v>
      </x:c>
      <x:c r="E58" s="10"/>
      <x:c r="F58" s="10" t="n">
        <x:v>9</x:v>
      </x:c>
      <x:c r="G58" s="10" t="n">
        <x:v>0</x:v>
      </x:c>
      <x:c r="H58" s="10" t="str">
        <x:f>IF(G58=1,E58-D58,"")</x:f>
      </x:c>
      <x:c r="I58" s="10" t="n">
        <x:f>MIN(F58,9)</x:f>
        <x:v>9</x:v>
      </x:c>
      <x:c r="J58" s="19" t="n">
        <x:v>0</x:v>
      </x:c>
      <x:c r="K58" s="2" t="n">
        <x:v>4</x:v>
      </x:c>
      <x:c r="L58" s="19" t="n">
        <x:v>0.8</x:v>
      </x:c>
      <x:c r="M58" s="19" t="n">
        <x:v>0.5</x:v>
      </x:c>
    </x:row>
    <x:row r="59" ht="23" customHeight="1">
      <x:c r="A59" s="2" t="str">
        <x:v>D000_T04_C080_G050</x:v>
      </x:c>
      <x:c r="B59" s="2" t="str">
        <x:v>A0015</x:v>
      </x:c>
      <x:c r="C59" s="2" t="str">
        <x:v>圈内</x:v>
      </x:c>
      <x:c r="D59" s="10" t="n">
        <x:v>1</x:v>
      </x:c>
      <x:c r="E59" s="10" t="n">
        <x:v>4</x:v>
      </x:c>
      <x:c r="F59" s="10" t="n">
        <x:v>3</x:v>
      </x:c>
      <x:c r="G59" s="10" t="n">
        <x:v>1</x:v>
      </x:c>
      <x:c r="H59" s="10" t="n">
        <x:f>IF(G59=1,E59-D59,"")</x:f>
        <x:v>3</x:v>
      </x:c>
      <x:c r="I59" s="10" t="n">
        <x:f>MIN(F59,9)</x:f>
        <x:v>3</x:v>
      </x:c>
      <x:c r="J59" s="19" t="n">
        <x:v>0</x:v>
      </x:c>
      <x:c r="K59" s="2" t="n">
        <x:v>4</x:v>
      </x:c>
      <x:c r="L59" s="19" t="n">
        <x:v>0.8</x:v>
      </x:c>
      <x:c r="M59" s="19" t="n">
        <x:v>0.5</x:v>
      </x:c>
    </x:row>
    <x:row r="60" ht="23" customHeight="1">
      <x:c r="A60" s="2" t="str">
        <x:v>D000_T04_C080_G050</x:v>
      </x:c>
      <x:c r="B60" s="2" t="str">
        <x:v>A0040</x:v>
      </x:c>
      <x:c r="C60" s="2" t="str">
        <x:v>圈内</x:v>
      </x:c>
      <x:c r="D60" s="10" t="n">
        <x:v>1</x:v>
      </x:c>
      <x:c r="E60" s="10" t="n">
        <x:v>4</x:v>
      </x:c>
      <x:c r="F60" s="10" t="n">
        <x:v>3</x:v>
      </x:c>
      <x:c r="G60" s="10" t="n">
        <x:v>1</x:v>
      </x:c>
      <x:c r="H60" s="10" t="n">
        <x:f>IF(G60=1,E60-D60,"")</x:f>
        <x:v>3</x:v>
      </x:c>
      <x:c r="I60" s="10" t="n">
        <x:f>MIN(F60,9)</x:f>
        <x:v>3</x:v>
      </x:c>
      <x:c r="J60" s="19" t="n">
        <x:v>0</x:v>
      </x:c>
      <x:c r="K60" s="2" t="n">
        <x:v>4</x:v>
      </x:c>
      <x:c r="L60" s="19" t="n">
        <x:v>0.8</x:v>
      </x:c>
      <x:c r="M60" s="19" t="n">
        <x:v>0.5</x:v>
      </x:c>
    </x:row>
    <x:row r="61" ht="23" customHeight="1">
      <x:c r="A61" s="2" t="str">
        <x:v>D000_T04_C080_G050</x:v>
      </x:c>
      <x:c r="B61" s="2" t="str">
        <x:v>A0071</x:v>
      </x:c>
      <x:c r="C61" s="2" t="str">
        <x:v>圈内</x:v>
      </x:c>
      <x:c r="D61" s="10" t="n">
        <x:v>1</x:v>
      </x:c>
      <x:c r="E61" s="10" t="n">
        <x:v>4</x:v>
      </x:c>
      <x:c r="F61" s="10" t="n">
        <x:v>3</x:v>
      </x:c>
      <x:c r="G61" s="10" t="n">
        <x:v>1</x:v>
      </x:c>
      <x:c r="H61" s="10" t="n">
        <x:f>IF(G61=1,E61-D61,"")</x:f>
        <x:v>3</x:v>
      </x:c>
      <x:c r="I61" s="10" t="n">
        <x:f>MIN(F61,9)</x:f>
        <x:v>3</x:v>
      </x:c>
      <x:c r="J61" s="19" t="n">
        <x:v>0</x:v>
      </x:c>
      <x:c r="K61" s="2" t="n">
        <x:v>4</x:v>
      </x:c>
      <x:c r="L61" s="19" t="n">
        <x:v>0.8</x:v>
      </x:c>
      <x:c r="M61" s="19" t="n">
        <x:v>0.5</x:v>
      </x:c>
    </x:row>
    <x:row r="62" ht="23" customHeight="1">
      <x:c r="A62" s="2" t="str">
        <x:v>D000_T04_C080_G075</x:v>
      </x:c>
      <x:c r="B62" s="2" t="str">
        <x:v>A0005</x:v>
      </x:c>
      <x:c r="C62" s="2" t="str">
        <x:v>圈内</x:v>
      </x:c>
      <x:c r="D62" s="10" t="n">
        <x:v>1</x:v>
      </x:c>
      <x:c r="E62" s="10" t="n">
        <x:v>4</x:v>
      </x:c>
      <x:c r="F62" s="10" t="n">
        <x:v>3</x:v>
      </x:c>
      <x:c r="G62" s="10" t="n">
        <x:v>1</x:v>
      </x:c>
      <x:c r="H62" s="10" t="n">
        <x:f>IF(G62=1,E62-D62,"")</x:f>
        <x:v>3</x:v>
      </x:c>
      <x:c r="I62" s="10" t="n">
        <x:f>MIN(F62,9)</x:f>
        <x:v>3</x:v>
      </x:c>
      <x:c r="J62" s="19" t="n">
        <x:v>0</x:v>
      </x:c>
      <x:c r="K62" s="2" t="n">
        <x:v>4</x:v>
      </x:c>
      <x:c r="L62" s="19" t="n">
        <x:v>0.8</x:v>
      </x:c>
      <x:c r="M62" s="19" t="n">
        <x:v>0.75</x:v>
      </x:c>
    </x:row>
    <x:row r="63" ht="23" customHeight="1">
      <x:c r="A63" s="2" t="str">
        <x:v>D000_T04_C080_G075</x:v>
      </x:c>
      <x:c r="B63" s="2" t="str">
        <x:v>A0011</x:v>
      </x:c>
      <x:c r="C63" s="2" t="str">
        <x:v>圈内</x:v>
      </x:c>
      <x:c r="D63" s="10" t="n">
        <x:v>1</x:v>
      </x:c>
      <x:c r="E63" s="10" t="n">
        <x:v>6</x:v>
      </x:c>
      <x:c r="F63" s="10" t="n">
        <x:v>5</x:v>
      </x:c>
      <x:c r="G63" s="10" t="n">
        <x:v>1</x:v>
      </x:c>
      <x:c r="H63" s="10" t="n">
        <x:f>IF(G63=1,E63-D63,"")</x:f>
        <x:v>5</x:v>
      </x:c>
      <x:c r="I63" s="10" t="n">
        <x:f>MIN(F63,9)</x:f>
        <x:v>5</x:v>
      </x:c>
      <x:c r="J63" s="19" t="n">
        <x:v>0</x:v>
      </x:c>
      <x:c r="K63" s="2" t="n">
        <x:v>4</x:v>
      </x:c>
      <x:c r="L63" s="19" t="n">
        <x:v>0.8</x:v>
      </x:c>
      <x:c r="M63" s="19" t="n">
        <x:v>0.75</x:v>
      </x:c>
    </x:row>
    <x:row r="64" ht="23" customHeight="1">
      <x:c r="A64" s="2" t="str">
        <x:v>D000_T04_C080_G075</x:v>
      </x:c>
      <x:c r="B64" s="2" t="str">
        <x:v>A0012</x:v>
      </x:c>
      <x:c r="C64" s="2" t="str">
        <x:v>圈内</x:v>
      </x:c>
      <x:c r="D64" s="10" t="n">
        <x:v>1</x:v>
      </x:c>
      <x:c r="E64" s="10" t="n">
        <x:v>4</x:v>
      </x:c>
      <x:c r="F64" s="10" t="n">
        <x:v>3</x:v>
      </x:c>
      <x:c r="G64" s="10" t="n">
        <x:v>1</x:v>
      </x:c>
      <x:c r="H64" s="10" t="n">
        <x:f>IF(G64=1,E64-D64,"")</x:f>
        <x:v>3</x:v>
      </x:c>
      <x:c r="I64" s="10" t="n">
        <x:f>MIN(F64,9)</x:f>
        <x:v>3</x:v>
      </x:c>
      <x:c r="J64" s="19" t="n">
        <x:v>0</x:v>
      </x:c>
      <x:c r="K64" s="2" t="n">
        <x:v>4</x:v>
      </x:c>
      <x:c r="L64" s="19" t="n">
        <x:v>0.8</x:v>
      </x:c>
      <x:c r="M64" s="19" t="n">
        <x:v>0.75</x:v>
      </x:c>
    </x:row>
    <x:row r="65" ht="23" customHeight="1">
      <x:c r="A65" s="2" t="str">
        <x:v>D000_T04_C080_G075</x:v>
      </x:c>
      <x:c r="B65" s="2" t="str">
        <x:v>A0029</x:v>
      </x:c>
      <x:c r="C65" s="2" t="str">
        <x:v>圈内</x:v>
      </x:c>
      <x:c r="D65" s="10" t="n">
        <x:v>1</x:v>
      </x:c>
      <x:c r="E65" s="10" t="n">
        <x:v>4</x:v>
      </x:c>
      <x:c r="F65" s="10" t="n">
        <x:v>3</x:v>
      </x:c>
      <x:c r="G65" s="10" t="n">
        <x:v>1</x:v>
      </x:c>
      <x:c r="H65" s="10" t="n">
        <x:f>IF(G65=1,E65-D65,"")</x:f>
        <x:v>3</x:v>
      </x:c>
      <x:c r="I65" s="10" t="n">
        <x:f>MIN(F65,9)</x:f>
        <x:v>3</x:v>
      </x:c>
      <x:c r="J65" s="19" t="n">
        <x:v>0</x:v>
      </x:c>
      <x:c r="K65" s="2" t="n">
        <x:v>4</x:v>
      </x:c>
      <x:c r="L65" s="19" t="n">
        <x:v>0.8</x:v>
      </x:c>
      <x:c r="M65" s="19" t="n">
        <x:v>0.75</x:v>
      </x:c>
    </x:row>
    <x:row r="66" ht="23" customHeight="1">
      <x:c r="A66" s="2" t="str">
        <x:v>D000_T04_C080_G075</x:v>
      </x:c>
      <x:c r="B66" s="2" t="str">
        <x:v>A0037</x:v>
      </x:c>
      <x:c r="C66" s="2" t="str">
        <x:v>圈内</x:v>
      </x:c>
      <x:c r="D66" s="10" t="n">
        <x:v>1</x:v>
      </x:c>
      <x:c r="E66" s="10" t="n">
        <x:v>5</x:v>
      </x:c>
      <x:c r="F66" s="10" t="n">
        <x:v>4</x:v>
      </x:c>
      <x:c r="G66" s="10" t="n">
        <x:v>1</x:v>
      </x:c>
      <x:c r="H66" s="10" t="n">
        <x:f>IF(G66=1,E66-D66,"")</x:f>
        <x:v>4</x:v>
      </x:c>
      <x:c r="I66" s="10" t="n">
        <x:f>MIN(F66,9)</x:f>
        <x:v>4</x:v>
      </x:c>
      <x:c r="J66" s="19" t="n">
        <x:v>0</x:v>
      </x:c>
      <x:c r="K66" s="2" t="n">
        <x:v>4</x:v>
      </x:c>
      <x:c r="L66" s="19" t="n">
        <x:v>0.8</x:v>
      </x:c>
      <x:c r="M66" s="19" t="n">
        <x:v>0.75</x:v>
      </x:c>
    </x:row>
    <x:row r="67" ht="23" customHeight="1">
      <x:c r="A67" s="2" t="str">
        <x:v>D000_T04_C080_G075</x:v>
      </x:c>
      <x:c r="B67" s="2" t="str">
        <x:v>A0038</x:v>
      </x:c>
      <x:c r="C67" s="2" t="str">
        <x:v>圈内</x:v>
      </x:c>
      <x:c r="D67" s="10" t="n">
        <x:v>1</x:v>
      </x:c>
      <x:c r="E67" s="10" t="n">
        <x:v>4</x:v>
      </x:c>
      <x:c r="F67" s="10" t="n">
        <x:v>3</x:v>
      </x:c>
      <x:c r="G67" s="10" t="n">
        <x:v>1</x:v>
      </x:c>
      <x:c r="H67" s="10" t="n">
        <x:f>IF(G67=1,E67-D67,"")</x:f>
        <x:v>3</x:v>
      </x:c>
      <x:c r="I67" s="10" t="n">
        <x:f>MIN(F67,9)</x:f>
        <x:v>3</x:v>
      </x:c>
      <x:c r="J67" s="19" t="n">
        <x:v>0</x:v>
      </x:c>
      <x:c r="K67" s="2" t="n">
        <x:v>4</x:v>
      </x:c>
      <x:c r="L67" s="19" t="n">
        <x:v>0.8</x:v>
      </x:c>
      <x:c r="M67" s="19" t="n">
        <x:v>0.75</x:v>
      </x:c>
    </x:row>
    <x:row r="68" ht="23" customHeight="1">
      <x:c r="A68" s="2" t="str">
        <x:v>D000_T07_C020_G025</x:v>
      </x:c>
      <x:c r="B68" s="2" t="str">
        <x:v>A0001</x:v>
      </x:c>
      <x:c r="C68" s="2" t="str">
        <x:v>圈内</x:v>
      </x:c>
      <x:c r="D68" s="10" t="n">
        <x:v>1</x:v>
      </x:c>
      <x:c r="E68" s="10"/>
      <x:c r="F68" s="10" t="n">
        <x:v>9</x:v>
      </x:c>
      <x:c r="G68" s="10" t="n">
        <x:v>0</x:v>
      </x:c>
      <x:c r="H68" s="10" t="str">
        <x:f>IF(G68=1,E68-D68,"")</x:f>
      </x:c>
      <x:c r="I68" s="10" t="n">
        <x:f>MIN(F68,9)</x:f>
        <x:v>9</x:v>
      </x:c>
      <x:c r="J68" s="19" t="n">
        <x:v>0</x:v>
      </x:c>
      <x:c r="K68" s="2" t="n">
        <x:v>7</x:v>
      </x:c>
      <x:c r="L68" s="19" t="n">
        <x:v>0.2</x:v>
      </x:c>
      <x:c r="M68" s="19" t="n">
        <x:v>0.25</x:v>
      </x:c>
    </x:row>
    <x:row r="69" ht="23" customHeight="1">
      <x:c r="A69" s="2" t="str">
        <x:v>D000_T07_C020_G025</x:v>
      </x:c>
      <x:c r="B69" s="2" t="str">
        <x:v>A0011</x:v>
      </x:c>
      <x:c r="C69" s="2" t="str">
        <x:v>圈内</x:v>
      </x:c>
      <x:c r="D69" s="10" t="n">
        <x:v>1</x:v>
      </x:c>
      <x:c r="E69" s="10" t="n">
        <x:v>7</x:v>
      </x:c>
      <x:c r="F69" s="10" t="n">
        <x:v>6</x:v>
      </x:c>
      <x:c r="G69" s="10" t="n">
        <x:v>1</x:v>
      </x:c>
      <x:c r="H69" s="10" t="n">
        <x:f>IF(G69=1,E69-D69,"")</x:f>
        <x:v>6</x:v>
      </x:c>
      <x:c r="I69" s="10" t="n">
        <x:f>MIN(F69,9)</x:f>
        <x:v>6</x:v>
      </x:c>
      <x:c r="J69" s="19" t="n">
        <x:v>0</x:v>
      </x:c>
      <x:c r="K69" s="2" t="n">
        <x:v>7</x:v>
      </x:c>
      <x:c r="L69" s="19" t="n">
        <x:v>0.2</x:v>
      </x:c>
      <x:c r="M69" s="19" t="n">
        <x:v>0.25</x:v>
      </x:c>
    </x:row>
    <x:row r="70" ht="23" customHeight="1">
      <x:c r="A70" s="2" t="str">
        <x:v>D000_T07_C020_G025</x:v>
      </x:c>
      <x:c r="B70" s="2" t="str">
        <x:v>A0012</x:v>
      </x:c>
      <x:c r="C70" s="2" t="str">
        <x:v>圈内</x:v>
      </x:c>
      <x:c r="D70" s="10" t="n">
        <x:v>1</x:v>
      </x:c>
      <x:c r="E70" s="10"/>
      <x:c r="F70" s="10" t="n">
        <x:v>9</x:v>
      </x:c>
      <x:c r="G70" s="10" t="n">
        <x:v>0</x:v>
      </x:c>
      <x:c r="H70" s="10" t="str">
        <x:f>IF(G70=1,E70-D70,"")</x:f>
      </x:c>
      <x:c r="I70" s="10" t="n">
        <x:f>MIN(F70,9)</x:f>
        <x:v>9</x:v>
      </x:c>
      <x:c r="J70" s="19" t="n">
        <x:v>0</x:v>
      </x:c>
      <x:c r="K70" s="2" t="n">
        <x:v>7</x:v>
      </x:c>
      <x:c r="L70" s="19" t="n">
        <x:v>0.2</x:v>
      </x:c>
      <x:c r="M70" s="19" t="n">
        <x:v>0.25</x:v>
      </x:c>
    </x:row>
    <x:row r="71" ht="23" customHeight="1">
      <x:c r="A71" s="2" t="str">
        <x:v>D000_T07_C020_G025</x:v>
      </x:c>
      <x:c r="B71" s="2" t="str">
        <x:v>A0014</x:v>
      </x:c>
      <x:c r="C71" s="2" t="str">
        <x:v>圈内</x:v>
      </x:c>
      <x:c r="D71" s="10" t="n">
        <x:v>1</x:v>
      </x:c>
      <x:c r="E71" s="10" t="n">
        <x:v>7</x:v>
      </x:c>
      <x:c r="F71" s="10" t="n">
        <x:v>6</x:v>
      </x:c>
      <x:c r="G71" s="10" t="n">
        <x:v>1</x:v>
      </x:c>
      <x:c r="H71" s="10" t="n">
        <x:f>IF(G71=1,E71-D71,"")</x:f>
        <x:v>6</x:v>
      </x:c>
      <x:c r="I71" s="10" t="n">
        <x:f>MIN(F71,9)</x:f>
        <x:v>6</x:v>
      </x:c>
      <x:c r="J71" s="19" t="n">
        <x:v>0</x:v>
      </x:c>
      <x:c r="K71" s="2" t="n">
        <x:v>7</x:v>
      </x:c>
      <x:c r="L71" s="19" t="n">
        <x:v>0.2</x:v>
      </x:c>
      <x:c r="M71" s="19" t="n">
        <x:v>0.25</x:v>
      </x:c>
    </x:row>
    <x:row r="72" ht="23" customHeight="1">
      <x:c r="A72" s="2" t="str">
        <x:v>D000_T07_C020_G025</x:v>
      </x:c>
      <x:c r="B72" s="2" t="str">
        <x:v>A0017</x:v>
      </x:c>
      <x:c r="C72" s="2" t="str">
        <x:v>圈内</x:v>
      </x:c>
      <x:c r="D72" s="10" t="n">
        <x:v>1</x:v>
      </x:c>
      <x:c r="E72" s="10"/>
      <x:c r="F72" s="10" t="n">
        <x:v>9</x:v>
      </x:c>
      <x:c r="G72" s="10" t="n">
        <x:v>0</x:v>
      </x:c>
      <x:c r="H72" s="10" t="str">
        <x:f>IF(G72=1,E72-D72,"")</x:f>
      </x:c>
      <x:c r="I72" s="10" t="n">
        <x:f>MIN(F72,9)</x:f>
        <x:v>9</x:v>
      </x:c>
      <x:c r="J72" s="19" t="n">
        <x:v>0</x:v>
      </x:c>
      <x:c r="K72" s="2" t="n">
        <x:v>7</x:v>
      </x:c>
      <x:c r="L72" s="19" t="n">
        <x:v>0.2</x:v>
      </x:c>
      <x:c r="M72" s="19" t="n">
        <x:v>0.25</x:v>
      </x:c>
    </x:row>
    <x:row r="73" ht="23" customHeight="1">
      <x:c r="A73" s="2" t="str">
        <x:v>D000_T07_C020_G025</x:v>
      </x:c>
      <x:c r="B73" s="2" t="str">
        <x:v>A0025</x:v>
      </x:c>
      <x:c r="C73" s="2" t="str">
        <x:v>圈内</x:v>
      </x:c>
      <x:c r="D73" s="10" t="n">
        <x:v>1</x:v>
      </x:c>
      <x:c r="E73" s="10" t="n">
        <x:v>9</x:v>
      </x:c>
      <x:c r="F73" s="10" t="n">
        <x:v>8</x:v>
      </x:c>
      <x:c r="G73" s="10" t="n">
        <x:v>1</x:v>
      </x:c>
      <x:c r="H73" s="10" t="n">
        <x:f>IF(G73=1,E73-D73,"")</x:f>
        <x:v>8</x:v>
      </x:c>
      <x:c r="I73" s="10" t="n">
        <x:f>MIN(F73,9)</x:f>
        <x:v>8</x:v>
      </x:c>
      <x:c r="J73" s="19" t="n">
        <x:v>0</x:v>
      </x:c>
      <x:c r="K73" s="2" t="n">
        <x:v>7</x:v>
      </x:c>
      <x:c r="L73" s="19" t="n">
        <x:v>0.2</x:v>
      </x:c>
      <x:c r="M73" s="19" t="n">
        <x:v>0.25</x:v>
      </x:c>
    </x:row>
    <x:row r="74" ht="23" customHeight="1">
      <x:c r="A74" s="2" t="str">
        <x:v>D000_T07_C020_G025</x:v>
      </x:c>
      <x:c r="B74" s="2" t="str">
        <x:v>A0033</x:v>
      </x:c>
      <x:c r="C74" s="2" t="str">
        <x:v>圈内</x:v>
      </x:c>
      <x:c r="D74" s="10" t="n">
        <x:v>1</x:v>
      </x:c>
      <x:c r="E74" s="10"/>
      <x:c r="F74" s="10" t="n">
        <x:v>9</x:v>
      </x:c>
      <x:c r="G74" s="10" t="n">
        <x:v>0</x:v>
      </x:c>
      <x:c r="H74" s="10" t="str">
        <x:f>IF(G74=1,E74-D74,"")</x:f>
      </x:c>
      <x:c r="I74" s="10" t="n">
        <x:f>MIN(F74,9)</x:f>
        <x:v>9</x:v>
      </x:c>
      <x:c r="J74" s="19" t="n">
        <x:v>0</x:v>
      </x:c>
      <x:c r="K74" s="2" t="n">
        <x:v>7</x:v>
      </x:c>
      <x:c r="L74" s="19" t="n">
        <x:v>0.2</x:v>
      </x:c>
      <x:c r="M74" s="19" t="n">
        <x:v>0.25</x:v>
      </x:c>
    </x:row>
    <x:row r="75" ht="23" customHeight="1">
      <x:c r="A75" s="2" t="str">
        <x:v>D000_T07_C020_G050</x:v>
      </x:c>
      <x:c r="B75" s="2" t="str">
        <x:v>A0011</x:v>
      </x:c>
      <x:c r="C75" s="2" t="str">
        <x:v>圈内</x:v>
      </x:c>
      <x:c r="D75" s="10" t="n">
        <x:v>1</x:v>
      </x:c>
      <x:c r="E75" s="10" t="n">
        <x:v>7</x:v>
      </x:c>
      <x:c r="F75" s="10" t="n">
        <x:v>6</x:v>
      </x:c>
      <x:c r="G75" s="10" t="n">
        <x:v>1</x:v>
      </x:c>
      <x:c r="H75" s="10" t="n">
        <x:f>IF(G75=1,E75-D75,"")</x:f>
        <x:v>6</x:v>
      </x:c>
      <x:c r="I75" s="10" t="n">
        <x:f>MIN(F75,9)</x:f>
        <x:v>6</x:v>
      </x:c>
      <x:c r="J75" s="19" t="n">
        <x:v>0</x:v>
      </x:c>
      <x:c r="K75" s="2" t="n">
        <x:v>7</x:v>
      </x:c>
      <x:c r="L75" s="19" t="n">
        <x:v>0.2</x:v>
      </x:c>
      <x:c r="M75" s="19" t="n">
        <x:v>0.5</x:v>
      </x:c>
    </x:row>
    <x:row r="76" ht="23" customHeight="1">
      <x:c r="A76" s="2" t="str">
        <x:v>D000_T07_C020_G050</x:v>
      </x:c>
      <x:c r="B76" s="2" t="str">
        <x:v>A0012</x:v>
      </x:c>
      <x:c r="C76" s="2" t="str">
        <x:v>圈内</x:v>
      </x:c>
      <x:c r="D76" s="10" t="n">
        <x:v>1</x:v>
      </x:c>
      <x:c r="E76" s="10" t="n">
        <x:v>9</x:v>
      </x:c>
      <x:c r="F76" s="10" t="n">
        <x:v>8</x:v>
      </x:c>
      <x:c r="G76" s="10" t="n">
        <x:v>1</x:v>
      </x:c>
      <x:c r="H76" s="10" t="n">
        <x:f>IF(G76=1,E76-D76,"")</x:f>
        <x:v>8</x:v>
      </x:c>
      <x:c r="I76" s="10" t="n">
        <x:f>MIN(F76,9)</x:f>
        <x:v>8</x:v>
      </x:c>
      <x:c r="J76" s="19" t="n">
        <x:v>0</x:v>
      </x:c>
      <x:c r="K76" s="2" t="n">
        <x:v>7</x:v>
      </x:c>
      <x:c r="L76" s="19" t="n">
        <x:v>0.2</x:v>
      </x:c>
      <x:c r="M76" s="19" t="n">
        <x:v>0.5</x:v>
      </x:c>
    </x:row>
    <x:row r="77" ht="23" customHeight="1">
      <x:c r="A77" s="2" t="str">
        <x:v>D000_T07_C020_G050</x:v>
      </x:c>
      <x:c r="B77" s="2" t="str">
        <x:v>A0014</x:v>
      </x:c>
      <x:c r="C77" s="2" t="str">
        <x:v>圈内</x:v>
      </x:c>
      <x:c r="D77" s="10" t="n">
        <x:v>1</x:v>
      </x:c>
      <x:c r="E77" s="10" t="n">
        <x:v>7</x:v>
      </x:c>
      <x:c r="F77" s="10" t="n">
        <x:v>6</x:v>
      </x:c>
      <x:c r="G77" s="10" t="n">
        <x:v>1</x:v>
      </x:c>
      <x:c r="H77" s="10" t="n">
        <x:f>IF(G77=1,E77-D77,"")</x:f>
        <x:v>6</x:v>
      </x:c>
      <x:c r="I77" s="10" t="n">
        <x:f>MIN(F77,9)</x:f>
        <x:v>6</x:v>
      </x:c>
      <x:c r="J77" s="19" t="n">
        <x:v>0</x:v>
      </x:c>
      <x:c r="K77" s="2" t="n">
        <x:v>7</x:v>
      </x:c>
      <x:c r="L77" s="19" t="n">
        <x:v>0.2</x:v>
      </x:c>
      <x:c r="M77" s="19" t="n">
        <x:v>0.5</x:v>
      </x:c>
    </x:row>
    <x:row r="78" ht="23" customHeight="1">
      <x:c r="A78" s="2" t="str">
        <x:v>D000_T07_C020_G050</x:v>
      </x:c>
      <x:c r="B78" s="2" t="str">
        <x:v>A0017</x:v>
      </x:c>
      <x:c r="C78" s="2" t="str">
        <x:v>圈内</x:v>
      </x:c>
      <x:c r="D78" s="10" t="n">
        <x:v>1</x:v>
      </x:c>
      <x:c r="E78" s="10" t="n">
        <x:v>10</x:v>
      </x:c>
      <x:c r="F78" s="10" t="n">
        <x:v>9</x:v>
      </x:c>
      <x:c r="G78" s="10" t="n">
        <x:v>1</x:v>
      </x:c>
      <x:c r="H78" s="10" t="n">
        <x:f>IF(G78=1,E78-D78,"")</x:f>
        <x:v>9</x:v>
      </x:c>
      <x:c r="I78" s="10" t="n">
        <x:f>MIN(F78,9)</x:f>
        <x:v>9</x:v>
      </x:c>
      <x:c r="J78" s="19" t="n">
        <x:v>0</x:v>
      </x:c>
      <x:c r="K78" s="2" t="n">
        <x:v>7</x:v>
      </x:c>
      <x:c r="L78" s="19" t="n">
        <x:v>0.2</x:v>
      </x:c>
      <x:c r="M78" s="19" t="n">
        <x:v>0.5</x:v>
      </x:c>
    </x:row>
    <x:row r="79" ht="23" customHeight="1">
      <x:c r="A79" s="2" t="str">
        <x:v>D000_T07_C020_G050</x:v>
      </x:c>
      <x:c r="B79" s="2" t="str">
        <x:v>A0018</x:v>
      </x:c>
      <x:c r="C79" s="2" t="str">
        <x:v>圈内</x:v>
      </x:c>
      <x:c r="D79" s="10" t="n">
        <x:v>1</x:v>
      </x:c>
      <x:c r="E79" s="10"/>
      <x:c r="F79" s="10" t="n">
        <x:v>9</x:v>
      </x:c>
      <x:c r="G79" s="10" t="n">
        <x:v>0</x:v>
      </x:c>
      <x:c r="H79" s="10" t="str">
        <x:f>IF(G79=1,E79-D79,"")</x:f>
      </x:c>
      <x:c r="I79" s="10" t="n">
        <x:f>MIN(F79,9)</x:f>
        <x:v>9</x:v>
      </x:c>
      <x:c r="J79" s="19" t="n">
        <x:v>0</x:v>
      </x:c>
      <x:c r="K79" s="2" t="n">
        <x:v>7</x:v>
      </x:c>
      <x:c r="L79" s="19" t="n">
        <x:v>0.2</x:v>
      </x:c>
      <x:c r="M79" s="19" t="n">
        <x:v>0.5</x:v>
      </x:c>
    </x:row>
    <x:row r="80" ht="23" customHeight="1">
      <x:c r="A80" s="2" t="str">
        <x:v>D000_T07_C020_G050</x:v>
      </x:c>
      <x:c r="B80" s="2" t="str">
        <x:v>A0027</x:v>
      </x:c>
      <x:c r="C80" s="2" t="str">
        <x:v>圈内</x:v>
      </x:c>
      <x:c r="D80" s="10" t="n">
        <x:v>1</x:v>
      </x:c>
      <x:c r="E80" s="10"/>
      <x:c r="F80" s="10" t="n">
        <x:v>9</x:v>
      </x:c>
      <x:c r="G80" s="10" t="n">
        <x:v>0</x:v>
      </x:c>
      <x:c r="H80" s="10" t="str">
        <x:f>IF(G80=1,E80-D80,"")</x:f>
      </x:c>
      <x:c r="I80" s="10" t="n">
        <x:f>MIN(F80,9)</x:f>
        <x:v>9</x:v>
      </x:c>
      <x:c r="J80" s="19" t="n">
        <x:v>0</x:v>
      </x:c>
      <x:c r="K80" s="2" t="n">
        <x:v>7</x:v>
      </x:c>
      <x:c r="L80" s="19" t="n">
        <x:v>0.2</x:v>
      </x:c>
      <x:c r="M80" s="19" t="n">
        <x:v>0.5</x:v>
      </x:c>
    </x:row>
    <x:row r="81" ht="23" customHeight="1">
      <x:c r="A81" s="2" t="str">
        <x:v>D000_T07_C020_G050</x:v>
      </x:c>
      <x:c r="B81" s="2" t="str">
        <x:v>A0032</x:v>
      </x:c>
      <x:c r="C81" s="2" t="str">
        <x:v>圈内</x:v>
      </x:c>
      <x:c r="D81" s="10" t="n">
        <x:v>1</x:v>
      </x:c>
      <x:c r="E81" s="10" t="n">
        <x:v>7</x:v>
      </x:c>
      <x:c r="F81" s="10" t="n">
        <x:v>6</x:v>
      </x:c>
      <x:c r="G81" s="10" t="n">
        <x:v>1</x:v>
      </x:c>
      <x:c r="H81" s="10" t="n">
        <x:f>IF(G81=1,E81-D81,"")</x:f>
        <x:v>6</x:v>
      </x:c>
      <x:c r="I81" s="10" t="n">
        <x:f>MIN(F81,9)</x:f>
        <x:v>6</x:v>
      </x:c>
      <x:c r="J81" s="19" t="n">
        <x:v>0</x:v>
      </x:c>
      <x:c r="K81" s="2" t="n">
        <x:v>7</x:v>
      </x:c>
      <x:c r="L81" s="19" t="n">
        <x:v>0.2</x:v>
      </x:c>
      <x:c r="M81" s="19" t="n">
        <x:v>0.5</x:v>
      </x:c>
    </x:row>
    <x:row r="82" ht="23" customHeight="1">
      <x:c r="A82" s="2" t="str">
        <x:v>D000_T07_C020_G075</x:v>
      </x:c>
      <x:c r="B82" s="2" t="str">
        <x:v>A0011</x:v>
      </x:c>
      <x:c r="C82" s="2" t="str">
        <x:v>圈内</x:v>
      </x:c>
      <x:c r="D82" s="10" t="n">
        <x:v>1</x:v>
      </x:c>
      <x:c r="E82" s="10" t="n">
        <x:v>8</x:v>
      </x:c>
      <x:c r="F82" s="10" t="n">
        <x:v>7</x:v>
      </x:c>
      <x:c r="G82" s="10" t="n">
        <x:v>1</x:v>
      </x:c>
      <x:c r="H82" s="10" t="n">
        <x:f>IF(G82=1,E82-D82,"")</x:f>
        <x:v>7</x:v>
      </x:c>
      <x:c r="I82" s="10" t="n">
        <x:f>MIN(F82,9)</x:f>
        <x:v>7</x:v>
      </x:c>
      <x:c r="J82" s="19" t="n">
        <x:v>0</x:v>
      </x:c>
      <x:c r="K82" s="2" t="n">
        <x:v>7</x:v>
      </x:c>
      <x:c r="L82" s="19" t="n">
        <x:v>0.2</x:v>
      </x:c>
      <x:c r="M82" s="19" t="n">
        <x:v>0.75</x:v>
      </x:c>
    </x:row>
    <x:row r="83" ht="23" customHeight="1">
      <x:c r="A83" s="2" t="str">
        <x:v>D000_T07_C020_G075</x:v>
      </x:c>
      <x:c r="B83" s="2" t="str">
        <x:v>A0017</x:v>
      </x:c>
      <x:c r="C83" s="2" t="str">
        <x:v>圈内</x:v>
      </x:c>
      <x:c r="D83" s="10" t="n">
        <x:v>1</x:v>
      </x:c>
      <x:c r="E83" s="10" t="n">
        <x:v>10</x:v>
      </x:c>
      <x:c r="F83" s="10" t="n">
        <x:v>9</x:v>
      </x:c>
      <x:c r="G83" s="10" t="n">
        <x:v>1</x:v>
      </x:c>
      <x:c r="H83" s="10" t="n">
        <x:f>IF(G83=1,E83-D83,"")</x:f>
        <x:v>9</x:v>
      </x:c>
      <x:c r="I83" s="10" t="n">
        <x:f>MIN(F83,9)</x:f>
        <x:v>9</x:v>
      </x:c>
      <x:c r="J83" s="19" t="n">
        <x:v>0</x:v>
      </x:c>
      <x:c r="K83" s="2" t="n">
        <x:v>7</x:v>
      </x:c>
      <x:c r="L83" s="19" t="n">
        <x:v>0.2</x:v>
      </x:c>
      <x:c r="M83" s="19" t="n">
        <x:v>0.75</x:v>
      </x:c>
    </x:row>
    <x:row r="84" ht="23" customHeight="1">
      <x:c r="A84" s="2" t="str">
        <x:v>D000_T07_C020_G075</x:v>
      </x:c>
      <x:c r="B84" s="2" t="str">
        <x:v>A0024</x:v>
      </x:c>
      <x:c r="C84" s="2" t="str">
        <x:v>圈内</x:v>
      </x:c>
      <x:c r="D84" s="10" t="n">
        <x:v>1</x:v>
      </x:c>
      <x:c r="E84" s="10" t="n">
        <x:v>9</x:v>
      </x:c>
      <x:c r="F84" s="10" t="n">
        <x:v>8</x:v>
      </x:c>
      <x:c r="G84" s="10" t="n">
        <x:v>1</x:v>
      </x:c>
      <x:c r="H84" s="10" t="n">
        <x:f>IF(G84=1,E84-D84,"")</x:f>
        <x:v>8</x:v>
      </x:c>
      <x:c r="I84" s="10" t="n">
        <x:f>MIN(F84,9)</x:f>
        <x:v>8</x:v>
      </x:c>
      <x:c r="J84" s="19" t="n">
        <x:v>0</x:v>
      </x:c>
      <x:c r="K84" s="2" t="n">
        <x:v>7</x:v>
      </x:c>
      <x:c r="L84" s="19" t="n">
        <x:v>0.2</x:v>
      </x:c>
      <x:c r="M84" s="19" t="n">
        <x:v>0.75</x:v>
      </x:c>
    </x:row>
    <x:row r="85" ht="23" customHeight="1">
      <x:c r="A85" s="2" t="str">
        <x:v>D000_T07_C020_G075</x:v>
      </x:c>
      <x:c r="B85" s="2" t="str">
        <x:v>A0040</x:v>
      </x:c>
      <x:c r="C85" s="2" t="str">
        <x:v>圈内</x:v>
      </x:c>
      <x:c r="D85" s="10" t="n">
        <x:v>1</x:v>
      </x:c>
      <x:c r="E85" s="10" t="n">
        <x:v>10</x:v>
      </x:c>
      <x:c r="F85" s="10" t="n">
        <x:v>9</x:v>
      </x:c>
      <x:c r="G85" s="10" t="n">
        <x:v>1</x:v>
      </x:c>
      <x:c r="H85" s="10" t="n">
        <x:f>IF(G85=1,E85-D85,"")</x:f>
        <x:v>9</x:v>
      </x:c>
      <x:c r="I85" s="10" t="n">
        <x:f>MIN(F85,9)</x:f>
        <x:v>9</x:v>
      </x:c>
      <x:c r="J85" s="19" t="n">
        <x:v>0</x:v>
      </x:c>
      <x:c r="K85" s="2" t="n">
        <x:v>7</x:v>
      </x:c>
      <x:c r="L85" s="19" t="n">
        <x:v>0.2</x:v>
      </x:c>
      <x:c r="M85" s="19" t="n">
        <x:v>0.75</x:v>
      </x:c>
    </x:row>
    <x:row r="86" ht="23" customHeight="1">
      <x:c r="A86" s="2" t="str">
        <x:v>D000_T07_C080_G025</x:v>
      </x:c>
      <x:c r="B86" s="2" t="str">
        <x:v>A0011</x:v>
      </x:c>
      <x:c r="C86" s="2" t="str">
        <x:v>圈内</x:v>
      </x:c>
      <x:c r="D86" s="10" t="n">
        <x:v>1</x:v>
      </x:c>
      <x:c r="E86" s="10" t="n">
        <x:v>9</x:v>
      </x:c>
      <x:c r="F86" s="10" t="n">
        <x:v>8</x:v>
      </x:c>
      <x:c r="G86" s="10" t="n">
        <x:v>1</x:v>
      </x:c>
      <x:c r="H86" s="10" t="n">
        <x:f>IF(G86=1,E86-D86,"")</x:f>
        <x:v>8</x:v>
      </x:c>
      <x:c r="I86" s="10" t="n">
        <x:f>MIN(F86,9)</x:f>
        <x:v>8</x:v>
      </x:c>
      <x:c r="J86" s="19" t="n">
        <x:v>0</x:v>
      </x:c>
      <x:c r="K86" s="2" t="n">
        <x:v>7</x:v>
      </x:c>
      <x:c r="L86" s="19" t="n">
        <x:v>0.8</x:v>
      </x:c>
      <x:c r="M86" s="19" t="n">
        <x:v>0.25</x:v>
      </x:c>
    </x:row>
    <x:row r="87" ht="23" customHeight="1">
      <x:c r="A87" s="2" t="str">
        <x:v>D000_T07_C080_G025</x:v>
      </x:c>
      <x:c r="B87" s="2" t="str">
        <x:v>A0017</x:v>
      </x:c>
      <x:c r="C87" s="2" t="str">
        <x:v>圈内</x:v>
      </x:c>
      <x:c r="D87" s="10" t="n">
        <x:v>1</x:v>
      </x:c>
      <x:c r="E87" s="10"/>
      <x:c r="F87" s="10" t="n">
        <x:v>9</x:v>
      </x:c>
      <x:c r="G87" s="10" t="n">
        <x:v>0</x:v>
      </x:c>
      <x:c r="H87" s="10" t="str">
        <x:f>IF(G87=1,E87-D87,"")</x:f>
      </x:c>
      <x:c r="I87" s="10" t="n">
        <x:f>MIN(F87,9)</x:f>
        <x:v>9</x:v>
      </x:c>
      <x:c r="J87" s="19" t="n">
        <x:v>0</x:v>
      </x:c>
      <x:c r="K87" s="2" t="n">
        <x:v>7</x:v>
      </x:c>
      <x:c r="L87" s="19" t="n">
        <x:v>0.8</x:v>
      </x:c>
      <x:c r="M87" s="19" t="n">
        <x:v>0.25</x:v>
      </x:c>
    </x:row>
    <x:row r="88" ht="23" customHeight="1">
      <x:c r="A88" s="2" t="str">
        <x:v>D000_T07_C080_G025</x:v>
      </x:c>
      <x:c r="B88" s="2" t="str">
        <x:v>A0018</x:v>
      </x:c>
      <x:c r="C88" s="2" t="str">
        <x:v>圈内</x:v>
      </x:c>
      <x:c r="D88" s="10" t="n">
        <x:v>1</x:v>
      </x:c>
      <x:c r="E88" s="10" t="n">
        <x:v>8</x:v>
      </x:c>
      <x:c r="F88" s="10" t="n">
        <x:v>7</x:v>
      </x:c>
      <x:c r="G88" s="10" t="n">
        <x:v>1</x:v>
      </x:c>
      <x:c r="H88" s="10" t="n">
        <x:f>IF(G88=1,E88-D88,"")</x:f>
        <x:v>7</x:v>
      </x:c>
      <x:c r="I88" s="10" t="n">
        <x:f>MIN(F88,9)</x:f>
        <x:v>7</x:v>
      </x:c>
      <x:c r="J88" s="19" t="n">
        <x:v>0</x:v>
      </x:c>
      <x:c r="K88" s="2" t="n">
        <x:v>7</x:v>
      </x:c>
      <x:c r="L88" s="19" t="n">
        <x:v>0.8</x:v>
      </x:c>
      <x:c r="M88" s="19" t="n">
        <x:v>0.25</x:v>
      </x:c>
    </x:row>
    <x:row r="89" ht="23" customHeight="1">
      <x:c r="A89" s="2" t="str">
        <x:v>D000_T07_C080_G025</x:v>
      </x:c>
      <x:c r="B89" s="2" t="str">
        <x:v>A0033</x:v>
      </x:c>
      <x:c r="C89" s="2" t="str">
        <x:v>圈内</x:v>
      </x:c>
      <x:c r="D89" s="10" t="n">
        <x:v>1</x:v>
      </x:c>
      <x:c r="E89" s="10" t="n">
        <x:v>7</x:v>
      </x:c>
      <x:c r="F89" s="10" t="n">
        <x:v>6</x:v>
      </x:c>
      <x:c r="G89" s="10" t="n">
        <x:v>1</x:v>
      </x:c>
      <x:c r="H89" s="10" t="n">
        <x:f>IF(G89=1,E89-D89,"")</x:f>
        <x:v>6</x:v>
      </x:c>
      <x:c r="I89" s="10" t="n">
        <x:f>MIN(F89,9)</x:f>
        <x:v>6</x:v>
      </x:c>
      <x:c r="J89" s="19" t="n">
        <x:v>0</x:v>
      </x:c>
      <x:c r="K89" s="2" t="n">
        <x:v>7</x:v>
      </x:c>
      <x:c r="L89" s="19" t="n">
        <x:v>0.8</x:v>
      </x:c>
      <x:c r="M89" s="19" t="n">
        <x:v>0.25</x:v>
      </x:c>
    </x:row>
    <x:row r="90" ht="23" customHeight="1">
      <x:c r="A90" s="2" t="str">
        <x:v>D000_T07_C080_G025</x:v>
      </x:c>
      <x:c r="B90" s="2" t="str">
        <x:v>A0035</x:v>
      </x:c>
      <x:c r="C90" s="2" t="str">
        <x:v>圈内</x:v>
      </x:c>
      <x:c r="D90" s="10" t="n">
        <x:v>1</x:v>
      </x:c>
      <x:c r="E90" s="10" t="n">
        <x:v>9</x:v>
      </x:c>
      <x:c r="F90" s="10" t="n">
        <x:v>8</x:v>
      </x:c>
      <x:c r="G90" s="10" t="n">
        <x:v>1</x:v>
      </x:c>
      <x:c r="H90" s="10" t="n">
        <x:f>IF(G90=1,E90-D90,"")</x:f>
        <x:v>8</x:v>
      </x:c>
      <x:c r="I90" s="10" t="n">
        <x:f>MIN(F90,9)</x:f>
        <x:v>8</x:v>
      </x:c>
      <x:c r="J90" s="19" t="n">
        <x:v>0</x:v>
      </x:c>
      <x:c r="K90" s="2" t="n">
        <x:v>7</x:v>
      </x:c>
      <x:c r="L90" s="19" t="n">
        <x:v>0.8</x:v>
      </x:c>
      <x:c r="M90" s="19" t="n">
        <x:v>0.25</x:v>
      </x:c>
    </x:row>
    <x:row r="91" ht="23" customHeight="1">
      <x:c r="A91" s="2" t="str">
        <x:v>D000_T07_C080_G050</x:v>
      </x:c>
      <x:c r="B91" s="2" t="str">
        <x:v>A0011</x:v>
      </x:c>
      <x:c r="C91" s="2" t="str">
        <x:v>圈内</x:v>
      </x:c>
      <x:c r="D91" s="10" t="n">
        <x:v>1</x:v>
      </x:c>
      <x:c r="E91" s="10" t="n">
        <x:v>8</x:v>
      </x:c>
      <x:c r="F91" s="10" t="n">
        <x:v>7</x:v>
      </x:c>
      <x:c r="G91" s="10" t="n">
        <x:v>1</x:v>
      </x:c>
      <x:c r="H91" s="10" t="n">
        <x:f>IF(G91=1,E91-D91,"")</x:f>
        <x:v>7</x:v>
      </x:c>
      <x:c r="I91" s="10" t="n">
        <x:f>MIN(F91,9)</x:f>
        <x:v>7</x:v>
      </x:c>
      <x:c r="J91" s="19" t="n">
        <x:v>0</x:v>
      </x:c>
      <x:c r="K91" s="2" t="n">
        <x:v>7</x:v>
      </x:c>
      <x:c r="L91" s="19" t="n">
        <x:v>0.8</x:v>
      </x:c>
      <x:c r="M91" s="19" t="n">
        <x:v>0.5</x:v>
      </x:c>
    </x:row>
    <x:row r="92" ht="23" customHeight="1">
      <x:c r="A92" s="2" t="str">
        <x:v>D000_T07_C080_G050</x:v>
      </x:c>
      <x:c r="B92" s="2" t="str">
        <x:v>A0027</x:v>
      </x:c>
      <x:c r="C92" s="2" t="str">
        <x:v>圈内</x:v>
      </x:c>
      <x:c r="D92" s="10" t="n">
        <x:v>1</x:v>
      </x:c>
      <x:c r="E92" s="10" t="n">
        <x:v>10</x:v>
      </x:c>
      <x:c r="F92" s="10" t="n">
        <x:v>9</x:v>
      </x:c>
      <x:c r="G92" s="10" t="n">
        <x:v>1</x:v>
      </x:c>
      <x:c r="H92" s="10" t="n">
        <x:f>IF(G92=1,E92-D92,"")</x:f>
        <x:v>9</x:v>
      </x:c>
      <x:c r="I92" s="10" t="n">
        <x:f>MIN(F92,9)</x:f>
        <x:v>9</x:v>
      </x:c>
      <x:c r="J92" s="19" t="n">
        <x:v>0</x:v>
      </x:c>
      <x:c r="K92" s="2" t="n">
        <x:v>7</x:v>
      </x:c>
      <x:c r="L92" s="19" t="n">
        <x:v>0.8</x:v>
      </x:c>
      <x:c r="M92" s="19" t="n">
        <x:v>0.5</x:v>
      </x:c>
    </x:row>
    <x:row r="93" ht="23" customHeight="1">
      <x:c r="A93" s="2" t="str">
        <x:v>D000_T07_C080_G050</x:v>
      </x:c>
      <x:c r="B93" s="2" t="str">
        <x:v>A0029</x:v>
      </x:c>
      <x:c r="C93" s="2" t="str">
        <x:v>圈内</x:v>
      </x:c>
      <x:c r="D93" s="10" t="n">
        <x:v>1</x:v>
      </x:c>
      <x:c r="E93" s="10" t="n">
        <x:v>7</x:v>
      </x:c>
      <x:c r="F93" s="10" t="n">
        <x:v>6</x:v>
      </x:c>
      <x:c r="G93" s="10" t="n">
        <x:v>1</x:v>
      </x:c>
      <x:c r="H93" s="10" t="n">
        <x:f>IF(G93=1,E93-D93,"")</x:f>
        <x:v>6</x:v>
      </x:c>
      <x:c r="I93" s="10" t="n">
        <x:f>MIN(F93,9)</x:f>
        <x:v>6</x:v>
      </x:c>
      <x:c r="J93" s="19" t="n">
        <x:v>0</x:v>
      </x:c>
      <x:c r="K93" s="2" t="n">
        <x:v>7</x:v>
      </x:c>
      <x:c r="L93" s="19" t="n">
        <x:v>0.8</x:v>
      </x:c>
      <x:c r="M93" s="19" t="n">
        <x:v>0.5</x:v>
      </x:c>
    </x:row>
    <x:row r="94" ht="23" customHeight="1">
      <x:c r="A94" s="2" t="str">
        <x:v>D000_T07_C080_G050</x:v>
      </x:c>
      <x:c r="B94" s="2" t="str">
        <x:v>A0032</x:v>
      </x:c>
      <x:c r="C94" s="2" t="str">
        <x:v>圈内</x:v>
      </x:c>
      <x:c r="D94" s="10" t="n">
        <x:v>1</x:v>
      </x:c>
      <x:c r="E94" s="10" t="n">
        <x:v>7</x:v>
      </x:c>
      <x:c r="F94" s="10" t="n">
        <x:v>6</x:v>
      </x:c>
      <x:c r="G94" s="10" t="n">
        <x:v>1</x:v>
      </x:c>
      <x:c r="H94" s="10" t="n">
        <x:f>IF(G94=1,E94-D94,"")</x:f>
        <x:v>6</x:v>
      </x:c>
      <x:c r="I94" s="10" t="n">
        <x:f>MIN(F94,9)</x:f>
        <x:v>6</x:v>
      </x:c>
      <x:c r="J94" s="19" t="n">
        <x:v>0</x:v>
      </x:c>
      <x:c r="K94" s="2" t="n">
        <x:v>7</x:v>
      </x:c>
      <x:c r="L94" s="19" t="n">
        <x:v>0.8</x:v>
      </x:c>
      <x:c r="M94" s="19" t="n">
        <x:v>0.5</x:v>
      </x:c>
    </x:row>
    <x:row r="95" ht="23" customHeight="1">
      <x:c r="A95" s="2" t="str">
        <x:v>D000_T07_C080_G075</x:v>
      </x:c>
      <x:c r="B95" s="2" t="str">
        <x:v>A0001</x:v>
      </x:c>
      <x:c r="C95" s="2" t="str">
        <x:v>圈内</x:v>
      </x:c>
      <x:c r="D95" s="10" t="n">
        <x:v>1</x:v>
      </x:c>
      <x:c r="E95" s="10" t="n">
        <x:v>7</x:v>
      </x:c>
      <x:c r="F95" s="10" t="n">
        <x:v>6</x:v>
      </x:c>
      <x:c r="G95" s="10" t="n">
        <x:v>1</x:v>
      </x:c>
      <x:c r="H95" s="10" t="n">
        <x:f>IF(G95=1,E95-D95,"")</x:f>
        <x:v>6</x:v>
      </x:c>
      <x:c r="I95" s="10" t="n">
        <x:f>MIN(F95,9)</x:f>
        <x:v>6</x:v>
      </x:c>
      <x:c r="J95" s="19" t="n">
        <x:v>0</x:v>
      </x:c>
      <x:c r="K95" s="2" t="n">
        <x:v>7</x:v>
      </x:c>
      <x:c r="L95" s="19" t="n">
        <x:v>0.8</x:v>
      </x:c>
      <x:c r="M95" s="19" t="n">
        <x:v>0.75</x:v>
      </x:c>
    </x:row>
    <x:row r="96" ht="23" customHeight="1">
      <x:c r="A96" s="2" t="str">
        <x:v>D000_T07_C080_G075</x:v>
      </x:c>
      <x:c r="B96" s="2" t="str">
        <x:v>A0011</x:v>
      </x:c>
      <x:c r="C96" s="2" t="str">
        <x:v>圈内</x:v>
      </x:c>
      <x:c r="D96" s="10" t="n">
        <x:v>1</x:v>
      </x:c>
      <x:c r="E96" s="10" t="n">
        <x:v>8</x:v>
      </x:c>
      <x:c r="F96" s="10" t="n">
        <x:v>7</x:v>
      </x:c>
      <x:c r="G96" s="10" t="n">
        <x:v>1</x:v>
      </x:c>
      <x:c r="H96" s="10" t="n">
        <x:f>IF(G96=1,E96-D96,"")</x:f>
        <x:v>7</x:v>
      </x:c>
      <x:c r="I96" s="10" t="n">
        <x:f>MIN(F96,9)</x:f>
        <x:v>7</x:v>
      </x:c>
      <x:c r="J96" s="19" t="n">
        <x:v>0</x:v>
      </x:c>
      <x:c r="K96" s="2" t="n">
        <x:v>7</x:v>
      </x:c>
      <x:c r="L96" s="19" t="n">
        <x:v>0.8</x:v>
      </x:c>
      <x:c r="M96" s="19" t="n">
        <x:v>0.75</x:v>
      </x:c>
    </x:row>
    <x:row r="97" ht="23" customHeight="1">
      <x:c r="A97" s="2" t="str">
        <x:v>D000_T07_C080_G075</x:v>
      </x:c>
      <x:c r="B97" s="2" t="str">
        <x:v>A0012</x:v>
      </x:c>
      <x:c r="C97" s="2" t="str">
        <x:v>圈内</x:v>
      </x:c>
      <x:c r="D97" s="10" t="n">
        <x:v>1</x:v>
      </x:c>
      <x:c r="E97" s="10" t="n">
        <x:v>7</x:v>
      </x:c>
      <x:c r="F97" s="10" t="n">
        <x:v>6</x:v>
      </x:c>
      <x:c r="G97" s="10" t="n">
        <x:v>1</x:v>
      </x:c>
      <x:c r="H97" s="10" t="n">
        <x:f>IF(G97=1,E97-D97,"")</x:f>
        <x:v>6</x:v>
      </x:c>
      <x:c r="I97" s="10" t="n">
        <x:f>MIN(F97,9)</x:f>
        <x:v>6</x:v>
      </x:c>
      <x:c r="J97" s="19" t="n">
        <x:v>0</x:v>
      </x:c>
      <x:c r="K97" s="2" t="n">
        <x:v>7</x:v>
      </x:c>
      <x:c r="L97" s="19" t="n">
        <x:v>0.8</x:v>
      </x:c>
      <x:c r="M97" s="19" t="n">
        <x:v>0.75</x:v>
      </x:c>
    </x:row>
    <x:row r="98" ht="23" customHeight="1">
      <x:c r="A98" s="2" t="str">
        <x:v>D020_T02_C020_G025</x:v>
      </x:c>
      <x:c r="B98" s="2" t="str">
        <x:v>A0001</x:v>
      </x:c>
      <x:c r="C98" s="2" t="str">
        <x:v>圈内</x:v>
      </x:c>
      <x:c r="D98" s="10" t="n">
        <x:v>1</x:v>
      </x:c>
      <x:c r="E98" s="10" t="n">
        <x:v>3</x:v>
      </x:c>
      <x:c r="F98" s="10" t="n">
        <x:v>2</x:v>
      </x:c>
      <x:c r="G98" s="10" t="n">
        <x:v>1</x:v>
      </x:c>
      <x:c r="H98" s="10" t="n">
        <x:f>IF(G98=1,E98-D98,"")</x:f>
        <x:v>2</x:v>
      </x:c>
      <x:c r="I98" s="10" t="n">
        <x:f>MIN(F98,9)</x:f>
        <x:v>2</x:v>
      </x:c>
      <x:c r="J98" s="19" t="n">
        <x:v>0.2</x:v>
      </x:c>
      <x:c r="K98" s="2" t="n">
        <x:v>2</x:v>
      </x:c>
      <x:c r="L98" s="19" t="n">
        <x:v>0.2</x:v>
      </x:c>
      <x:c r="M98" s="19" t="n">
        <x:v>0.25</x:v>
      </x:c>
    </x:row>
    <x:row r="99" ht="23" customHeight="1">
      <x:c r="A99" s="2" t="str">
        <x:v>D020_T02_C020_G025</x:v>
      </x:c>
      <x:c r="B99" s="2" t="str">
        <x:v>A0005</x:v>
      </x:c>
      <x:c r="C99" s="2" t="str">
        <x:v>圈内</x:v>
      </x:c>
      <x:c r="D99" s="10" t="n">
        <x:v>1</x:v>
      </x:c>
      <x:c r="E99" s="10" t="n">
        <x:v>8</x:v>
      </x:c>
      <x:c r="F99" s="10" t="n">
        <x:v>7</x:v>
      </x:c>
      <x:c r="G99" s="10" t="n">
        <x:v>1</x:v>
      </x:c>
      <x:c r="H99" s="10" t="n">
        <x:f>IF(G99=1,E99-D99,"")</x:f>
        <x:v>7</x:v>
      </x:c>
      <x:c r="I99" s="10" t="n">
        <x:f>MIN(F99,9)</x:f>
        <x:v>7</x:v>
      </x:c>
      <x:c r="J99" s="19" t="n">
        <x:v>0.2</x:v>
      </x:c>
      <x:c r="K99" s="2" t="n">
        <x:v>2</x:v>
      </x:c>
      <x:c r="L99" s="19" t="n">
        <x:v>0.2</x:v>
      </x:c>
      <x:c r="M99" s="19" t="n">
        <x:v>0.25</x:v>
      </x:c>
    </x:row>
    <x:row r="100" ht="23" customHeight="1">
      <x:c r="A100" s="2" t="str">
        <x:v>D020_T02_C020_G025</x:v>
      </x:c>
      <x:c r="B100" s="2" t="str">
        <x:v>A0011</x:v>
      </x:c>
      <x:c r="C100" s="2" t="str">
        <x:v>圈内</x:v>
      </x:c>
      <x:c r="D100" s="10" t="n">
        <x:v>1</x:v>
      </x:c>
      <x:c r="E100" s="10" t="n">
        <x:v>3</x:v>
      </x:c>
      <x:c r="F100" s="10" t="n">
        <x:v>2</x:v>
      </x:c>
      <x:c r="G100" s="10" t="n">
        <x:v>1</x:v>
      </x:c>
      <x:c r="H100" s="10" t="n">
        <x:f>IF(G100=1,E100-D100,"")</x:f>
        <x:v>2</x:v>
      </x:c>
      <x:c r="I100" s="10" t="n">
        <x:f>MIN(F100,9)</x:f>
        <x:v>2</x:v>
      </x:c>
      <x:c r="J100" s="19" t="n">
        <x:v>0.2</x:v>
      </x:c>
      <x:c r="K100" s="2" t="n">
        <x:v>2</x:v>
      </x:c>
      <x:c r="L100" s="19" t="n">
        <x:v>0.2</x:v>
      </x:c>
      <x:c r="M100" s="19" t="n">
        <x:v>0.25</x:v>
      </x:c>
    </x:row>
    <x:row r="101" ht="23" customHeight="1">
      <x:c r="A101" s="2" t="str">
        <x:v>D020_T02_C020_G025</x:v>
      </x:c>
      <x:c r="B101" s="2" t="str">
        <x:v>A0012</x:v>
      </x:c>
      <x:c r="C101" s="2" t="str">
        <x:v>圈内</x:v>
      </x:c>
      <x:c r="D101" s="10" t="n">
        <x:v>1</x:v>
      </x:c>
      <x:c r="E101" s="10"/>
      <x:c r="F101" s="10" t="n">
        <x:v>9</x:v>
      </x:c>
      <x:c r="G101" s="10" t="n">
        <x:v>0</x:v>
      </x:c>
      <x:c r="H101" s="10" t="str">
        <x:f>IF(G101=1,E101-D101,"")</x:f>
      </x:c>
      <x:c r="I101" s="10" t="n">
        <x:f>MIN(F101,9)</x:f>
        <x:v>9</x:v>
      </x:c>
      <x:c r="J101" s="19" t="n">
        <x:v>0.2</x:v>
      </x:c>
      <x:c r="K101" s="2" t="n">
        <x:v>2</x:v>
      </x:c>
      <x:c r="L101" s="19" t="n">
        <x:v>0.2</x:v>
      </x:c>
      <x:c r="M101" s="19" t="n">
        <x:v>0.25</x:v>
      </x:c>
    </x:row>
    <x:row r="102" ht="23" customHeight="1">
      <x:c r="A102" s="2" t="str">
        <x:v>D020_T02_C020_G025</x:v>
      </x:c>
      <x:c r="B102" s="2" t="str">
        <x:v>A0014</x:v>
      </x:c>
      <x:c r="C102" s="2" t="str">
        <x:v>圈内</x:v>
      </x:c>
      <x:c r="D102" s="10" t="n">
        <x:v>1</x:v>
      </x:c>
      <x:c r="E102" s="10" t="n">
        <x:v>3</x:v>
      </x:c>
      <x:c r="F102" s="10" t="n">
        <x:v>2</x:v>
      </x:c>
      <x:c r="G102" s="10" t="n">
        <x:v>1</x:v>
      </x:c>
      <x:c r="H102" s="10" t="n">
        <x:f>IF(G102=1,E102-D102,"")</x:f>
        <x:v>2</x:v>
      </x:c>
      <x:c r="I102" s="10" t="n">
        <x:f>MIN(F102,9)</x:f>
        <x:v>2</x:v>
      </x:c>
      <x:c r="J102" s="19" t="n">
        <x:v>0.2</x:v>
      </x:c>
      <x:c r="K102" s="2" t="n">
        <x:v>2</x:v>
      </x:c>
      <x:c r="L102" s="19" t="n">
        <x:v>0.2</x:v>
      </x:c>
      <x:c r="M102" s="19" t="n">
        <x:v>0.25</x:v>
      </x:c>
    </x:row>
    <x:row r="103" ht="23" customHeight="1">
      <x:c r="A103" s="2" t="str">
        <x:v>D020_T02_C020_G025</x:v>
      </x:c>
      <x:c r="B103" s="2" t="str">
        <x:v>A0017</x:v>
      </x:c>
      <x:c r="C103" s="2" t="str">
        <x:v>圈内</x:v>
      </x:c>
      <x:c r="D103" s="10" t="n">
        <x:v>1</x:v>
      </x:c>
      <x:c r="E103" s="10"/>
      <x:c r="F103" s="10" t="n">
        <x:v>9</x:v>
      </x:c>
      <x:c r="G103" s="10" t="n">
        <x:v>0</x:v>
      </x:c>
      <x:c r="H103" s="10" t="str">
        <x:f>IF(G103=1,E103-D103,"")</x:f>
      </x:c>
      <x:c r="I103" s="10" t="n">
        <x:f>MIN(F103,9)</x:f>
        <x:v>9</x:v>
      </x:c>
      <x:c r="J103" s="19" t="n">
        <x:v>0.2</x:v>
      </x:c>
      <x:c r="K103" s="2" t="n">
        <x:v>2</x:v>
      </x:c>
      <x:c r="L103" s="19" t="n">
        <x:v>0.2</x:v>
      </x:c>
      <x:c r="M103" s="19" t="n">
        <x:v>0.25</x:v>
      </x:c>
    </x:row>
    <x:row r="104" ht="23" customHeight="1">
      <x:c r="A104" s="2" t="str">
        <x:v>D020_T02_C020_G025</x:v>
      </x:c>
      <x:c r="B104" s="2" t="str">
        <x:v>A0018</x:v>
      </x:c>
      <x:c r="C104" s="2" t="str">
        <x:v>圈内</x:v>
      </x:c>
      <x:c r="D104" s="10" t="n">
        <x:v>1</x:v>
      </x:c>
      <x:c r="E104" s="10"/>
      <x:c r="F104" s="10" t="n">
        <x:v>9</x:v>
      </x:c>
      <x:c r="G104" s="10" t="n">
        <x:v>0</x:v>
      </x:c>
      <x:c r="H104" s="10" t="str">
        <x:f>IF(G104=1,E104-D104,"")</x:f>
      </x:c>
      <x:c r="I104" s="10" t="n">
        <x:f>MIN(F104,9)</x:f>
        <x:v>9</x:v>
      </x:c>
      <x:c r="J104" s="19" t="n">
        <x:v>0.2</x:v>
      </x:c>
      <x:c r="K104" s="2" t="n">
        <x:v>2</x:v>
      </x:c>
      <x:c r="L104" s="19" t="n">
        <x:v>0.2</x:v>
      </x:c>
      <x:c r="M104" s="19" t="n">
        <x:v>0.25</x:v>
      </x:c>
    </x:row>
    <x:row r="105" ht="23" customHeight="1">
      <x:c r="A105" s="2" t="str">
        <x:v>D020_T02_C020_G025</x:v>
      </x:c>
      <x:c r="B105" s="2" t="str">
        <x:v>A0025</x:v>
      </x:c>
      <x:c r="C105" s="2" t="str">
        <x:v>圈内</x:v>
      </x:c>
      <x:c r="D105" s="10" t="n">
        <x:v>1</x:v>
      </x:c>
      <x:c r="E105" s="10" t="n">
        <x:v>8</x:v>
      </x:c>
      <x:c r="F105" s="10" t="n">
        <x:v>7</x:v>
      </x:c>
      <x:c r="G105" s="10" t="n">
        <x:v>1</x:v>
      </x:c>
      <x:c r="H105" s="10" t="n">
        <x:f>IF(G105=1,E105-D105,"")</x:f>
        <x:v>7</x:v>
      </x:c>
      <x:c r="I105" s="10" t="n">
        <x:f>MIN(F105,9)</x:f>
        <x:v>7</x:v>
      </x:c>
      <x:c r="J105" s="19" t="n">
        <x:v>0.2</x:v>
      </x:c>
      <x:c r="K105" s="2" t="n">
        <x:v>2</x:v>
      </x:c>
      <x:c r="L105" s="19" t="n">
        <x:v>0.2</x:v>
      </x:c>
      <x:c r="M105" s="19" t="n">
        <x:v>0.25</x:v>
      </x:c>
    </x:row>
    <x:row r="106" ht="23" customHeight="1">
      <x:c r="A106" s="2" t="str">
        <x:v>D020_T02_C020_G025</x:v>
      </x:c>
      <x:c r="B106" s="2" t="str">
        <x:v>A0029</x:v>
      </x:c>
      <x:c r="C106" s="2" t="str">
        <x:v>圈内</x:v>
      </x:c>
      <x:c r="D106" s="10" t="n">
        <x:v>1</x:v>
      </x:c>
      <x:c r="E106" s="10" t="n">
        <x:v>7</x:v>
      </x:c>
      <x:c r="F106" s="10" t="n">
        <x:v>6</x:v>
      </x:c>
      <x:c r="G106" s="10" t="n">
        <x:v>1</x:v>
      </x:c>
      <x:c r="H106" s="10" t="n">
        <x:f>IF(G106=1,E106-D106,"")</x:f>
        <x:v>6</x:v>
      </x:c>
      <x:c r="I106" s="10" t="n">
        <x:f>MIN(F106,9)</x:f>
        <x:v>6</x:v>
      </x:c>
      <x:c r="J106" s="19" t="n">
        <x:v>0.2</x:v>
      </x:c>
      <x:c r="K106" s="2" t="n">
        <x:v>2</x:v>
      </x:c>
      <x:c r="L106" s="19" t="n">
        <x:v>0.2</x:v>
      </x:c>
      <x:c r="M106" s="19" t="n">
        <x:v>0.25</x:v>
      </x:c>
    </x:row>
    <x:row r="107" ht="23" customHeight="1">
      <x:c r="A107" s="2" t="str">
        <x:v>D020_T02_C020_G025</x:v>
      </x:c>
      <x:c r="B107" s="2" t="str">
        <x:v>A0032</x:v>
      </x:c>
      <x:c r="C107" s="2" t="str">
        <x:v>圈内</x:v>
      </x:c>
      <x:c r="D107" s="10" t="n">
        <x:v>1</x:v>
      </x:c>
      <x:c r="E107" s="10" t="n">
        <x:v>10</x:v>
      </x:c>
      <x:c r="F107" s="10" t="n">
        <x:v>9</x:v>
      </x:c>
      <x:c r="G107" s="10" t="n">
        <x:v>1</x:v>
      </x:c>
      <x:c r="H107" s="10" t="n">
        <x:f>IF(G107=1,E107-D107,"")</x:f>
        <x:v>9</x:v>
      </x:c>
      <x:c r="I107" s="10" t="n">
        <x:f>MIN(F107,9)</x:f>
        <x:v>9</x:v>
      </x:c>
      <x:c r="J107" s="19" t="n">
        <x:v>0.2</x:v>
      </x:c>
      <x:c r="K107" s="2" t="n">
        <x:v>2</x:v>
      </x:c>
      <x:c r="L107" s="19" t="n">
        <x:v>0.2</x:v>
      </x:c>
      <x:c r="M107" s="19" t="n">
        <x:v>0.25</x:v>
      </x:c>
    </x:row>
    <x:row r="108" ht="23" customHeight="1">
      <x:c r="A108" s="2" t="str">
        <x:v>D020_T02_C020_G025</x:v>
      </x:c>
      <x:c r="B108" s="2" t="str">
        <x:v>A0033</x:v>
      </x:c>
      <x:c r="C108" s="2" t="str">
        <x:v>圈内</x:v>
      </x:c>
      <x:c r="D108" s="10" t="n">
        <x:v>1</x:v>
      </x:c>
      <x:c r="E108" s="10" t="n">
        <x:v>3</x:v>
      </x:c>
      <x:c r="F108" s="10" t="n">
        <x:v>2</x:v>
      </x:c>
      <x:c r="G108" s="10" t="n">
        <x:v>1</x:v>
      </x:c>
      <x:c r="H108" s="10" t="n">
        <x:f>IF(G108=1,E108-D108,"")</x:f>
        <x:v>2</x:v>
      </x:c>
      <x:c r="I108" s="10" t="n">
        <x:f>MIN(F108,9)</x:f>
        <x:v>2</x:v>
      </x:c>
      <x:c r="J108" s="19" t="n">
        <x:v>0.2</x:v>
      </x:c>
      <x:c r="K108" s="2" t="n">
        <x:v>2</x:v>
      </x:c>
      <x:c r="L108" s="19" t="n">
        <x:v>0.2</x:v>
      </x:c>
      <x:c r="M108" s="19" t="n">
        <x:v>0.25</x:v>
      </x:c>
    </x:row>
    <x:row r="109" ht="23" customHeight="1">
      <x:c r="A109" s="2" t="str">
        <x:v>D020_T02_C020_G025</x:v>
      </x:c>
      <x:c r="B109" s="2" t="str">
        <x:v>A0034</x:v>
      </x:c>
      <x:c r="C109" s="2" t="str">
        <x:v>圈内</x:v>
      </x:c>
      <x:c r="D109" s="10" t="n">
        <x:v>1</x:v>
      </x:c>
      <x:c r="E109" s="10" t="n">
        <x:v>9</x:v>
      </x:c>
      <x:c r="F109" s="10" t="n">
        <x:v>8</x:v>
      </x:c>
      <x:c r="G109" s="10" t="n">
        <x:v>1</x:v>
      </x:c>
      <x:c r="H109" s="10" t="n">
        <x:f>IF(G109=1,E109-D109,"")</x:f>
        <x:v>8</x:v>
      </x:c>
      <x:c r="I109" s="10" t="n">
        <x:f>MIN(F109,9)</x:f>
        <x:v>8</x:v>
      </x:c>
      <x:c r="J109" s="19" t="n">
        <x:v>0.2</x:v>
      </x:c>
      <x:c r="K109" s="2" t="n">
        <x:v>2</x:v>
      </x:c>
      <x:c r="L109" s="19" t="n">
        <x:v>0.2</x:v>
      </x:c>
      <x:c r="M109" s="19" t="n">
        <x:v>0.25</x:v>
      </x:c>
    </x:row>
    <x:row r="110" ht="23" customHeight="1">
      <x:c r="A110" s="2" t="str">
        <x:v>D020_T02_C020_G025</x:v>
      </x:c>
      <x:c r="B110" s="2" t="str">
        <x:v>A0035</x:v>
      </x:c>
      <x:c r="C110" s="2" t="str">
        <x:v>圈内</x:v>
      </x:c>
      <x:c r="D110" s="10" t="n">
        <x:v>1</x:v>
      </x:c>
      <x:c r="E110" s="10"/>
      <x:c r="F110" s="10" t="n">
        <x:v>9</x:v>
      </x:c>
      <x:c r="G110" s="10" t="n">
        <x:v>0</x:v>
      </x:c>
      <x:c r="H110" s="10" t="str">
        <x:f>IF(G110=1,E110-D110,"")</x:f>
      </x:c>
      <x:c r="I110" s="10" t="n">
        <x:f>MIN(F110,9)</x:f>
        <x:v>9</x:v>
      </x:c>
      <x:c r="J110" s="19" t="n">
        <x:v>0.2</x:v>
      </x:c>
      <x:c r="K110" s="2" t="n">
        <x:v>2</x:v>
      </x:c>
      <x:c r="L110" s="19" t="n">
        <x:v>0.2</x:v>
      </x:c>
      <x:c r="M110" s="19" t="n">
        <x:v>0.25</x:v>
      </x:c>
    </x:row>
    <x:row r="111" ht="23" customHeight="1">
      <x:c r="A111" s="2" t="str">
        <x:v>D020_T02_C020_G025</x:v>
      </x:c>
      <x:c r="B111" s="2" t="str">
        <x:v>A0040</x:v>
      </x:c>
      <x:c r="C111" s="2" t="str">
        <x:v>圈内</x:v>
      </x:c>
      <x:c r="D111" s="10" t="n">
        <x:v>1</x:v>
      </x:c>
      <x:c r="E111" s="10" t="n">
        <x:v>7</x:v>
      </x:c>
      <x:c r="F111" s="10" t="n">
        <x:v>6</x:v>
      </x:c>
      <x:c r="G111" s="10" t="n">
        <x:v>1</x:v>
      </x:c>
      <x:c r="H111" s="10" t="n">
        <x:f>IF(G111=1,E111-D111,"")</x:f>
        <x:v>6</x:v>
      </x:c>
      <x:c r="I111" s="10" t="n">
        <x:f>MIN(F111,9)</x:f>
        <x:v>6</x:v>
      </x:c>
      <x:c r="J111" s="19" t="n">
        <x:v>0.2</x:v>
      </x:c>
      <x:c r="K111" s="2" t="n">
        <x:v>2</x:v>
      </x:c>
      <x:c r="L111" s="19" t="n">
        <x:v>0.2</x:v>
      </x:c>
      <x:c r="M111" s="19" t="n">
        <x:v>0.25</x:v>
      </x:c>
    </x:row>
    <x:row r="112" ht="23" customHeight="1">
      <x:c r="A112" s="2" t="str">
        <x:v>D020_T02_C020_G025</x:v>
      </x:c>
      <x:c r="B112" s="2" t="str">
        <x:v>A0041</x:v>
      </x:c>
      <x:c r="C112" s="2" t="str">
        <x:v>圈内</x:v>
      </x:c>
      <x:c r="D112" s="10" t="n">
        <x:v>1</x:v>
      </x:c>
      <x:c r="E112" s="10"/>
      <x:c r="F112" s="10" t="n">
        <x:v>9</x:v>
      </x:c>
      <x:c r="G112" s="10" t="n">
        <x:v>0</x:v>
      </x:c>
      <x:c r="H112" s="10" t="str">
        <x:f>IF(G112=1,E112-D112,"")</x:f>
      </x:c>
      <x:c r="I112" s="10" t="n">
        <x:f>MIN(F112,9)</x:f>
        <x:v>9</x:v>
      </x:c>
      <x:c r="J112" s="19" t="n">
        <x:v>0.2</x:v>
      </x:c>
      <x:c r="K112" s="2" t="n">
        <x:v>2</x:v>
      </x:c>
      <x:c r="L112" s="19" t="n">
        <x:v>0.2</x:v>
      </x:c>
      <x:c r="M112" s="19" t="n">
        <x:v>0.25</x:v>
      </x:c>
    </x:row>
    <x:row r="113" ht="23" customHeight="1">
      <x:c r="A113" s="2" t="str">
        <x:v>D020_T02_C020_G025</x:v>
      </x:c>
      <x:c r="B113" s="2" t="str">
        <x:v>A0071</x:v>
      </x:c>
      <x:c r="C113" s="2" t="str">
        <x:v>圈内</x:v>
      </x:c>
      <x:c r="D113" s="10" t="n">
        <x:v>1</x:v>
      </x:c>
      <x:c r="E113" s="10"/>
      <x:c r="F113" s="10" t="n">
        <x:v>9</x:v>
      </x:c>
      <x:c r="G113" s="10" t="n">
        <x:v>0</x:v>
      </x:c>
      <x:c r="H113" s="10" t="str">
        <x:f>IF(G113=1,E113-D113,"")</x:f>
      </x:c>
      <x:c r="I113" s="10" t="n">
        <x:f>MIN(F113,9)</x:f>
        <x:v>9</x:v>
      </x:c>
      <x:c r="J113" s="19" t="n">
        <x:v>0.2</x:v>
      </x:c>
      <x:c r="K113" s="2" t="n">
        <x:v>2</x:v>
      </x:c>
      <x:c r="L113" s="19" t="n">
        <x:v>0.2</x:v>
      </x:c>
      <x:c r="M113" s="19" t="n">
        <x:v>0.25</x:v>
      </x:c>
    </x:row>
    <x:row r="114" ht="23" customHeight="1">
      <x:c r="A114" s="2" t="str">
        <x:v>D020_T02_C020_G025</x:v>
      </x:c>
      <x:c r="B114" s="2" t="str">
        <x:v>A0090</x:v>
      </x:c>
      <x:c r="C114" s="2" t="str">
        <x:v>圈内</x:v>
      </x:c>
      <x:c r="D114" s="10" t="n">
        <x:v>1</x:v>
      </x:c>
      <x:c r="E114" s="10" t="n">
        <x:v>6</x:v>
      </x:c>
      <x:c r="F114" s="10" t="n">
        <x:v>5</x:v>
      </x:c>
      <x:c r="G114" s="10" t="n">
        <x:v>1</x:v>
      </x:c>
      <x:c r="H114" s="10" t="n">
        <x:f>IF(G114=1,E114-D114,"")</x:f>
        <x:v>5</x:v>
      </x:c>
      <x:c r="I114" s="10" t="n">
        <x:f>MIN(F114,9)</x:f>
        <x:v>5</x:v>
      </x:c>
      <x:c r="J114" s="19" t="n">
        <x:v>0.2</x:v>
      </x:c>
      <x:c r="K114" s="2" t="n">
        <x:v>2</x:v>
      </x:c>
      <x:c r="L114" s="19" t="n">
        <x:v>0.2</x:v>
      </x:c>
      <x:c r="M114" s="19" t="n">
        <x:v>0.25</x:v>
      </x:c>
    </x:row>
    <x:row r="115" ht="23" customHeight="1">
      <x:c r="A115" s="2" t="str">
        <x:v>D020_T02_C020_G025</x:v>
      </x:c>
      <x:c r="B115" s="2" t="str">
        <x:v>A0206</x:v>
      </x:c>
      <x:c r="C115" s="2" t="str">
        <x:v>圈内</x:v>
      </x:c>
      <x:c r="D115" s="10" t="n">
        <x:v>1</x:v>
      </x:c>
      <x:c r="E115" s="10" t="n">
        <x:v>3</x:v>
      </x:c>
      <x:c r="F115" s="10" t="n">
        <x:v>2</x:v>
      </x:c>
      <x:c r="G115" s="10" t="n">
        <x:v>1</x:v>
      </x:c>
      <x:c r="H115" s="10" t="n">
        <x:f>IF(G115=1,E115-D115,"")</x:f>
        <x:v>2</x:v>
      </x:c>
      <x:c r="I115" s="10" t="n">
        <x:f>MIN(F115,9)</x:f>
        <x:v>2</x:v>
      </x:c>
      <x:c r="J115" s="19" t="n">
        <x:v>0.2</x:v>
      </x:c>
      <x:c r="K115" s="2" t="n">
        <x:v>2</x:v>
      </x:c>
      <x:c r="L115" s="19" t="n">
        <x:v>0.2</x:v>
      </x:c>
      <x:c r="M115" s="19" t="n">
        <x:v>0.25</x:v>
      </x:c>
    </x:row>
    <x:row r="116" ht="23" customHeight="1">
      <x:c r="A116" s="2" t="str">
        <x:v>D020_T02_C020_G050</x:v>
      </x:c>
      <x:c r="B116" s="2" t="str">
        <x:v>A0001</x:v>
      </x:c>
      <x:c r="C116" s="2" t="str">
        <x:v>圈内</x:v>
      </x:c>
      <x:c r="D116" s="10" t="n">
        <x:v>1</x:v>
      </x:c>
      <x:c r="E116" s="10" t="n">
        <x:v>3</x:v>
      </x:c>
      <x:c r="F116" s="10" t="n">
        <x:v>2</x:v>
      </x:c>
      <x:c r="G116" s="10" t="n">
        <x:v>1</x:v>
      </x:c>
      <x:c r="H116" s="10" t="n">
        <x:f>IF(G116=1,E116-D116,"")</x:f>
        <x:v>2</x:v>
      </x:c>
      <x:c r="I116" s="10" t="n">
        <x:f>MIN(F116,9)</x:f>
        <x:v>2</x:v>
      </x:c>
      <x:c r="J116" s="19" t="n">
        <x:v>0.2</x:v>
      </x:c>
      <x:c r="K116" s="2" t="n">
        <x:v>2</x:v>
      </x:c>
      <x:c r="L116" s="19" t="n">
        <x:v>0.2</x:v>
      </x:c>
      <x:c r="M116" s="19" t="n">
        <x:v>0.5</x:v>
      </x:c>
    </x:row>
    <x:row r="117" ht="23" customHeight="1">
      <x:c r="A117" s="2" t="str">
        <x:v>D020_T02_C020_G050</x:v>
      </x:c>
      <x:c r="B117" s="2" t="str">
        <x:v>A0005</x:v>
      </x:c>
      <x:c r="C117" s="2" t="str">
        <x:v>圈内</x:v>
      </x:c>
      <x:c r="D117" s="10" t="n">
        <x:v>1</x:v>
      </x:c>
      <x:c r="E117" s="10"/>
      <x:c r="F117" s="10" t="n">
        <x:v>9</x:v>
      </x:c>
      <x:c r="G117" s="10" t="n">
        <x:v>0</x:v>
      </x:c>
      <x:c r="H117" s="10" t="str">
        <x:f>IF(G117=1,E117-D117,"")</x:f>
      </x:c>
      <x:c r="I117" s="10" t="n">
        <x:f>MIN(F117,9)</x:f>
        <x:v>9</x:v>
      </x:c>
      <x:c r="J117" s="19" t="n">
        <x:v>0.2</x:v>
      </x:c>
      <x:c r="K117" s="2" t="n">
        <x:v>2</x:v>
      </x:c>
      <x:c r="L117" s="19" t="n">
        <x:v>0.2</x:v>
      </x:c>
      <x:c r="M117" s="19" t="n">
        <x:v>0.5</x:v>
      </x:c>
    </x:row>
    <x:row r="118" ht="23" customHeight="1">
      <x:c r="A118" s="2" t="str">
        <x:v>D020_T02_C020_G050</x:v>
      </x:c>
      <x:c r="B118" s="2" t="str">
        <x:v>A0011</x:v>
      </x:c>
      <x:c r="C118" s="2" t="str">
        <x:v>圈内</x:v>
      </x:c>
      <x:c r="D118" s="10" t="n">
        <x:v>1</x:v>
      </x:c>
      <x:c r="E118" s="10" t="n">
        <x:v>3</x:v>
      </x:c>
      <x:c r="F118" s="10" t="n">
        <x:v>2</x:v>
      </x:c>
      <x:c r="G118" s="10" t="n">
        <x:v>1</x:v>
      </x:c>
      <x:c r="H118" s="10" t="n">
        <x:f>IF(G118=1,E118-D118,"")</x:f>
        <x:v>2</x:v>
      </x:c>
      <x:c r="I118" s="10" t="n">
        <x:f>MIN(F118,9)</x:f>
        <x:v>2</x:v>
      </x:c>
      <x:c r="J118" s="19" t="n">
        <x:v>0.2</x:v>
      </x:c>
      <x:c r="K118" s="2" t="n">
        <x:v>2</x:v>
      </x:c>
      <x:c r="L118" s="19" t="n">
        <x:v>0.2</x:v>
      </x:c>
      <x:c r="M118" s="19" t="n">
        <x:v>0.5</x:v>
      </x:c>
    </x:row>
    <x:row r="119" ht="23" customHeight="1">
      <x:c r="A119" s="2" t="str">
        <x:v>D020_T02_C020_G050</x:v>
      </x:c>
      <x:c r="B119" s="2" t="str">
        <x:v>A0012</x:v>
      </x:c>
      <x:c r="C119" s="2" t="str">
        <x:v>圈内</x:v>
      </x:c>
      <x:c r="D119" s="10" t="n">
        <x:v>1</x:v>
      </x:c>
      <x:c r="E119" s="10"/>
      <x:c r="F119" s="10" t="n">
        <x:v>9</x:v>
      </x:c>
      <x:c r="G119" s="10" t="n">
        <x:v>0</x:v>
      </x:c>
      <x:c r="H119" s="10" t="str">
        <x:f>IF(G119=1,E119-D119,"")</x:f>
      </x:c>
      <x:c r="I119" s="10" t="n">
        <x:f>MIN(F119,9)</x:f>
        <x:v>9</x:v>
      </x:c>
      <x:c r="J119" s="19" t="n">
        <x:v>0.2</x:v>
      </x:c>
      <x:c r="K119" s="2" t="n">
        <x:v>2</x:v>
      </x:c>
      <x:c r="L119" s="19" t="n">
        <x:v>0.2</x:v>
      </x:c>
      <x:c r="M119" s="19" t="n">
        <x:v>0.5</x:v>
      </x:c>
    </x:row>
    <x:row r="120" ht="23" customHeight="1">
      <x:c r="A120" s="2" t="str">
        <x:v>D020_T02_C020_G050</x:v>
      </x:c>
      <x:c r="B120" s="2" t="str">
        <x:v>A0014</x:v>
      </x:c>
      <x:c r="C120" s="2" t="str">
        <x:v>圈内</x:v>
      </x:c>
      <x:c r="D120" s="10" t="n">
        <x:v>1</x:v>
      </x:c>
      <x:c r="E120" s="10" t="n">
        <x:v>2</x:v>
      </x:c>
      <x:c r="F120" s="10" t="n">
        <x:v>1</x:v>
      </x:c>
      <x:c r="G120" s="10" t="n">
        <x:v>1</x:v>
      </x:c>
      <x:c r="H120" s="10" t="n">
        <x:f>IF(G120=1,E120-D120,"")</x:f>
        <x:v>1</x:v>
      </x:c>
      <x:c r="I120" s="10" t="n">
        <x:f>MIN(F120,9)</x:f>
        <x:v>1</x:v>
      </x:c>
      <x:c r="J120" s="19" t="n">
        <x:v>0.2</x:v>
      </x:c>
      <x:c r="K120" s="2" t="n">
        <x:v>2</x:v>
      </x:c>
      <x:c r="L120" s="19" t="n">
        <x:v>0.2</x:v>
      </x:c>
      <x:c r="M120" s="19" t="n">
        <x:v>0.5</x:v>
      </x:c>
    </x:row>
    <x:row r="121" ht="23" customHeight="1">
      <x:c r="A121" s="2" t="str">
        <x:v>D020_T02_C020_G050</x:v>
      </x:c>
      <x:c r="B121" s="2" t="str">
        <x:v>A0017</x:v>
      </x:c>
      <x:c r="C121" s="2" t="str">
        <x:v>圈内</x:v>
      </x:c>
      <x:c r="D121" s="10" t="n">
        <x:v>1</x:v>
      </x:c>
      <x:c r="E121" s="10" t="n">
        <x:v>4</x:v>
      </x:c>
      <x:c r="F121" s="10" t="n">
        <x:v>3</x:v>
      </x:c>
      <x:c r="G121" s="10" t="n">
        <x:v>1</x:v>
      </x:c>
      <x:c r="H121" s="10" t="n">
        <x:f>IF(G121=1,E121-D121,"")</x:f>
        <x:v>3</x:v>
      </x:c>
      <x:c r="I121" s="10" t="n">
        <x:f>MIN(F121,9)</x:f>
        <x:v>3</x:v>
      </x:c>
      <x:c r="J121" s="19" t="n">
        <x:v>0.2</x:v>
      </x:c>
      <x:c r="K121" s="2" t="n">
        <x:v>2</x:v>
      </x:c>
      <x:c r="L121" s="19" t="n">
        <x:v>0.2</x:v>
      </x:c>
      <x:c r="M121" s="19" t="n">
        <x:v>0.5</x:v>
      </x:c>
    </x:row>
    <x:row r="122" ht="23" customHeight="1">
      <x:c r="A122" s="2" t="str">
        <x:v>D020_T02_C020_G050</x:v>
      </x:c>
      <x:c r="B122" s="2" t="str">
        <x:v>A0019</x:v>
      </x:c>
      <x:c r="C122" s="2" t="str">
        <x:v>圈内</x:v>
      </x:c>
      <x:c r="D122" s="10" t="n">
        <x:v>1</x:v>
      </x:c>
      <x:c r="E122" s="10"/>
      <x:c r="F122" s="10" t="n">
        <x:v>9</x:v>
      </x:c>
      <x:c r="G122" s="10" t="n">
        <x:v>0</x:v>
      </x:c>
      <x:c r="H122" s="10" t="str">
        <x:f>IF(G122=1,E122-D122,"")</x:f>
      </x:c>
      <x:c r="I122" s="10" t="n">
        <x:f>MIN(F122,9)</x:f>
        <x:v>9</x:v>
      </x:c>
      <x:c r="J122" s="19" t="n">
        <x:v>0.2</x:v>
      </x:c>
      <x:c r="K122" s="2" t="n">
        <x:v>2</x:v>
      </x:c>
      <x:c r="L122" s="19" t="n">
        <x:v>0.2</x:v>
      </x:c>
      <x:c r="M122" s="19" t="n">
        <x:v>0.5</x:v>
      </x:c>
    </x:row>
    <x:row r="123" ht="23" customHeight="1">
      <x:c r="A123" s="2" t="str">
        <x:v>D020_T02_C020_G050</x:v>
      </x:c>
      <x:c r="B123" s="2" t="str">
        <x:v>A0025</x:v>
      </x:c>
      <x:c r="C123" s="2" t="str">
        <x:v>圈内</x:v>
      </x:c>
      <x:c r="D123" s="10" t="n">
        <x:v>1</x:v>
      </x:c>
      <x:c r="E123" s="10" t="n">
        <x:v>2</x:v>
      </x:c>
      <x:c r="F123" s="10" t="n">
        <x:v>1</x:v>
      </x:c>
      <x:c r="G123" s="10" t="n">
        <x:v>1</x:v>
      </x:c>
      <x:c r="H123" s="10" t="n">
        <x:f>IF(G123=1,E123-D123,"")</x:f>
        <x:v>1</x:v>
      </x:c>
      <x:c r="I123" s="10" t="n">
        <x:f>MIN(F123,9)</x:f>
        <x:v>1</x:v>
      </x:c>
      <x:c r="J123" s="19" t="n">
        <x:v>0.2</x:v>
      </x:c>
      <x:c r="K123" s="2" t="n">
        <x:v>2</x:v>
      </x:c>
      <x:c r="L123" s="19" t="n">
        <x:v>0.2</x:v>
      </x:c>
      <x:c r="M123" s="19" t="n">
        <x:v>0.5</x:v>
      </x:c>
    </x:row>
    <x:row r="124" ht="23" customHeight="1">
      <x:c r="A124" s="2" t="str">
        <x:v>D020_T02_C020_G050</x:v>
      </x:c>
      <x:c r="B124" s="2" t="str">
        <x:v>A0032</x:v>
      </x:c>
      <x:c r="C124" s="2" t="str">
        <x:v>圈内</x:v>
      </x:c>
      <x:c r="D124" s="10" t="n">
        <x:v>1</x:v>
      </x:c>
      <x:c r="E124" s="10" t="n">
        <x:v>2</x:v>
      </x:c>
      <x:c r="F124" s="10" t="n">
        <x:v>1</x:v>
      </x:c>
      <x:c r="G124" s="10" t="n">
        <x:v>1</x:v>
      </x:c>
      <x:c r="H124" s="10" t="n">
        <x:f>IF(G124=1,E124-D124,"")</x:f>
        <x:v>1</x:v>
      </x:c>
      <x:c r="I124" s="10" t="n">
        <x:f>MIN(F124,9)</x:f>
        <x:v>1</x:v>
      </x:c>
      <x:c r="J124" s="19" t="n">
        <x:v>0.2</x:v>
      </x:c>
      <x:c r="K124" s="2" t="n">
        <x:v>2</x:v>
      </x:c>
      <x:c r="L124" s="19" t="n">
        <x:v>0.2</x:v>
      </x:c>
      <x:c r="M124" s="19" t="n">
        <x:v>0.5</x:v>
      </x:c>
    </x:row>
    <x:row r="125" ht="23" customHeight="1">
      <x:c r="A125" s="2" t="str">
        <x:v>D020_T02_C020_G050</x:v>
      </x:c>
      <x:c r="B125" s="2" t="str">
        <x:v>A0034</x:v>
      </x:c>
      <x:c r="C125" s="2" t="str">
        <x:v>圈内</x:v>
      </x:c>
      <x:c r="D125" s="10" t="n">
        <x:v>1</x:v>
      </x:c>
      <x:c r="E125" s="10" t="n">
        <x:v>5</x:v>
      </x:c>
      <x:c r="F125" s="10" t="n">
        <x:v>4</x:v>
      </x:c>
      <x:c r="G125" s="10" t="n">
        <x:v>1</x:v>
      </x:c>
      <x:c r="H125" s="10" t="n">
        <x:f>IF(G125=1,E125-D125,"")</x:f>
        <x:v>4</x:v>
      </x:c>
      <x:c r="I125" s="10" t="n">
        <x:f>MIN(F125,9)</x:f>
        <x:v>4</x:v>
      </x:c>
      <x:c r="J125" s="19" t="n">
        <x:v>0.2</x:v>
      </x:c>
      <x:c r="K125" s="2" t="n">
        <x:v>2</x:v>
      </x:c>
      <x:c r="L125" s="19" t="n">
        <x:v>0.2</x:v>
      </x:c>
      <x:c r="M125" s="19" t="n">
        <x:v>0.5</x:v>
      </x:c>
    </x:row>
    <x:row r="126" ht="23" customHeight="1">
      <x:c r="A126" s="2" t="str">
        <x:v>D020_T02_C020_G050</x:v>
      </x:c>
      <x:c r="B126" s="2" t="str">
        <x:v>A0035</x:v>
      </x:c>
      <x:c r="C126" s="2" t="str">
        <x:v>圈内</x:v>
      </x:c>
      <x:c r="D126" s="10" t="n">
        <x:v>1</x:v>
      </x:c>
      <x:c r="E126" s="10" t="n">
        <x:v>5</x:v>
      </x:c>
      <x:c r="F126" s="10" t="n">
        <x:v>4</x:v>
      </x:c>
      <x:c r="G126" s="10" t="n">
        <x:v>1</x:v>
      </x:c>
      <x:c r="H126" s="10" t="n">
        <x:f>IF(G126=1,E126-D126,"")</x:f>
        <x:v>4</x:v>
      </x:c>
      <x:c r="I126" s="10" t="n">
        <x:f>MIN(F126,9)</x:f>
        <x:v>4</x:v>
      </x:c>
      <x:c r="J126" s="19" t="n">
        <x:v>0.2</x:v>
      </x:c>
      <x:c r="K126" s="2" t="n">
        <x:v>2</x:v>
      </x:c>
      <x:c r="L126" s="19" t="n">
        <x:v>0.2</x:v>
      </x:c>
      <x:c r="M126" s="19" t="n">
        <x:v>0.5</x:v>
      </x:c>
    </x:row>
    <x:row r="127" ht="23" customHeight="1">
      <x:c r="A127" s="2" t="str">
        <x:v>D020_T02_C020_G050</x:v>
      </x:c>
      <x:c r="B127" s="2" t="str">
        <x:v>A0037</x:v>
      </x:c>
      <x:c r="C127" s="2" t="str">
        <x:v>圈内</x:v>
      </x:c>
      <x:c r="D127" s="10" t="n">
        <x:v>1</x:v>
      </x:c>
      <x:c r="E127" s="10"/>
      <x:c r="F127" s="10" t="n">
        <x:v>9</x:v>
      </x:c>
      <x:c r="G127" s="10" t="n">
        <x:v>0</x:v>
      </x:c>
      <x:c r="H127" s="10" t="str">
        <x:f>IF(G127=1,E127-D127,"")</x:f>
      </x:c>
      <x:c r="I127" s="10" t="n">
        <x:f>MIN(F127,9)</x:f>
        <x:v>9</x:v>
      </x:c>
      <x:c r="J127" s="19" t="n">
        <x:v>0.2</x:v>
      </x:c>
      <x:c r="K127" s="2" t="n">
        <x:v>2</x:v>
      </x:c>
      <x:c r="L127" s="19" t="n">
        <x:v>0.2</x:v>
      </x:c>
      <x:c r="M127" s="19" t="n">
        <x:v>0.5</x:v>
      </x:c>
    </x:row>
    <x:row r="128" ht="23" customHeight="1">
      <x:c r="A128" s="2" t="str">
        <x:v>D020_T02_C020_G050</x:v>
      </x:c>
      <x:c r="B128" s="2" t="str">
        <x:v>A0041</x:v>
      </x:c>
      <x:c r="C128" s="2" t="str">
        <x:v>圈内</x:v>
      </x:c>
      <x:c r="D128" s="10" t="n">
        <x:v>1</x:v>
      </x:c>
      <x:c r="E128" s="10"/>
      <x:c r="F128" s="10" t="n">
        <x:v>9</x:v>
      </x:c>
      <x:c r="G128" s="10" t="n">
        <x:v>0</x:v>
      </x:c>
      <x:c r="H128" s="10" t="str">
        <x:f>IF(G128=1,E128-D128,"")</x:f>
      </x:c>
      <x:c r="I128" s="10" t="n">
        <x:f>MIN(F128,9)</x:f>
        <x:v>9</x:v>
      </x:c>
      <x:c r="J128" s="19" t="n">
        <x:v>0.2</x:v>
      </x:c>
      <x:c r="K128" s="2" t="n">
        <x:v>2</x:v>
      </x:c>
      <x:c r="L128" s="19" t="n">
        <x:v>0.2</x:v>
      </x:c>
      <x:c r="M128" s="19" t="n">
        <x:v>0.5</x:v>
      </x:c>
    </x:row>
    <x:row r="129" ht="23" customHeight="1">
      <x:c r="A129" s="2" t="str">
        <x:v>D020_T02_C020_G050</x:v>
      </x:c>
      <x:c r="B129" s="2" t="str">
        <x:v>A0090</x:v>
      </x:c>
      <x:c r="C129" s="2" t="str">
        <x:v>圈内</x:v>
      </x:c>
      <x:c r="D129" s="10" t="n">
        <x:v>1</x:v>
      </x:c>
      <x:c r="E129" s="10" t="n">
        <x:v>5</x:v>
      </x:c>
      <x:c r="F129" s="10" t="n">
        <x:v>4</x:v>
      </x:c>
      <x:c r="G129" s="10" t="n">
        <x:v>1</x:v>
      </x:c>
      <x:c r="H129" s="10" t="n">
        <x:f>IF(G129=1,E129-D129,"")</x:f>
        <x:v>4</x:v>
      </x:c>
      <x:c r="I129" s="10" t="n">
        <x:f>MIN(F129,9)</x:f>
        <x:v>4</x:v>
      </x:c>
      <x:c r="J129" s="19" t="n">
        <x:v>0.2</x:v>
      </x:c>
      <x:c r="K129" s="2" t="n">
        <x:v>2</x:v>
      </x:c>
      <x:c r="L129" s="19" t="n">
        <x:v>0.2</x:v>
      </x:c>
      <x:c r="M129" s="19" t="n">
        <x:v>0.5</x:v>
      </x:c>
    </x:row>
    <x:row r="130" ht="23" customHeight="1">
      <x:c r="A130" s="2" t="str">
        <x:v>D020_T02_C020_G050</x:v>
      </x:c>
      <x:c r="B130" s="2" t="str">
        <x:v>A0206</x:v>
      </x:c>
      <x:c r="C130" s="2" t="str">
        <x:v>圈内</x:v>
      </x:c>
      <x:c r="D130" s="10" t="n">
        <x:v>1</x:v>
      </x:c>
      <x:c r="E130" s="10" t="n">
        <x:v>2</x:v>
      </x:c>
      <x:c r="F130" s="10" t="n">
        <x:v>1</x:v>
      </x:c>
      <x:c r="G130" s="10" t="n">
        <x:v>1</x:v>
      </x:c>
      <x:c r="H130" s="10" t="n">
        <x:f>IF(G130=1,E130-D130,"")</x:f>
        <x:v>1</x:v>
      </x:c>
      <x:c r="I130" s="10" t="n">
        <x:f>MIN(F130,9)</x:f>
        <x:v>1</x:v>
      </x:c>
      <x:c r="J130" s="19" t="n">
        <x:v>0.2</x:v>
      </x:c>
      <x:c r="K130" s="2" t="n">
        <x:v>2</x:v>
      </x:c>
      <x:c r="L130" s="19" t="n">
        <x:v>0.2</x:v>
      </x:c>
      <x:c r="M130" s="19" t="n">
        <x:v>0.5</x:v>
      </x:c>
    </x:row>
    <x:row r="131" ht="23" customHeight="1">
      <x:c r="A131" s="2" t="str">
        <x:v>D020_T02_C020_G075</x:v>
      </x:c>
      <x:c r="B131" s="2" t="str">
        <x:v>A0003</x:v>
      </x:c>
      <x:c r="C131" s="2" t="str">
        <x:v>圈内</x:v>
      </x:c>
      <x:c r="D131" s="10" t="n">
        <x:v>1</x:v>
      </x:c>
      <x:c r="E131" s="10" t="n">
        <x:v>2</x:v>
      </x:c>
      <x:c r="F131" s="10" t="n">
        <x:v>1</x:v>
      </x:c>
      <x:c r="G131" s="10" t="n">
        <x:v>1</x:v>
      </x:c>
      <x:c r="H131" s="10" t="n">
        <x:f>IF(G131=1,E131-D131,"")</x:f>
        <x:v>1</x:v>
      </x:c>
      <x:c r="I131" s="10" t="n">
        <x:f>MIN(F131,9)</x:f>
        <x:v>1</x:v>
      </x:c>
      <x:c r="J131" s="19" t="n">
        <x:v>0.2</x:v>
      </x:c>
      <x:c r="K131" s="2" t="n">
        <x:v>2</x:v>
      </x:c>
      <x:c r="L131" s="19" t="n">
        <x:v>0.2</x:v>
      </x:c>
      <x:c r="M131" s="19" t="n">
        <x:v>0.75</x:v>
      </x:c>
    </x:row>
    <x:row r="132" ht="23" customHeight="1">
      <x:c r="A132" s="2" t="str">
        <x:v>D020_T02_C020_G075</x:v>
      </x:c>
      <x:c r="B132" s="2" t="str">
        <x:v>A0011</x:v>
      </x:c>
      <x:c r="C132" s="2" t="str">
        <x:v>圈内</x:v>
      </x:c>
      <x:c r="D132" s="10" t="n">
        <x:v>1</x:v>
      </x:c>
      <x:c r="E132" s="10" t="n">
        <x:v>2</x:v>
      </x:c>
      <x:c r="F132" s="10" t="n">
        <x:v>1</x:v>
      </x:c>
      <x:c r="G132" s="10" t="n">
        <x:v>1</x:v>
      </x:c>
      <x:c r="H132" s="10" t="n">
        <x:f>IF(G132=1,E132-D132,"")</x:f>
        <x:v>1</x:v>
      </x:c>
      <x:c r="I132" s="10" t="n">
        <x:f>MIN(F132,9)</x:f>
        <x:v>1</x:v>
      </x:c>
      <x:c r="J132" s="19" t="n">
        <x:v>0.2</x:v>
      </x:c>
      <x:c r="K132" s="2" t="n">
        <x:v>2</x:v>
      </x:c>
      <x:c r="L132" s="19" t="n">
        <x:v>0.2</x:v>
      </x:c>
      <x:c r="M132" s="19" t="n">
        <x:v>0.75</x:v>
      </x:c>
    </x:row>
    <x:row r="133" ht="23" customHeight="1">
      <x:c r="A133" s="2" t="str">
        <x:v>D020_T02_C020_G075</x:v>
      </x:c>
      <x:c r="B133" s="2" t="str">
        <x:v>A0012</x:v>
      </x:c>
      <x:c r="C133" s="2" t="str">
        <x:v>圈内</x:v>
      </x:c>
      <x:c r="D133" s="10" t="n">
        <x:v>1</x:v>
      </x:c>
      <x:c r="E133" s="10" t="n">
        <x:v>3</x:v>
      </x:c>
      <x:c r="F133" s="10" t="n">
        <x:v>2</x:v>
      </x:c>
      <x:c r="G133" s="10" t="n">
        <x:v>1</x:v>
      </x:c>
      <x:c r="H133" s="10" t="n">
        <x:f>IF(G133=1,E133-D133,"")</x:f>
        <x:v>2</x:v>
      </x:c>
      <x:c r="I133" s="10" t="n">
        <x:f>MIN(F133,9)</x:f>
        <x:v>2</x:v>
      </x:c>
      <x:c r="J133" s="19" t="n">
        <x:v>0.2</x:v>
      </x:c>
      <x:c r="K133" s="2" t="n">
        <x:v>2</x:v>
      </x:c>
      <x:c r="L133" s="19" t="n">
        <x:v>0.2</x:v>
      </x:c>
      <x:c r="M133" s="19" t="n">
        <x:v>0.75</x:v>
      </x:c>
    </x:row>
    <x:row r="134" ht="23" customHeight="1">
      <x:c r="A134" s="2" t="str">
        <x:v>D020_T02_C020_G075</x:v>
      </x:c>
      <x:c r="B134" s="2" t="str">
        <x:v>A0017</x:v>
      </x:c>
      <x:c r="C134" s="2" t="str">
        <x:v>圈内</x:v>
      </x:c>
      <x:c r="D134" s="10" t="n">
        <x:v>1</x:v>
      </x:c>
      <x:c r="E134" s="10" t="n">
        <x:v>4</x:v>
      </x:c>
      <x:c r="F134" s="10" t="n">
        <x:v>3</x:v>
      </x:c>
      <x:c r="G134" s="10" t="n">
        <x:v>1</x:v>
      </x:c>
      <x:c r="H134" s="10" t="n">
        <x:f>IF(G134=1,E134-D134,"")</x:f>
        <x:v>3</x:v>
      </x:c>
      <x:c r="I134" s="10" t="n">
        <x:f>MIN(F134,9)</x:f>
        <x:v>3</x:v>
      </x:c>
      <x:c r="J134" s="19" t="n">
        <x:v>0.2</x:v>
      </x:c>
      <x:c r="K134" s="2" t="n">
        <x:v>2</x:v>
      </x:c>
      <x:c r="L134" s="19" t="n">
        <x:v>0.2</x:v>
      </x:c>
      <x:c r="M134" s="19" t="n">
        <x:v>0.75</x:v>
      </x:c>
    </x:row>
    <x:row r="135" ht="23" customHeight="1">
      <x:c r="A135" s="2" t="str">
        <x:v>D020_T02_C020_G075</x:v>
      </x:c>
      <x:c r="B135" s="2" t="str">
        <x:v>A0018</x:v>
      </x:c>
      <x:c r="C135" s="2" t="str">
        <x:v>圈内</x:v>
      </x:c>
      <x:c r="D135" s="10" t="n">
        <x:v>1</x:v>
      </x:c>
      <x:c r="E135" s="10" t="n">
        <x:v>4</x:v>
      </x:c>
      <x:c r="F135" s="10" t="n">
        <x:v>3</x:v>
      </x:c>
      <x:c r="G135" s="10" t="n">
        <x:v>1</x:v>
      </x:c>
      <x:c r="H135" s="10" t="n">
        <x:f>IF(G135=1,E135-D135,"")</x:f>
        <x:v>3</x:v>
      </x:c>
      <x:c r="I135" s="10" t="n">
        <x:f>MIN(F135,9)</x:f>
        <x:v>3</x:v>
      </x:c>
      <x:c r="J135" s="19" t="n">
        <x:v>0.2</x:v>
      </x:c>
      <x:c r="K135" s="2" t="n">
        <x:v>2</x:v>
      </x:c>
      <x:c r="L135" s="19" t="n">
        <x:v>0.2</x:v>
      </x:c>
      <x:c r="M135" s="19" t="n">
        <x:v>0.75</x:v>
      </x:c>
    </x:row>
    <x:row r="136" ht="23" customHeight="1">
      <x:c r="A136" s="2" t="str">
        <x:v>D020_T02_C020_G075</x:v>
      </x:c>
      <x:c r="B136" s="2" t="str">
        <x:v>A0027</x:v>
      </x:c>
      <x:c r="C136" s="2" t="str">
        <x:v>圈内</x:v>
      </x:c>
      <x:c r="D136" s="10" t="n">
        <x:v>1</x:v>
      </x:c>
      <x:c r="E136" s="10" t="n">
        <x:v>4</x:v>
      </x:c>
      <x:c r="F136" s="10" t="n">
        <x:v>3</x:v>
      </x:c>
      <x:c r="G136" s="10" t="n">
        <x:v>1</x:v>
      </x:c>
      <x:c r="H136" s="10" t="n">
        <x:f>IF(G136=1,E136-D136,"")</x:f>
        <x:v>3</x:v>
      </x:c>
      <x:c r="I136" s="10" t="n">
        <x:f>MIN(F136,9)</x:f>
        <x:v>3</x:v>
      </x:c>
      <x:c r="J136" s="19" t="n">
        <x:v>0.2</x:v>
      </x:c>
      <x:c r="K136" s="2" t="n">
        <x:v>2</x:v>
      </x:c>
      <x:c r="L136" s="19" t="n">
        <x:v>0.2</x:v>
      </x:c>
      <x:c r="M136" s="19" t="n">
        <x:v>0.75</x:v>
      </x:c>
    </x:row>
    <x:row r="137" ht="23" customHeight="1">
      <x:c r="A137" s="2" t="str">
        <x:v>D020_T02_C020_G075</x:v>
      </x:c>
      <x:c r="B137" s="2" t="str">
        <x:v>A0030</x:v>
      </x:c>
      <x:c r="C137" s="2" t="str">
        <x:v>圈内</x:v>
      </x:c>
      <x:c r="D137" s="10" t="n">
        <x:v>1</x:v>
      </x:c>
      <x:c r="E137" s="10" t="n">
        <x:v>4</x:v>
      </x:c>
      <x:c r="F137" s="10" t="n">
        <x:v>3</x:v>
      </x:c>
      <x:c r="G137" s="10" t="n">
        <x:v>1</x:v>
      </x:c>
      <x:c r="H137" s="10" t="n">
        <x:f>IF(G137=1,E137-D137,"")</x:f>
        <x:v>3</x:v>
      </x:c>
      <x:c r="I137" s="10" t="n">
        <x:f>MIN(F137,9)</x:f>
        <x:v>3</x:v>
      </x:c>
      <x:c r="J137" s="19" t="n">
        <x:v>0.2</x:v>
      </x:c>
      <x:c r="K137" s="2" t="n">
        <x:v>2</x:v>
      </x:c>
      <x:c r="L137" s="19" t="n">
        <x:v>0.2</x:v>
      </x:c>
      <x:c r="M137" s="19" t="n">
        <x:v>0.75</x:v>
      </x:c>
    </x:row>
    <x:row r="138" ht="23" customHeight="1">
      <x:c r="A138" s="2" t="str">
        <x:v>D020_T02_C020_G075</x:v>
      </x:c>
      <x:c r="B138" s="2" t="str">
        <x:v>A0032</x:v>
      </x:c>
      <x:c r="C138" s="2" t="str">
        <x:v>圈内</x:v>
      </x:c>
      <x:c r="D138" s="10" t="n">
        <x:v>1</x:v>
      </x:c>
      <x:c r="E138" s="10" t="n">
        <x:v>2</x:v>
      </x:c>
      <x:c r="F138" s="10" t="n">
        <x:v>1</x:v>
      </x:c>
      <x:c r="G138" s="10" t="n">
        <x:v>1</x:v>
      </x:c>
      <x:c r="H138" s="10" t="n">
        <x:f>IF(G138=1,E138-D138,"")</x:f>
        <x:v>1</x:v>
      </x:c>
      <x:c r="I138" s="10" t="n">
        <x:f>MIN(F138,9)</x:f>
        <x:v>1</x:v>
      </x:c>
      <x:c r="J138" s="19" t="n">
        <x:v>0.2</x:v>
      </x:c>
      <x:c r="K138" s="2" t="n">
        <x:v>2</x:v>
      </x:c>
      <x:c r="L138" s="19" t="n">
        <x:v>0.2</x:v>
      </x:c>
      <x:c r="M138" s="19" t="n">
        <x:v>0.75</x:v>
      </x:c>
    </x:row>
    <x:row r="139" ht="23" customHeight="1">
      <x:c r="A139" s="2" t="str">
        <x:v>D020_T02_C020_G075</x:v>
      </x:c>
      <x:c r="B139" s="2" t="str">
        <x:v>A0034</x:v>
      </x:c>
      <x:c r="C139" s="2" t="str">
        <x:v>圈内</x:v>
      </x:c>
      <x:c r="D139" s="10" t="n">
        <x:v>1</x:v>
      </x:c>
      <x:c r="E139" s="10"/>
      <x:c r="F139" s="10" t="n">
        <x:v>9</x:v>
      </x:c>
      <x:c r="G139" s="10" t="n">
        <x:v>0</x:v>
      </x:c>
      <x:c r="H139" s="10" t="str">
        <x:f>IF(G139=1,E139-D139,"")</x:f>
      </x:c>
      <x:c r="I139" s="10" t="n">
        <x:f>MIN(F139,9)</x:f>
        <x:v>9</x:v>
      </x:c>
      <x:c r="J139" s="19" t="n">
        <x:v>0.2</x:v>
      </x:c>
      <x:c r="K139" s="2" t="n">
        <x:v>2</x:v>
      </x:c>
      <x:c r="L139" s="19" t="n">
        <x:v>0.2</x:v>
      </x:c>
      <x:c r="M139" s="19" t="n">
        <x:v>0.75</x:v>
      </x:c>
    </x:row>
    <x:row r="140" ht="23" customHeight="1">
      <x:c r="A140" s="2" t="str">
        <x:v>D020_T02_C020_G075</x:v>
      </x:c>
      <x:c r="B140" s="2" t="str">
        <x:v>A0035</x:v>
      </x:c>
      <x:c r="C140" s="2" t="str">
        <x:v>圈内</x:v>
      </x:c>
      <x:c r="D140" s="10" t="n">
        <x:v>1</x:v>
      </x:c>
      <x:c r="E140" s="10" t="n">
        <x:v>4</x:v>
      </x:c>
      <x:c r="F140" s="10" t="n">
        <x:v>3</x:v>
      </x:c>
      <x:c r="G140" s="10" t="n">
        <x:v>1</x:v>
      </x:c>
      <x:c r="H140" s="10" t="n">
        <x:f>IF(G140=1,E140-D140,"")</x:f>
        <x:v>3</x:v>
      </x:c>
      <x:c r="I140" s="10" t="n">
        <x:f>MIN(F140,9)</x:f>
        <x:v>3</x:v>
      </x:c>
      <x:c r="J140" s="19" t="n">
        <x:v>0.2</x:v>
      </x:c>
      <x:c r="K140" s="2" t="n">
        <x:v>2</x:v>
      </x:c>
      <x:c r="L140" s="19" t="n">
        <x:v>0.2</x:v>
      </x:c>
      <x:c r="M140" s="19" t="n">
        <x:v>0.75</x:v>
      </x:c>
    </x:row>
    <x:row r="141" ht="23" customHeight="1">
      <x:c r="A141" s="2" t="str">
        <x:v>D020_T02_C020_G075</x:v>
      </x:c>
      <x:c r="B141" s="2" t="str">
        <x:v>A0037</x:v>
      </x:c>
      <x:c r="C141" s="2" t="str">
        <x:v>圈内</x:v>
      </x:c>
      <x:c r="D141" s="10" t="n">
        <x:v>1</x:v>
      </x:c>
      <x:c r="E141" s="10" t="n">
        <x:v>3</x:v>
      </x:c>
      <x:c r="F141" s="10" t="n">
        <x:v>2</x:v>
      </x:c>
      <x:c r="G141" s="10" t="n">
        <x:v>1</x:v>
      </x:c>
      <x:c r="H141" s="10" t="n">
        <x:f>IF(G141=1,E141-D141,"")</x:f>
        <x:v>2</x:v>
      </x:c>
      <x:c r="I141" s="10" t="n">
        <x:f>MIN(F141,9)</x:f>
        <x:v>2</x:v>
      </x:c>
      <x:c r="J141" s="19" t="n">
        <x:v>0.2</x:v>
      </x:c>
      <x:c r="K141" s="2" t="n">
        <x:v>2</x:v>
      </x:c>
      <x:c r="L141" s="19" t="n">
        <x:v>0.2</x:v>
      </x:c>
      <x:c r="M141" s="19" t="n">
        <x:v>0.75</x:v>
      </x:c>
    </x:row>
    <x:row r="142" ht="23" customHeight="1">
      <x:c r="A142" s="2" t="str">
        <x:v>D020_T02_C020_G075</x:v>
      </x:c>
      <x:c r="B142" s="2" t="str">
        <x:v>A0038</x:v>
      </x:c>
      <x:c r="C142" s="2" t="str">
        <x:v>圈内</x:v>
      </x:c>
      <x:c r="D142" s="10" t="n">
        <x:v>1</x:v>
      </x:c>
      <x:c r="E142" s="10" t="n">
        <x:v>3</x:v>
      </x:c>
      <x:c r="F142" s="10" t="n">
        <x:v>2</x:v>
      </x:c>
      <x:c r="G142" s="10" t="n">
        <x:v>1</x:v>
      </x:c>
      <x:c r="H142" s="10" t="n">
        <x:f>IF(G142=1,E142-D142,"")</x:f>
        <x:v>2</x:v>
      </x:c>
      <x:c r="I142" s="10" t="n">
        <x:f>MIN(F142,9)</x:f>
        <x:v>2</x:v>
      </x:c>
      <x:c r="J142" s="19" t="n">
        <x:v>0.2</x:v>
      </x:c>
      <x:c r="K142" s="2" t="n">
        <x:v>2</x:v>
      </x:c>
      <x:c r="L142" s="19" t="n">
        <x:v>0.2</x:v>
      </x:c>
      <x:c r="M142" s="19" t="n">
        <x:v>0.75</x:v>
      </x:c>
    </x:row>
    <x:row r="143" ht="23" customHeight="1">
      <x:c r="A143" s="2" t="str">
        <x:v>D020_T02_C020_G075</x:v>
      </x:c>
      <x:c r="B143" s="2" t="str">
        <x:v>A0041</x:v>
      </x:c>
      <x:c r="C143" s="2" t="str">
        <x:v>圈内</x:v>
      </x:c>
      <x:c r="D143" s="10" t="n">
        <x:v>1</x:v>
      </x:c>
      <x:c r="E143" s="10" t="n">
        <x:v>5</x:v>
      </x:c>
      <x:c r="F143" s="10" t="n">
        <x:v>4</x:v>
      </x:c>
      <x:c r="G143" s="10" t="n">
        <x:v>1</x:v>
      </x:c>
      <x:c r="H143" s="10" t="n">
        <x:f>IF(G143=1,E143-D143,"")</x:f>
        <x:v>4</x:v>
      </x:c>
      <x:c r="I143" s="10" t="n">
        <x:f>MIN(F143,9)</x:f>
        <x:v>4</x:v>
      </x:c>
      <x:c r="J143" s="19" t="n">
        <x:v>0.2</x:v>
      </x:c>
      <x:c r="K143" s="2" t="n">
        <x:v>2</x:v>
      </x:c>
      <x:c r="L143" s="19" t="n">
        <x:v>0.2</x:v>
      </x:c>
      <x:c r="M143" s="19" t="n">
        <x:v>0.75</x:v>
      </x:c>
    </x:row>
    <x:row r="144" ht="23" customHeight="1">
      <x:c r="A144" s="2" t="str">
        <x:v>D020_T02_C020_G075</x:v>
      </x:c>
      <x:c r="B144" s="2" t="str">
        <x:v>A0206</x:v>
      </x:c>
      <x:c r="C144" s="2" t="str">
        <x:v>圈内</x:v>
      </x:c>
      <x:c r="D144" s="10" t="n">
        <x:v>1</x:v>
      </x:c>
      <x:c r="E144" s="10" t="n">
        <x:v>2</x:v>
      </x:c>
      <x:c r="F144" s="10" t="n">
        <x:v>1</x:v>
      </x:c>
      <x:c r="G144" s="10" t="n">
        <x:v>1</x:v>
      </x:c>
      <x:c r="H144" s="10" t="n">
        <x:f>IF(G144=1,E144-D144,"")</x:f>
        <x:v>1</x:v>
      </x:c>
      <x:c r="I144" s="10" t="n">
        <x:f>MIN(F144,9)</x:f>
        <x:v>1</x:v>
      </x:c>
      <x:c r="J144" s="19" t="n">
        <x:v>0.2</x:v>
      </x:c>
      <x:c r="K144" s="2" t="n">
        <x:v>2</x:v>
      </x:c>
      <x:c r="L144" s="19" t="n">
        <x:v>0.2</x:v>
      </x:c>
      <x:c r="M144" s="19" t="n">
        <x:v>0.75</x:v>
      </x:c>
    </x:row>
    <x:row r="145" ht="23" customHeight="1">
      <x:c r="A145" s="2" t="str">
        <x:v>D020_T02_C080_G025</x:v>
      </x:c>
      <x:c r="B145" s="2" t="str">
        <x:v>A0005</x:v>
      </x:c>
      <x:c r="C145" s="2" t="str">
        <x:v>圈内</x:v>
      </x:c>
      <x:c r="D145" s="10" t="n">
        <x:v>1</x:v>
      </x:c>
      <x:c r="E145" s="10" t="n">
        <x:v>2</x:v>
      </x:c>
      <x:c r="F145" s="10" t="n">
        <x:v>1</x:v>
      </x:c>
      <x:c r="G145" s="10" t="n">
        <x:v>1</x:v>
      </x:c>
      <x:c r="H145" s="10" t="n">
        <x:f>IF(G145=1,E145-D145,"")</x:f>
        <x:v>1</x:v>
      </x:c>
      <x:c r="I145" s="10" t="n">
        <x:f>MIN(F145,9)</x:f>
        <x:v>1</x:v>
      </x:c>
      <x:c r="J145" s="19" t="n">
        <x:v>0.2</x:v>
      </x:c>
      <x:c r="K145" s="2" t="n">
        <x:v>2</x:v>
      </x:c>
      <x:c r="L145" s="19" t="n">
        <x:v>0.8</x:v>
      </x:c>
      <x:c r="M145" s="19" t="n">
        <x:v>0.25</x:v>
      </x:c>
    </x:row>
    <x:row r="146" ht="23" customHeight="1">
      <x:c r="A146" s="2" t="str">
        <x:v>D020_T02_C080_G025</x:v>
      </x:c>
      <x:c r="B146" s="2" t="str">
        <x:v>A0008</x:v>
      </x:c>
      <x:c r="C146" s="2" t="str">
        <x:v>圈内</x:v>
      </x:c>
      <x:c r="D146" s="10" t="n">
        <x:v>1</x:v>
      </x:c>
      <x:c r="E146" s="10" t="n">
        <x:v>4</x:v>
      </x:c>
      <x:c r="F146" s="10" t="n">
        <x:v>3</x:v>
      </x:c>
      <x:c r="G146" s="10" t="n">
        <x:v>1</x:v>
      </x:c>
      <x:c r="H146" s="10" t="n">
        <x:f>IF(G146=1,E146-D146,"")</x:f>
        <x:v>3</x:v>
      </x:c>
      <x:c r="I146" s="10" t="n">
        <x:f>MIN(F146,9)</x:f>
        <x:v>3</x:v>
      </x:c>
      <x:c r="J146" s="19" t="n">
        <x:v>0.2</x:v>
      </x:c>
      <x:c r="K146" s="2" t="n">
        <x:v>2</x:v>
      </x:c>
      <x:c r="L146" s="19" t="n">
        <x:v>0.8</x:v>
      </x:c>
      <x:c r="M146" s="19" t="n">
        <x:v>0.25</x:v>
      </x:c>
    </x:row>
    <x:row r="147" ht="23" customHeight="1">
      <x:c r="A147" s="2" t="str">
        <x:v>D020_T02_C080_G025</x:v>
      </x:c>
      <x:c r="B147" s="2" t="str">
        <x:v>A0011</x:v>
      </x:c>
      <x:c r="C147" s="2" t="str">
        <x:v>圈内</x:v>
      </x:c>
      <x:c r="D147" s="10" t="n">
        <x:v>1</x:v>
      </x:c>
      <x:c r="E147" s="10" t="n">
        <x:v>3</x:v>
      </x:c>
      <x:c r="F147" s="10" t="n">
        <x:v>2</x:v>
      </x:c>
      <x:c r="G147" s="10" t="n">
        <x:v>1</x:v>
      </x:c>
      <x:c r="H147" s="10" t="n">
        <x:f>IF(G147=1,E147-D147,"")</x:f>
        <x:v>2</x:v>
      </x:c>
      <x:c r="I147" s="10" t="n">
        <x:f>MIN(F147,9)</x:f>
        <x:v>2</x:v>
      </x:c>
      <x:c r="J147" s="19" t="n">
        <x:v>0.2</x:v>
      </x:c>
      <x:c r="K147" s="2" t="n">
        <x:v>2</x:v>
      </x:c>
      <x:c r="L147" s="19" t="n">
        <x:v>0.8</x:v>
      </x:c>
      <x:c r="M147" s="19" t="n">
        <x:v>0.25</x:v>
      </x:c>
    </x:row>
    <x:row r="148" ht="23" customHeight="1">
      <x:c r="A148" s="2" t="str">
        <x:v>D020_T02_C080_G025</x:v>
      </x:c>
      <x:c r="B148" s="2" t="str">
        <x:v>A0012</x:v>
      </x:c>
      <x:c r="C148" s="2" t="str">
        <x:v>圈内</x:v>
      </x:c>
      <x:c r="D148" s="10" t="n">
        <x:v>1</x:v>
      </x:c>
      <x:c r="E148" s="10" t="n">
        <x:v>6</x:v>
      </x:c>
      <x:c r="F148" s="10" t="n">
        <x:v>5</x:v>
      </x:c>
      <x:c r="G148" s="10" t="n">
        <x:v>1</x:v>
      </x:c>
      <x:c r="H148" s="10" t="n">
        <x:f>IF(G148=1,E148-D148,"")</x:f>
        <x:v>5</x:v>
      </x:c>
      <x:c r="I148" s="10" t="n">
        <x:f>MIN(F148,9)</x:f>
        <x:v>5</x:v>
      </x:c>
      <x:c r="J148" s="19" t="n">
        <x:v>0.2</x:v>
      </x:c>
      <x:c r="K148" s="2" t="n">
        <x:v>2</x:v>
      </x:c>
      <x:c r="L148" s="19" t="n">
        <x:v>0.8</x:v>
      </x:c>
      <x:c r="M148" s="19" t="n">
        <x:v>0.25</x:v>
      </x:c>
    </x:row>
    <x:row r="149" ht="23" customHeight="1">
      <x:c r="A149" s="2" t="str">
        <x:v>D020_T02_C080_G025</x:v>
      </x:c>
      <x:c r="B149" s="2" t="str">
        <x:v>A0014</x:v>
      </x:c>
      <x:c r="C149" s="2" t="str">
        <x:v>圈内</x:v>
      </x:c>
      <x:c r="D149" s="10" t="n">
        <x:v>1</x:v>
      </x:c>
      <x:c r="E149" s="10" t="n">
        <x:v>4</x:v>
      </x:c>
      <x:c r="F149" s="10" t="n">
        <x:v>3</x:v>
      </x:c>
      <x:c r="G149" s="10" t="n">
        <x:v>1</x:v>
      </x:c>
      <x:c r="H149" s="10" t="n">
        <x:f>IF(G149=1,E149-D149,"")</x:f>
        <x:v>3</x:v>
      </x:c>
      <x:c r="I149" s="10" t="n">
        <x:f>MIN(F149,9)</x:f>
        <x:v>3</x:v>
      </x:c>
      <x:c r="J149" s="19" t="n">
        <x:v>0.2</x:v>
      </x:c>
      <x:c r="K149" s="2" t="n">
        <x:v>2</x:v>
      </x:c>
      <x:c r="L149" s="19" t="n">
        <x:v>0.8</x:v>
      </x:c>
      <x:c r="M149" s="19" t="n">
        <x:v>0.25</x:v>
      </x:c>
    </x:row>
    <x:row r="150" ht="23" customHeight="1">
      <x:c r="A150" s="2" t="str">
        <x:v>D020_T02_C080_G025</x:v>
      </x:c>
      <x:c r="B150" s="2" t="str">
        <x:v>A0017</x:v>
      </x:c>
      <x:c r="C150" s="2" t="str">
        <x:v>圈内</x:v>
      </x:c>
      <x:c r="D150" s="10" t="n">
        <x:v>1</x:v>
      </x:c>
      <x:c r="E150" s="10" t="n">
        <x:v>7</x:v>
      </x:c>
      <x:c r="F150" s="10" t="n">
        <x:v>6</x:v>
      </x:c>
      <x:c r="G150" s="10" t="n">
        <x:v>1</x:v>
      </x:c>
      <x:c r="H150" s="10" t="n">
        <x:f>IF(G150=1,E150-D150,"")</x:f>
        <x:v>6</x:v>
      </x:c>
      <x:c r="I150" s="10" t="n">
        <x:f>MIN(F150,9)</x:f>
        <x:v>6</x:v>
      </x:c>
      <x:c r="J150" s="19" t="n">
        <x:v>0.2</x:v>
      </x:c>
      <x:c r="K150" s="2" t="n">
        <x:v>2</x:v>
      </x:c>
      <x:c r="L150" s="19" t="n">
        <x:v>0.8</x:v>
      </x:c>
      <x:c r="M150" s="19" t="n">
        <x:v>0.25</x:v>
      </x:c>
    </x:row>
    <x:row r="151" ht="23" customHeight="1">
      <x:c r="A151" s="2" t="str">
        <x:v>D020_T02_C080_G025</x:v>
      </x:c>
      <x:c r="B151" s="2" t="str">
        <x:v>A0018</x:v>
      </x:c>
      <x:c r="C151" s="2" t="str">
        <x:v>圈内</x:v>
      </x:c>
      <x:c r="D151" s="10" t="n">
        <x:v>1</x:v>
      </x:c>
      <x:c r="E151" s="10" t="n">
        <x:v>6</x:v>
      </x:c>
      <x:c r="F151" s="10" t="n">
        <x:v>5</x:v>
      </x:c>
      <x:c r="G151" s="10" t="n">
        <x:v>1</x:v>
      </x:c>
      <x:c r="H151" s="10" t="n">
        <x:f>IF(G151=1,E151-D151,"")</x:f>
        <x:v>5</x:v>
      </x:c>
      <x:c r="I151" s="10" t="n">
        <x:f>MIN(F151,9)</x:f>
        <x:v>5</x:v>
      </x:c>
      <x:c r="J151" s="19" t="n">
        <x:v>0.2</x:v>
      </x:c>
      <x:c r="K151" s="2" t="n">
        <x:v>2</x:v>
      </x:c>
      <x:c r="L151" s="19" t="n">
        <x:v>0.8</x:v>
      </x:c>
      <x:c r="M151" s="19" t="n">
        <x:v>0.25</x:v>
      </x:c>
    </x:row>
    <x:row r="152" ht="23" customHeight="1">
      <x:c r="A152" s="2" t="str">
        <x:v>D020_T02_C080_G025</x:v>
      </x:c>
      <x:c r="B152" s="2" t="str">
        <x:v>A0020</x:v>
      </x:c>
      <x:c r="C152" s="2" t="str">
        <x:v>圈内</x:v>
      </x:c>
      <x:c r="D152" s="10" t="n">
        <x:v>1</x:v>
      </x:c>
      <x:c r="E152" s="10" t="n">
        <x:v>2</x:v>
      </x:c>
      <x:c r="F152" s="10" t="n">
        <x:v>1</x:v>
      </x:c>
      <x:c r="G152" s="10" t="n">
        <x:v>1</x:v>
      </x:c>
      <x:c r="H152" s="10" t="n">
        <x:f>IF(G152=1,E152-D152,"")</x:f>
        <x:v>1</x:v>
      </x:c>
      <x:c r="I152" s="10" t="n">
        <x:f>MIN(F152,9)</x:f>
        <x:v>1</x:v>
      </x:c>
      <x:c r="J152" s="19" t="n">
        <x:v>0.2</x:v>
      </x:c>
      <x:c r="K152" s="2" t="n">
        <x:v>2</x:v>
      </x:c>
      <x:c r="L152" s="19" t="n">
        <x:v>0.8</x:v>
      </x:c>
      <x:c r="M152" s="19" t="n">
        <x:v>0.25</x:v>
      </x:c>
    </x:row>
    <x:row r="153" ht="23" customHeight="1">
      <x:c r="A153" s="2" t="str">
        <x:v>D020_T02_C080_G025</x:v>
      </x:c>
      <x:c r="B153" s="2" t="str">
        <x:v>A0025</x:v>
      </x:c>
      <x:c r="C153" s="2" t="str">
        <x:v>圈内</x:v>
      </x:c>
      <x:c r="D153" s="10" t="n">
        <x:v>1</x:v>
      </x:c>
      <x:c r="E153" s="10" t="n">
        <x:v>6</x:v>
      </x:c>
      <x:c r="F153" s="10" t="n">
        <x:v>5</x:v>
      </x:c>
      <x:c r="G153" s="10" t="n">
        <x:v>1</x:v>
      </x:c>
      <x:c r="H153" s="10" t="n">
        <x:f>IF(G153=1,E153-D153,"")</x:f>
        <x:v>5</x:v>
      </x:c>
      <x:c r="I153" s="10" t="n">
        <x:f>MIN(F153,9)</x:f>
        <x:v>5</x:v>
      </x:c>
      <x:c r="J153" s="19" t="n">
        <x:v>0.2</x:v>
      </x:c>
      <x:c r="K153" s="2" t="n">
        <x:v>2</x:v>
      </x:c>
      <x:c r="L153" s="19" t="n">
        <x:v>0.8</x:v>
      </x:c>
      <x:c r="M153" s="19" t="n">
        <x:v>0.25</x:v>
      </x:c>
    </x:row>
    <x:row r="154" ht="23" customHeight="1">
      <x:c r="A154" s="2" t="str">
        <x:v>D020_T02_C080_G025</x:v>
      </x:c>
      <x:c r="B154" s="2" t="str">
        <x:v>A0032</x:v>
      </x:c>
      <x:c r="C154" s="2" t="str">
        <x:v>圈内</x:v>
      </x:c>
      <x:c r="D154" s="10" t="n">
        <x:v>1</x:v>
      </x:c>
      <x:c r="E154" s="10" t="n">
        <x:v>8</x:v>
      </x:c>
      <x:c r="F154" s="10" t="n">
        <x:v>7</x:v>
      </x:c>
      <x:c r="G154" s="10" t="n">
        <x:v>1</x:v>
      </x:c>
      <x:c r="H154" s="10" t="n">
        <x:f>IF(G154=1,E154-D154,"")</x:f>
        <x:v>7</x:v>
      </x:c>
      <x:c r="I154" s="10" t="n">
        <x:f>MIN(F154,9)</x:f>
        <x:v>7</x:v>
      </x:c>
      <x:c r="J154" s="19" t="n">
        <x:v>0.2</x:v>
      </x:c>
      <x:c r="K154" s="2" t="n">
        <x:v>2</x:v>
      </x:c>
      <x:c r="L154" s="19" t="n">
        <x:v>0.8</x:v>
      </x:c>
      <x:c r="M154" s="19" t="n">
        <x:v>0.25</x:v>
      </x:c>
    </x:row>
    <x:row r="155" ht="23" customHeight="1">
      <x:c r="A155" s="2" t="str">
        <x:v>D020_T02_C080_G025</x:v>
      </x:c>
      <x:c r="B155" s="2" t="str">
        <x:v>A0033</x:v>
      </x:c>
      <x:c r="C155" s="2" t="str">
        <x:v>圈内</x:v>
      </x:c>
      <x:c r="D155" s="10" t="n">
        <x:v>1</x:v>
      </x:c>
      <x:c r="E155" s="10" t="n">
        <x:v>3</x:v>
      </x:c>
      <x:c r="F155" s="10" t="n">
        <x:v>2</x:v>
      </x:c>
      <x:c r="G155" s="10" t="n">
        <x:v>1</x:v>
      </x:c>
      <x:c r="H155" s="10" t="n">
        <x:f>IF(G155=1,E155-D155,"")</x:f>
        <x:v>2</x:v>
      </x:c>
      <x:c r="I155" s="10" t="n">
        <x:f>MIN(F155,9)</x:f>
        <x:v>2</x:v>
      </x:c>
      <x:c r="J155" s="19" t="n">
        <x:v>0.2</x:v>
      </x:c>
      <x:c r="K155" s="2" t="n">
        <x:v>2</x:v>
      </x:c>
      <x:c r="L155" s="19" t="n">
        <x:v>0.8</x:v>
      </x:c>
      <x:c r="M155" s="19" t="n">
        <x:v>0.25</x:v>
      </x:c>
    </x:row>
    <x:row r="156" ht="23" customHeight="1">
      <x:c r="A156" s="2" t="str">
        <x:v>D020_T02_C080_G025</x:v>
      </x:c>
      <x:c r="B156" s="2" t="str">
        <x:v>A0036</x:v>
      </x:c>
      <x:c r="C156" s="2" t="str">
        <x:v>圈内</x:v>
      </x:c>
      <x:c r="D156" s="10" t="n">
        <x:v>1</x:v>
      </x:c>
      <x:c r="E156" s="10"/>
      <x:c r="F156" s="10" t="n">
        <x:v>9</x:v>
      </x:c>
      <x:c r="G156" s="10" t="n">
        <x:v>0</x:v>
      </x:c>
      <x:c r="H156" s="10" t="str">
        <x:f>IF(G156=1,E156-D156,"")</x:f>
      </x:c>
      <x:c r="I156" s="10" t="n">
        <x:f>MIN(F156,9)</x:f>
        <x:v>9</x:v>
      </x:c>
      <x:c r="J156" s="19" t="n">
        <x:v>0.2</x:v>
      </x:c>
      <x:c r="K156" s="2" t="n">
        <x:v>2</x:v>
      </x:c>
      <x:c r="L156" s="19" t="n">
        <x:v>0.8</x:v>
      </x:c>
      <x:c r="M156" s="19" t="n">
        <x:v>0.25</x:v>
      </x:c>
    </x:row>
    <x:row r="157" ht="23" customHeight="1">
      <x:c r="A157" s="2" t="str">
        <x:v>D020_T02_C080_G025</x:v>
      </x:c>
      <x:c r="B157" s="2" t="str">
        <x:v>A0037</x:v>
      </x:c>
      <x:c r="C157" s="2" t="str">
        <x:v>圈内</x:v>
      </x:c>
      <x:c r="D157" s="10" t="n">
        <x:v>1</x:v>
      </x:c>
      <x:c r="E157" s="10" t="n">
        <x:v>2</x:v>
      </x:c>
      <x:c r="F157" s="10" t="n">
        <x:v>1</x:v>
      </x:c>
      <x:c r="G157" s="10" t="n">
        <x:v>1</x:v>
      </x:c>
      <x:c r="H157" s="10" t="n">
        <x:f>IF(G157=1,E157-D157,"")</x:f>
        <x:v>1</x:v>
      </x:c>
      <x:c r="I157" s="10" t="n">
        <x:f>MIN(F157,9)</x:f>
        <x:v>1</x:v>
      </x:c>
      <x:c r="J157" s="19" t="n">
        <x:v>0.2</x:v>
      </x:c>
      <x:c r="K157" s="2" t="n">
        <x:v>2</x:v>
      </x:c>
      <x:c r="L157" s="19" t="n">
        <x:v>0.8</x:v>
      </x:c>
      <x:c r="M157" s="19" t="n">
        <x:v>0.25</x:v>
      </x:c>
    </x:row>
    <x:row r="158" ht="23" customHeight="1">
      <x:c r="A158" s="2" t="str">
        <x:v>D020_T02_C080_G025</x:v>
      </x:c>
      <x:c r="B158" s="2" t="str">
        <x:v>A0040</x:v>
      </x:c>
      <x:c r="C158" s="2" t="str">
        <x:v>圈内</x:v>
      </x:c>
      <x:c r="D158" s="10" t="n">
        <x:v>1</x:v>
      </x:c>
      <x:c r="E158" s="10" t="n">
        <x:v>3</x:v>
      </x:c>
      <x:c r="F158" s="10" t="n">
        <x:v>2</x:v>
      </x:c>
      <x:c r="G158" s="10" t="n">
        <x:v>1</x:v>
      </x:c>
      <x:c r="H158" s="10" t="n">
        <x:f>IF(G158=1,E158-D158,"")</x:f>
        <x:v>2</x:v>
      </x:c>
      <x:c r="I158" s="10" t="n">
        <x:f>MIN(F158,9)</x:f>
        <x:v>2</x:v>
      </x:c>
      <x:c r="J158" s="19" t="n">
        <x:v>0.2</x:v>
      </x:c>
      <x:c r="K158" s="2" t="n">
        <x:v>2</x:v>
      </x:c>
      <x:c r="L158" s="19" t="n">
        <x:v>0.8</x:v>
      </x:c>
      <x:c r="M158" s="19" t="n">
        <x:v>0.25</x:v>
      </x:c>
    </x:row>
    <x:row r="159" ht="23" customHeight="1">
      <x:c r="A159" s="2" t="str">
        <x:v>D020_T02_C080_G025</x:v>
      </x:c>
      <x:c r="B159" s="2" t="str">
        <x:v>A0071</x:v>
      </x:c>
      <x:c r="C159" s="2" t="str">
        <x:v>圈内</x:v>
      </x:c>
      <x:c r="D159" s="10" t="n">
        <x:v>1</x:v>
      </x:c>
      <x:c r="E159" s="10" t="n">
        <x:v>4</x:v>
      </x:c>
      <x:c r="F159" s="10" t="n">
        <x:v>3</x:v>
      </x:c>
      <x:c r="G159" s="10" t="n">
        <x:v>1</x:v>
      </x:c>
      <x:c r="H159" s="10" t="n">
        <x:f>IF(G159=1,E159-D159,"")</x:f>
        <x:v>3</x:v>
      </x:c>
      <x:c r="I159" s="10" t="n">
        <x:f>MIN(F159,9)</x:f>
        <x:v>3</x:v>
      </x:c>
      <x:c r="J159" s="19" t="n">
        <x:v>0.2</x:v>
      </x:c>
      <x:c r="K159" s="2" t="n">
        <x:v>2</x:v>
      </x:c>
      <x:c r="L159" s="19" t="n">
        <x:v>0.8</x:v>
      </x:c>
      <x:c r="M159" s="19" t="n">
        <x:v>0.25</x:v>
      </x:c>
    </x:row>
    <x:row r="160" ht="23" customHeight="1">
      <x:c r="A160" s="2" t="str">
        <x:v>D020_T02_C080_G025</x:v>
      </x:c>
      <x:c r="B160" s="2" t="str">
        <x:v>A0206</x:v>
      </x:c>
      <x:c r="C160" s="2" t="str">
        <x:v>圈内</x:v>
      </x:c>
      <x:c r="D160" s="10" t="n">
        <x:v>1</x:v>
      </x:c>
      <x:c r="E160" s="10" t="n">
        <x:v>2</x:v>
      </x:c>
      <x:c r="F160" s="10" t="n">
        <x:v>1</x:v>
      </x:c>
      <x:c r="G160" s="10" t="n">
        <x:v>1</x:v>
      </x:c>
      <x:c r="H160" s="10" t="n">
        <x:f>IF(G160=1,E160-D160,"")</x:f>
        <x:v>1</x:v>
      </x:c>
      <x:c r="I160" s="10" t="n">
        <x:f>MIN(F160,9)</x:f>
        <x:v>1</x:v>
      </x:c>
      <x:c r="J160" s="19" t="n">
        <x:v>0.2</x:v>
      </x:c>
      <x:c r="K160" s="2" t="n">
        <x:v>2</x:v>
      </x:c>
      <x:c r="L160" s="19" t="n">
        <x:v>0.8</x:v>
      </x:c>
      <x:c r="M160" s="19" t="n">
        <x:v>0.25</x:v>
      </x:c>
    </x:row>
    <x:row r="161" ht="23" customHeight="1">
      <x:c r="A161" s="2" t="str">
        <x:v>D020_T02_C080_G050</x:v>
      </x:c>
      <x:c r="B161" s="2" t="str">
        <x:v>A0005</x:v>
      </x:c>
      <x:c r="C161" s="2" t="str">
        <x:v>圈内</x:v>
      </x:c>
      <x:c r="D161" s="10" t="n">
        <x:v>1</x:v>
      </x:c>
      <x:c r="E161" s="10" t="n">
        <x:v>2</x:v>
      </x:c>
      <x:c r="F161" s="10" t="n">
        <x:v>1</x:v>
      </x:c>
      <x:c r="G161" s="10" t="n">
        <x:v>1</x:v>
      </x:c>
      <x:c r="H161" s="10" t="n">
        <x:f>IF(G161=1,E161-D161,"")</x:f>
        <x:v>1</x:v>
      </x:c>
      <x:c r="I161" s="10" t="n">
        <x:f>MIN(F161,9)</x:f>
        <x:v>1</x:v>
      </x:c>
      <x:c r="J161" s="19" t="n">
        <x:v>0.2</x:v>
      </x:c>
      <x:c r="K161" s="2" t="n">
        <x:v>2</x:v>
      </x:c>
      <x:c r="L161" s="19" t="n">
        <x:v>0.8</x:v>
      </x:c>
      <x:c r="M161" s="19" t="n">
        <x:v>0.5</x:v>
      </x:c>
    </x:row>
    <x:row r="162" ht="23" customHeight="1">
      <x:c r="A162" s="2" t="str">
        <x:v>D020_T02_C080_G050</x:v>
      </x:c>
      <x:c r="B162" s="2" t="str">
        <x:v>A0011</x:v>
      </x:c>
      <x:c r="C162" s="2" t="str">
        <x:v>圈内</x:v>
      </x:c>
      <x:c r="D162" s="10" t="n">
        <x:v>1</x:v>
      </x:c>
      <x:c r="E162" s="10" t="n">
        <x:v>3</x:v>
      </x:c>
      <x:c r="F162" s="10" t="n">
        <x:v>2</x:v>
      </x:c>
      <x:c r="G162" s="10" t="n">
        <x:v>1</x:v>
      </x:c>
      <x:c r="H162" s="10" t="n">
        <x:f>IF(G162=1,E162-D162,"")</x:f>
        <x:v>2</x:v>
      </x:c>
      <x:c r="I162" s="10" t="n">
        <x:f>MIN(F162,9)</x:f>
        <x:v>2</x:v>
      </x:c>
      <x:c r="J162" s="19" t="n">
        <x:v>0.2</x:v>
      </x:c>
      <x:c r="K162" s="2" t="n">
        <x:v>2</x:v>
      </x:c>
      <x:c r="L162" s="19" t="n">
        <x:v>0.8</x:v>
      </x:c>
      <x:c r="M162" s="19" t="n">
        <x:v>0.5</x:v>
      </x:c>
    </x:row>
    <x:row r="163" ht="23" customHeight="1">
      <x:c r="A163" s="2" t="str">
        <x:v>D020_T02_C080_G050</x:v>
      </x:c>
      <x:c r="B163" s="2" t="str">
        <x:v>A0012</x:v>
      </x:c>
      <x:c r="C163" s="2" t="str">
        <x:v>圈内</x:v>
      </x:c>
      <x:c r="D163" s="10" t="n">
        <x:v>1</x:v>
      </x:c>
      <x:c r="E163" s="10"/>
      <x:c r="F163" s="10" t="n">
        <x:v>9</x:v>
      </x:c>
      <x:c r="G163" s="10" t="n">
        <x:v>0</x:v>
      </x:c>
      <x:c r="H163" s="10" t="str">
        <x:f>IF(G163=1,E163-D163,"")</x:f>
      </x:c>
      <x:c r="I163" s="10" t="n">
        <x:f>MIN(F163,9)</x:f>
        <x:v>9</x:v>
      </x:c>
      <x:c r="J163" s="19" t="n">
        <x:v>0.2</x:v>
      </x:c>
      <x:c r="K163" s="2" t="n">
        <x:v>2</x:v>
      </x:c>
      <x:c r="L163" s="19" t="n">
        <x:v>0.8</x:v>
      </x:c>
      <x:c r="M163" s="19" t="n">
        <x:v>0.5</x:v>
      </x:c>
    </x:row>
    <x:row r="164" ht="23" customHeight="1">
      <x:c r="A164" s="2" t="str">
        <x:v>D020_T02_C080_G050</x:v>
      </x:c>
      <x:c r="B164" s="2" t="str">
        <x:v>A0017</x:v>
      </x:c>
      <x:c r="C164" s="2" t="str">
        <x:v>圈内</x:v>
      </x:c>
      <x:c r="D164" s="10" t="n">
        <x:v>1</x:v>
      </x:c>
      <x:c r="E164" s="10" t="n">
        <x:v>4</x:v>
      </x:c>
      <x:c r="F164" s="10" t="n">
        <x:v>3</x:v>
      </x:c>
      <x:c r="G164" s="10" t="n">
        <x:v>1</x:v>
      </x:c>
      <x:c r="H164" s="10" t="n">
        <x:f>IF(G164=1,E164-D164,"")</x:f>
        <x:v>3</x:v>
      </x:c>
      <x:c r="I164" s="10" t="n">
        <x:f>MIN(F164,9)</x:f>
        <x:v>3</x:v>
      </x:c>
      <x:c r="J164" s="19" t="n">
        <x:v>0.2</x:v>
      </x:c>
      <x:c r="K164" s="2" t="n">
        <x:v>2</x:v>
      </x:c>
      <x:c r="L164" s="19" t="n">
        <x:v>0.8</x:v>
      </x:c>
      <x:c r="M164" s="19" t="n">
        <x:v>0.5</x:v>
      </x:c>
    </x:row>
    <x:row r="165" ht="23" customHeight="1">
      <x:c r="A165" s="2" t="str">
        <x:v>D020_T02_C080_G050</x:v>
      </x:c>
      <x:c r="B165" s="2" t="str">
        <x:v>A0018</x:v>
      </x:c>
      <x:c r="C165" s="2" t="str">
        <x:v>圈内</x:v>
      </x:c>
      <x:c r="D165" s="10" t="n">
        <x:v>1</x:v>
      </x:c>
      <x:c r="E165" s="10" t="n">
        <x:v>2</x:v>
      </x:c>
      <x:c r="F165" s="10" t="n">
        <x:v>1</x:v>
      </x:c>
      <x:c r="G165" s="10" t="n">
        <x:v>1</x:v>
      </x:c>
      <x:c r="H165" s="10" t="n">
        <x:f>IF(G165=1,E165-D165,"")</x:f>
        <x:v>1</x:v>
      </x:c>
      <x:c r="I165" s="10" t="n">
        <x:f>MIN(F165,9)</x:f>
        <x:v>1</x:v>
      </x:c>
      <x:c r="J165" s="19" t="n">
        <x:v>0.2</x:v>
      </x:c>
      <x:c r="K165" s="2" t="n">
        <x:v>2</x:v>
      </x:c>
      <x:c r="L165" s="19" t="n">
        <x:v>0.8</x:v>
      </x:c>
      <x:c r="M165" s="19" t="n">
        <x:v>0.5</x:v>
      </x:c>
    </x:row>
    <x:row r="166" ht="23" customHeight="1">
      <x:c r="A166" s="2" t="str">
        <x:v>D020_T02_C080_G050</x:v>
      </x:c>
      <x:c r="B166" s="2" t="str">
        <x:v>A0027</x:v>
      </x:c>
      <x:c r="C166" s="2" t="str">
        <x:v>圈内</x:v>
      </x:c>
      <x:c r="D166" s="10" t="n">
        <x:v>1</x:v>
      </x:c>
      <x:c r="E166" s="10" t="n">
        <x:v>2</x:v>
      </x:c>
      <x:c r="F166" s="10" t="n">
        <x:v>1</x:v>
      </x:c>
      <x:c r="G166" s="10" t="n">
        <x:v>1</x:v>
      </x:c>
      <x:c r="H166" s="10" t="n">
        <x:f>IF(G166=1,E166-D166,"")</x:f>
        <x:v>1</x:v>
      </x:c>
      <x:c r="I166" s="10" t="n">
        <x:f>MIN(F166,9)</x:f>
        <x:v>1</x:v>
      </x:c>
      <x:c r="J166" s="19" t="n">
        <x:v>0.2</x:v>
      </x:c>
      <x:c r="K166" s="2" t="n">
        <x:v>2</x:v>
      </x:c>
      <x:c r="L166" s="19" t="n">
        <x:v>0.8</x:v>
      </x:c>
      <x:c r="M166" s="19" t="n">
        <x:v>0.5</x:v>
      </x:c>
    </x:row>
    <x:row r="167" ht="23" customHeight="1">
      <x:c r="A167" s="2" t="str">
        <x:v>D020_T02_C080_G050</x:v>
      </x:c>
      <x:c r="B167" s="2" t="str">
        <x:v>A0030</x:v>
      </x:c>
      <x:c r="C167" s="2" t="str">
        <x:v>圈内</x:v>
      </x:c>
      <x:c r="D167" s="10" t="n">
        <x:v>1</x:v>
      </x:c>
      <x:c r="E167" s="10" t="n">
        <x:v>4</x:v>
      </x:c>
      <x:c r="F167" s="10" t="n">
        <x:v>3</x:v>
      </x:c>
      <x:c r="G167" s="10" t="n">
        <x:v>1</x:v>
      </x:c>
      <x:c r="H167" s="10" t="n">
        <x:f>IF(G167=1,E167-D167,"")</x:f>
        <x:v>3</x:v>
      </x:c>
      <x:c r="I167" s="10" t="n">
        <x:f>MIN(F167,9)</x:f>
        <x:v>3</x:v>
      </x:c>
      <x:c r="J167" s="19" t="n">
        <x:v>0.2</x:v>
      </x:c>
      <x:c r="K167" s="2" t="n">
        <x:v>2</x:v>
      </x:c>
      <x:c r="L167" s="19" t="n">
        <x:v>0.8</x:v>
      </x:c>
      <x:c r="M167" s="19" t="n">
        <x:v>0.5</x:v>
      </x:c>
    </x:row>
    <x:row r="168" ht="23" customHeight="1">
      <x:c r="A168" s="2" t="str">
        <x:v>D020_T02_C080_G050</x:v>
      </x:c>
      <x:c r="B168" s="2" t="str">
        <x:v>A0032</x:v>
      </x:c>
      <x:c r="C168" s="2" t="str">
        <x:v>圈内</x:v>
      </x:c>
      <x:c r="D168" s="10" t="n">
        <x:v>1</x:v>
      </x:c>
      <x:c r="E168" s="10" t="n">
        <x:v>2</x:v>
      </x:c>
      <x:c r="F168" s="10" t="n">
        <x:v>1</x:v>
      </x:c>
      <x:c r="G168" s="10" t="n">
        <x:v>1</x:v>
      </x:c>
      <x:c r="H168" s="10" t="n">
        <x:f>IF(G168=1,E168-D168,"")</x:f>
        <x:v>1</x:v>
      </x:c>
      <x:c r="I168" s="10" t="n">
        <x:f>MIN(F168,9)</x:f>
        <x:v>1</x:v>
      </x:c>
      <x:c r="J168" s="19" t="n">
        <x:v>0.2</x:v>
      </x:c>
      <x:c r="K168" s="2" t="n">
        <x:v>2</x:v>
      </x:c>
      <x:c r="L168" s="19" t="n">
        <x:v>0.8</x:v>
      </x:c>
      <x:c r="M168" s="19" t="n">
        <x:v>0.5</x:v>
      </x:c>
    </x:row>
    <x:row r="169" ht="23" customHeight="1">
      <x:c r="A169" s="2" t="str">
        <x:v>D020_T02_C080_G050</x:v>
      </x:c>
      <x:c r="B169" s="2" t="str">
        <x:v>A0033</x:v>
      </x:c>
      <x:c r="C169" s="2" t="str">
        <x:v>圈内</x:v>
      </x:c>
      <x:c r="D169" s="10" t="n">
        <x:v>1</x:v>
      </x:c>
      <x:c r="E169" s="10" t="n">
        <x:v>2</x:v>
      </x:c>
      <x:c r="F169" s="10" t="n">
        <x:v>1</x:v>
      </x:c>
      <x:c r="G169" s="10" t="n">
        <x:v>1</x:v>
      </x:c>
      <x:c r="H169" s="10" t="n">
        <x:f>IF(G169=1,E169-D169,"")</x:f>
        <x:v>1</x:v>
      </x:c>
      <x:c r="I169" s="10" t="n">
        <x:f>MIN(F169,9)</x:f>
        <x:v>1</x:v>
      </x:c>
      <x:c r="J169" s="19" t="n">
        <x:v>0.2</x:v>
      </x:c>
      <x:c r="K169" s="2" t="n">
        <x:v>2</x:v>
      </x:c>
      <x:c r="L169" s="19" t="n">
        <x:v>0.8</x:v>
      </x:c>
      <x:c r="M169" s="19" t="n">
        <x:v>0.5</x:v>
      </x:c>
    </x:row>
    <x:row r="170" ht="23" customHeight="1">
      <x:c r="A170" s="2" t="str">
        <x:v>D020_T02_C080_G050</x:v>
      </x:c>
      <x:c r="B170" s="2" t="str">
        <x:v>A0034</x:v>
      </x:c>
      <x:c r="C170" s="2" t="str">
        <x:v>圈内</x:v>
      </x:c>
      <x:c r="D170" s="10" t="n">
        <x:v>1</x:v>
      </x:c>
      <x:c r="E170" s="10" t="n">
        <x:v>2</x:v>
      </x:c>
      <x:c r="F170" s="10" t="n">
        <x:v>1</x:v>
      </x:c>
      <x:c r="G170" s="10" t="n">
        <x:v>1</x:v>
      </x:c>
      <x:c r="H170" s="10" t="n">
        <x:f>IF(G170=1,E170-D170,"")</x:f>
        <x:v>1</x:v>
      </x:c>
      <x:c r="I170" s="10" t="n">
        <x:f>MIN(F170,9)</x:f>
        <x:v>1</x:v>
      </x:c>
      <x:c r="J170" s="19" t="n">
        <x:v>0.2</x:v>
      </x:c>
      <x:c r="K170" s="2" t="n">
        <x:v>2</x:v>
      </x:c>
      <x:c r="L170" s="19" t="n">
        <x:v>0.8</x:v>
      </x:c>
      <x:c r="M170" s="19" t="n">
        <x:v>0.5</x:v>
      </x:c>
    </x:row>
    <x:row r="171" ht="23" customHeight="1">
      <x:c r="A171" s="2" t="str">
        <x:v>D020_T02_C080_G050</x:v>
      </x:c>
      <x:c r="B171" s="2" t="str">
        <x:v>A0035</x:v>
      </x:c>
      <x:c r="C171" s="2" t="str">
        <x:v>圈内</x:v>
      </x:c>
      <x:c r="D171" s="10" t="n">
        <x:v>1</x:v>
      </x:c>
      <x:c r="E171" s="10" t="n">
        <x:v>2</x:v>
      </x:c>
      <x:c r="F171" s="10" t="n">
        <x:v>1</x:v>
      </x:c>
      <x:c r="G171" s="10" t="n">
        <x:v>1</x:v>
      </x:c>
      <x:c r="H171" s="10" t="n">
        <x:f>IF(G171=1,E171-D171,"")</x:f>
        <x:v>1</x:v>
      </x:c>
      <x:c r="I171" s="10" t="n">
        <x:f>MIN(F171,9)</x:f>
        <x:v>1</x:v>
      </x:c>
      <x:c r="J171" s="19" t="n">
        <x:v>0.2</x:v>
      </x:c>
      <x:c r="K171" s="2" t="n">
        <x:v>2</x:v>
      </x:c>
      <x:c r="L171" s="19" t="n">
        <x:v>0.8</x:v>
      </x:c>
      <x:c r="M171" s="19" t="n">
        <x:v>0.5</x:v>
      </x:c>
    </x:row>
    <x:row r="172" ht="23" customHeight="1">
      <x:c r="A172" s="2" t="str">
        <x:v>D020_T02_C080_G050</x:v>
      </x:c>
      <x:c r="B172" s="2" t="str">
        <x:v>A0036</x:v>
      </x:c>
      <x:c r="C172" s="2" t="str">
        <x:v>圈内</x:v>
      </x:c>
      <x:c r="D172" s="10" t="n">
        <x:v>1</x:v>
      </x:c>
      <x:c r="E172" s="10" t="n">
        <x:v>3</x:v>
      </x:c>
      <x:c r="F172" s="10" t="n">
        <x:v>2</x:v>
      </x:c>
      <x:c r="G172" s="10" t="n">
        <x:v>1</x:v>
      </x:c>
      <x:c r="H172" s="10" t="n">
        <x:f>IF(G172=1,E172-D172,"")</x:f>
        <x:v>2</x:v>
      </x:c>
      <x:c r="I172" s="10" t="n">
        <x:f>MIN(F172,9)</x:f>
        <x:v>2</x:v>
      </x:c>
      <x:c r="J172" s="19" t="n">
        <x:v>0.2</x:v>
      </x:c>
      <x:c r="K172" s="2" t="n">
        <x:v>2</x:v>
      </x:c>
      <x:c r="L172" s="19" t="n">
        <x:v>0.8</x:v>
      </x:c>
      <x:c r="M172" s="19" t="n">
        <x:v>0.5</x:v>
      </x:c>
    </x:row>
    <x:row r="173" ht="23" customHeight="1">
      <x:c r="A173" s="2" t="str">
        <x:v>D020_T02_C080_G050</x:v>
      </x:c>
      <x:c r="B173" s="2" t="str">
        <x:v>A0071</x:v>
      </x:c>
      <x:c r="C173" s="2" t="str">
        <x:v>圈内</x:v>
      </x:c>
      <x:c r="D173" s="10" t="n">
        <x:v>1</x:v>
      </x:c>
      <x:c r="E173" s="10" t="n">
        <x:v>3</x:v>
      </x:c>
      <x:c r="F173" s="10" t="n">
        <x:v>2</x:v>
      </x:c>
      <x:c r="G173" s="10" t="n">
        <x:v>1</x:v>
      </x:c>
      <x:c r="H173" s="10" t="n">
        <x:f>IF(G173=1,E173-D173,"")</x:f>
        <x:v>2</x:v>
      </x:c>
      <x:c r="I173" s="10" t="n">
        <x:f>MIN(F173,9)</x:f>
        <x:v>2</x:v>
      </x:c>
      <x:c r="J173" s="19" t="n">
        <x:v>0.2</x:v>
      </x:c>
      <x:c r="K173" s="2" t="n">
        <x:v>2</x:v>
      </x:c>
      <x:c r="L173" s="19" t="n">
        <x:v>0.8</x:v>
      </x:c>
      <x:c r="M173" s="19" t="n">
        <x:v>0.5</x:v>
      </x:c>
    </x:row>
    <x:row r="174" ht="23" customHeight="1">
      <x:c r="A174" s="2" t="str">
        <x:v>D020_T02_C080_G050</x:v>
      </x:c>
      <x:c r="B174" s="2" t="str">
        <x:v>A0206</x:v>
      </x:c>
      <x:c r="C174" s="2" t="str">
        <x:v>圈内</x:v>
      </x:c>
      <x:c r="D174" s="10" t="n">
        <x:v>1</x:v>
      </x:c>
      <x:c r="E174" s="10" t="n">
        <x:v>2</x:v>
      </x:c>
      <x:c r="F174" s="10" t="n">
        <x:v>1</x:v>
      </x:c>
      <x:c r="G174" s="10" t="n">
        <x:v>1</x:v>
      </x:c>
      <x:c r="H174" s="10" t="n">
        <x:f>IF(G174=1,E174-D174,"")</x:f>
        <x:v>1</x:v>
      </x:c>
      <x:c r="I174" s="10" t="n">
        <x:f>MIN(F174,9)</x:f>
        <x:v>1</x:v>
      </x:c>
      <x:c r="J174" s="19" t="n">
        <x:v>0.2</x:v>
      </x:c>
      <x:c r="K174" s="2" t="n">
        <x:v>2</x:v>
      </x:c>
      <x:c r="L174" s="19" t="n">
        <x:v>0.8</x:v>
      </x:c>
      <x:c r="M174" s="19" t="n">
        <x:v>0.5</x:v>
      </x:c>
    </x:row>
    <x:row r="175" ht="23" customHeight="1">
      <x:c r="A175" s="2" t="str">
        <x:v>D020_T02_C080_G075</x:v>
      </x:c>
      <x:c r="B175" s="2" t="str">
        <x:v>A0011</x:v>
      </x:c>
      <x:c r="C175" s="2" t="str">
        <x:v>圈内</x:v>
      </x:c>
      <x:c r="D175" s="10" t="n">
        <x:v>1</x:v>
      </x:c>
      <x:c r="E175" s="10" t="n">
        <x:v>3</x:v>
      </x:c>
      <x:c r="F175" s="10" t="n">
        <x:v>2</x:v>
      </x:c>
      <x:c r="G175" s="10" t="n">
        <x:v>1</x:v>
      </x:c>
      <x:c r="H175" s="10" t="n">
        <x:f>IF(G175=1,E175-D175,"")</x:f>
        <x:v>2</x:v>
      </x:c>
      <x:c r="I175" s="10" t="n">
        <x:f>MIN(F175,9)</x:f>
        <x:v>2</x:v>
      </x:c>
      <x:c r="J175" s="19" t="n">
        <x:v>0.2</x:v>
      </x:c>
      <x:c r="K175" s="2" t="n">
        <x:v>2</x:v>
      </x:c>
      <x:c r="L175" s="19" t="n">
        <x:v>0.8</x:v>
      </x:c>
      <x:c r="M175" s="19" t="n">
        <x:v>0.75</x:v>
      </x:c>
    </x:row>
    <x:row r="176" ht="23" customHeight="1">
      <x:c r="A176" s="2" t="str">
        <x:v>D020_T02_C080_G075</x:v>
      </x:c>
      <x:c r="B176" s="2" t="str">
        <x:v>A0012</x:v>
      </x:c>
      <x:c r="C176" s="2" t="str">
        <x:v>圈内</x:v>
      </x:c>
      <x:c r="D176" s="10" t="n">
        <x:v>1</x:v>
      </x:c>
      <x:c r="E176" s="10" t="n">
        <x:v>3</x:v>
      </x:c>
      <x:c r="F176" s="10" t="n">
        <x:v>2</x:v>
      </x:c>
      <x:c r="G176" s="10" t="n">
        <x:v>1</x:v>
      </x:c>
      <x:c r="H176" s="10" t="n">
        <x:f>IF(G176=1,E176-D176,"")</x:f>
        <x:v>2</x:v>
      </x:c>
      <x:c r="I176" s="10" t="n">
        <x:f>MIN(F176,9)</x:f>
        <x:v>2</x:v>
      </x:c>
      <x:c r="J176" s="19" t="n">
        <x:v>0.2</x:v>
      </x:c>
      <x:c r="K176" s="2" t="n">
        <x:v>2</x:v>
      </x:c>
      <x:c r="L176" s="19" t="n">
        <x:v>0.8</x:v>
      </x:c>
      <x:c r="M176" s="19" t="n">
        <x:v>0.75</x:v>
      </x:c>
    </x:row>
    <x:row r="177" ht="23" customHeight="1">
      <x:c r="A177" s="2" t="str">
        <x:v>D020_T02_C080_G075</x:v>
      </x:c>
      <x:c r="B177" s="2" t="str">
        <x:v>A0017</x:v>
      </x:c>
      <x:c r="C177" s="2" t="str">
        <x:v>圈内</x:v>
      </x:c>
      <x:c r="D177" s="10" t="n">
        <x:v>1</x:v>
      </x:c>
      <x:c r="E177" s="10" t="n">
        <x:v>4</x:v>
      </x:c>
      <x:c r="F177" s="10" t="n">
        <x:v>3</x:v>
      </x:c>
      <x:c r="G177" s="10" t="n">
        <x:v>1</x:v>
      </x:c>
      <x:c r="H177" s="10" t="n">
        <x:f>IF(G177=1,E177-D177,"")</x:f>
        <x:v>3</x:v>
      </x:c>
      <x:c r="I177" s="10" t="n">
        <x:f>MIN(F177,9)</x:f>
        <x:v>3</x:v>
      </x:c>
      <x:c r="J177" s="19" t="n">
        <x:v>0.2</x:v>
      </x:c>
      <x:c r="K177" s="2" t="n">
        <x:v>2</x:v>
      </x:c>
      <x:c r="L177" s="19" t="n">
        <x:v>0.8</x:v>
      </x:c>
      <x:c r="M177" s="19" t="n">
        <x:v>0.75</x:v>
      </x:c>
    </x:row>
    <x:row r="178" ht="23" customHeight="1">
      <x:c r="A178" s="2" t="str">
        <x:v>D020_T02_C080_G075</x:v>
      </x:c>
      <x:c r="B178" s="2" t="str">
        <x:v>A0019</x:v>
      </x:c>
      <x:c r="C178" s="2" t="str">
        <x:v>圈内</x:v>
      </x:c>
      <x:c r="D178" s="10" t="n">
        <x:v>1</x:v>
      </x:c>
      <x:c r="E178" s="10" t="n">
        <x:v>2</x:v>
      </x:c>
      <x:c r="F178" s="10" t="n">
        <x:v>1</x:v>
      </x:c>
      <x:c r="G178" s="10" t="n">
        <x:v>1</x:v>
      </x:c>
      <x:c r="H178" s="10" t="n">
        <x:f>IF(G178=1,E178-D178,"")</x:f>
        <x:v>1</x:v>
      </x:c>
      <x:c r="I178" s="10" t="n">
        <x:f>MIN(F178,9)</x:f>
        <x:v>1</x:v>
      </x:c>
      <x:c r="J178" s="19" t="n">
        <x:v>0.2</x:v>
      </x:c>
      <x:c r="K178" s="2" t="n">
        <x:v>2</x:v>
      </x:c>
      <x:c r="L178" s="19" t="n">
        <x:v>0.8</x:v>
      </x:c>
      <x:c r="M178" s="19" t="n">
        <x:v>0.75</x:v>
      </x:c>
    </x:row>
    <x:row r="179" ht="23" customHeight="1">
      <x:c r="A179" s="2" t="str">
        <x:v>D020_T02_C080_G075</x:v>
      </x:c>
      <x:c r="B179" s="2" t="str">
        <x:v>A0025</x:v>
      </x:c>
      <x:c r="C179" s="2" t="str">
        <x:v>圈内</x:v>
      </x:c>
      <x:c r="D179" s="10" t="n">
        <x:v>1</x:v>
      </x:c>
      <x:c r="E179" s="10" t="n">
        <x:v>2</x:v>
      </x:c>
      <x:c r="F179" s="10" t="n">
        <x:v>1</x:v>
      </x:c>
      <x:c r="G179" s="10" t="n">
        <x:v>1</x:v>
      </x:c>
      <x:c r="H179" s="10" t="n">
        <x:f>IF(G179=1,E179-D179,"")</x:f>
        <x:v>1</x:v>
      </x:c>
      <x:c r="I179" s="10" t="n">
        <x:f>MIN(F179,9)</x:f>
        <x:v>1</x:v>
      </x:c>
      <x:c r="J179" s="19" t="n">
        <x:v>0.2</x:v>
      </x:c>
      <x:c r="K179" s="2" t="n">
        <x:v>2</x:v>
      </x:c>
      <x:c r="L179" s="19" t="n">
        <x:v>0.8</x:v>
      </x:c>
      <x:c r="M179" s="19" t="n">
        <x:v>0.75</x:v>
      </x:c>
    </x:row>
    <x:row r="180" ht="23" customHeight="1">
      <x:c r="A180" s="2" t="str">
        <x:v>D020_T02_C080_G075</x:v>
      </x:c>
      <x:c r="B180" s="2" t="str">
        <x:v>A0033</x:v>
      </x:c>
      <x:c r="C180" s="2" t="str">
        <x:v>圈内</x:v>
      </x:c>
      <x:c r="D180" s="10" t="n">
        <x:v>1</x:v>
      </x:c>
      <x:c r="E180" s="10" t="n">
        <x:v>2</x:v>
      </x:c>
      <x:c r="F180" s="10" t="n">
        <x:v>1</x:v>
      </x:c>
      <x:c r="G180" s="10" t="n">
        <x:v>1</x:v>
      </x:c>
      <x:c r="H180" s="10" t="n">
        <x:f>IF(G180=1,E180-D180,"")</x:f>
        <x:v>1</x:v>
      </x:c>
      <x:c r="I180" s="10" t="n">
        <x:f>MIN(F180,9)</x:f>
        <x:v>1</x:v>
      </x:c>
      <x:c r="J180" s="19" t="n">
        <x:v>0.2</x:v>
      </x:c>
      <x:c r="K180" s="2" t="n">
        <x:v>2</x:v>
      </x:c>
      <x:c r="L180" s="19" t="n">
        <x:v>0.8</x:v>
      </x:c>
      <x:c r="M180" s="19" t="n">
        <x:v>0.75</x:v>
      </x:c>
    </x:row>
    <x:row r="181" ht="23" customHeight="1">
      <x:c r="A181" s="2" t="str">
        <x:v>D020_T02_C080_G075</x:v>
      </x:c>
      <x:c r="B181" s="2" t="str">
        <x:v>A0036</x:v>
      </x:c>
      <x:c r="C181" s="2" t="str">
        <x:v>圈内</x:v>
      </x:c>
      <x:c r="D181" s="10" t="n">
        <x:v>1</x:v>
      </x:c>
      <x:c r="E181" s="10" t="n">
        <x:v>2</x:v>
      </x:c>
      <x:c r="F181" s="10" t="n">
        <x:v>1</x:v>
      </x:c>
      <x:c r="G181" s="10" t="n">
        <x:v>1</x:v>
      </x:c>
      <x:c r="H181" s="10" t="n">
        <x:f>IF(G181=1,E181-D181,"")</x:f>
        <x:v>1</x:v>
      </x:c>
      <x:c r="I181" s="10" t="n">
        <x:f>MIN(F181,9)</x:f>
        <x:v>1</x:v>
      </x:c>
      <x:c r="J181" s="19" t="n">
        <x:v>0.2</x:v>
      </x:c>
      <x:c r="K181" s="2" t="n">
        <x:v>2</x:v>
      </x:c>
      <x:c r="L181" s="19" t="n">
        <x:v>0.8</x:v>
      </x:c>
      <x:c r="M181" s="19" t="n">
        <x:v>0.75</x:v>
      </x:c>
    </x:row>
    <x:row r="182" ht="23" customHeight="1">
      <x:c r="A182" s="2" t="str">
        <x:v>D020_T02_C080_G075</x:v>
      </x:c>
      <x:c r="B182" s="2" t="str">
        <x:v>A0041</x:v>
      </x:c>
      <x:c r="C182" s="2" t="str">
        <x:v>圈内</x:v>
      </x:c>
      <x:c r="D182" s="10" t="n">
        <x:v>1</x:v>
      </x:c>
      <x:c r="E182" s="10" t="n">
        <x:v>2</x:v>
      </x:c>
      <x:c r="F182" s="10" t="n">
        <x:v>1</x:v>
      </x:c>
      <x:c r="G182" s="10" t="n">
        <x:v>1</x:v>
      </x:c>
      <x:c r="H182" s="10" t="n">
        <x:f>IF(G182=1,E182-D182,"")</x:f>
        <x:v>1</x:v>
      </x:c>
      <x:c r="I182" s="10" t="n">
        <x:f>MIN(F182,9)</x:f>
        <x:v>1</x:v>
      </x:c>
      <x:c r="J182" s="19" t="n">
        <x:v>0.2</x:v>
      </x:c>
      <x:c r="K182" s="2" t="n">
        <x:v>2</x:v>
      </x:c>
      <x:c r="L182" s="19" t="n">
        <x:v>0.8</x:v>
      </x:c>
      <x:c r="M182" s="19" t="n">
        <x:v>0.75</x:v>
      </x:c>
    </x:row>
    <x:row r="183" ht="23" customHeight="1">
      <x:c r="A183" s="2" t="str">
        <x:v>D020_T02_C080_G075</x:v>
      </x:c>
      <x:c r="B183" s="2" t="str">
        <x:v>A0043</x:v>
      </x:c>
      <x:c r="C183" s="2" t="str">
        <x:v>圈内</x:v>
      </x:c>
      <x:c r="D183" s="10" t="n">
        <x:v>1</x:v>
      </x:c>
      <x:c r="E183" s="10" t="n">
        <x:v>2</x:v>
      </x:c>
      <x:c r="F183" s="10" t="n">
        <x:v>1</x:v>
      </x:c>
      <x:c r="G183" s="10" t="n">
        <x:v>1</x:v>
      </x:c>
      <x:c r="H183" s="10" t="n">
        <x:f>IF(G183=1,E183-D183,"")</x:f>
        <x:v>1</x:v>
      </x:c>
      <x:c r="I183" s="10" t="n">
        <x:f>MIN(F183,9)</x:f>
        <x:v>1</x:v>
      </x:c>
      <x:c r="J183" s="19" t="n">
        <x:v>0.2</x:v>
      </x:c>
      <x:c r="K183" s="2" t="n">
        <x:v>2</x:v>
      </x:c>
      <x:c r="L183" s="19" t="n">
        <x:v>0.8</x:v>
      </x:c>
      <x:c r="M183" s="19" t="n">
        <x:v>0.75</x:v>
      </x:c>
    </x:row>
    <x:row r="184" ht="23" customHeight="1">
      <x:c r="A184" s="2" t="str">
        <x:v>D020_T02_C080_G075</x:v>
      </x:c>
      <x:c r="B184" s="2" t="str">
        <x:v>A0206</x:v>
      </x:c>
      <x:c r="C184" s="2" t="str">
        <x:v>圈内</x:v>
      </x:c>
      <x:c r="D184" s="10" t="n">
        <x:v>1</x:v>
      </x:c>
      <x:c r="E184" s="10" t="n">
        <x:v>2</x:v>
      </x:c>
      <x:c r="F184" s="10" t="n">
        <x:v>1</x:v>
      </x:c>
      <x:c r="G184" s="10" t="n">
        <x:v>1</x:v>
      </x:c>
      <x:c r="H184" s="10" t="n">
        <x:f>IF(G184=1,E184-D184,"")</x:f>
        <x:v>1</x:v>
      </x:c>
      <x:c r="I184" s="10" t="n">
        <x:f>MIN(F184,9)</x:f>
        <x:v>1</x:v>
      </x:c>
      <x:c r="J184" s="19" t="n">
        <x:v>0.2</x:v>
      </x:c>
      <x:c r="K184" s="2" t="n">
        <x:v>2</x:v>
      </x:c>
      <x:c r="L184" s="19" t="n">
        <x:v>0.8</x:v>
      </x:c>
      <x:c r="M184" s="19" t="n">
        <x:v>0.75</x:v>
      </x:c>
    </x:row>
    <x:row r="185" ht="23" customHeight="1">
      <x:c r="A185" s="2" t="str">
        <x:v>D020_T04_C020_G025</x:v>
      </x:c>
      <x:c r="B185" s="2" t="str">
        <x:v>A0005</x:v>
      </x:c>
      <x:c r="C185" s="2" t="str">
        <x:v>圈内</x:v>
      </x:c>
      <x:c r="D185" s="10" t="n">
        <x:v>1</x:v>
      </x:c>
      <x:c r="E185" s="10"/>
      <x:c r="F185" s="10" t="n">
        <x:v>9</x:v>
      </x:c>
      <x:c r="G185" s="10" t="n">
        <x:v>0</x:v>
      </x:c>
      <x:c r="H185" s="10" t="str">
        <x:f>IF(G185=1,E185-D185,"")</x:f>
      </x:c>
      <x:c r="I185" s="10" t="n">
        <x:f>MIN(F185,9)</x:f>
        <x:v>9</x:v>
      </x:c>
      <x:c r="J185" s="19" t="n">
        <x:v>0.2</x:v>
      </x:c>
      <x:c r="K185" s="2" t="n">
        <x:v>4</x:v>
      </x:c>
      <x:c r="L185" s="19" t="n">
        <x:v>0.2</x:v>
      </x:c>
      <x:c r="M185" s="19" t="n">
        <x:v>0.25</x:v>
      </x:c>
    </x:row>
    <x:row r="186" ht="23" customHeight="1">
      <x:c r="A186" s="2" t="str">
        <x:v>D020_T04_C020_G025</x:v>
      </x:c>
      <x:c r="B186" s="2" t="str">
        <x:v>A0011</x:v>
      </x:c>
      <x:c r="C186" s="2" t="str">
        <x:v>圈内</x:v>
      </x:c>
      <x:c r="D186" s="10" t="n">
        <x:v>1</x:v>
      </x:c>
      <x:c r="E186" s="10" t="n">
        <x:v>7</x:v>
      </x:c>
      <x:c r="F186" s="10" t="n">
        <x:v>6</x:v>
      </x:c>
      <x:c r="G186" s="10" t="n">
        <x:v>1</x:v>
      </x:c>
      <x:c r="H186" s="10" t="n">
        <x:f>IF(G186=1,E186-D186,"")</x:f>
        <x:v>6</x:v>
      </x:c>
      <x:c r="I186" s="10" t="n">
        <x:f>MIN(F186,9)</x:f>
        <x:v>6</x:v>
      </x:c>
      <x:c r="J186" s="19" t="n">
        <x:v>0.2</x:v>
      </x:c>
      <x:c r="K186" s="2" t="n">
        <x:v>4</x:v>
      </x:c>
      <x:c r="L186" s="19" t="n">
        <x:v>0.2</x:v>
      </x:c>
      <x:c r="M186" s="19" t="n">
        <x:v>0.25</x:v>
      </x:c>
    </x:row>
    <x:row r="187" ht="23" customHeight="1">
      <x:c r="A187" s="2" t="str">
        <x:v>D020_T04_C020_G025</x:v>
      </x:c>
      <x:c r="B187" s="2" t="str">
        <x:v>A0012</x:v>
      </x:c>
      <x:c r="C187" s="2" t="str">
        <x:v>圈内</x:v>
      </x:c>
      <x:c r="D187" s="10" t="n">
        <x:v>1</x:v>
      </x:c>
      <x:c r="E187" s="10"/>
      <x:c r="F187" s="10" t="n">
        <x:v>9</x:v>
      </x:c>
      <x:c r="G187" s="10" t="n">
        <x:v>0</x:v>
      </x:c>
      <x:c r="H187" s="10" t="str">
        <x:f>IF(G187=1,E187-D187,"")</x:f>
      </x:c>
      <x:c r="I187" s="10" t="n">
        <x:f>MIN(F187,9)</x:f>
        <x:v>9</x:v>
      </x:c>
      <x:c r="J187" s="19" t="n">
        <x:v>0.2</x:v>
      </x:c>
      <x:c r="K187" s="2" t="n">
        <x:v>4</x:v>
      </x:c>
      <x:c r="L187" s="19" t="n">
        <x:v>0.2</x:v>
      </x:c>
      <x:c r="M187" s="19" t="n">
        <x:v>0.25</x:v>
      </x:c>
    </x:row>
    <x:row r="188" ht="23" customHeight="1">
      <x:c r="A188" s="2" t="str">
        <x:v>D020_T04_C020_G025</x:v>
      </x:c>
      <x:c r="B188" s="2" t="str">
        <x:v>A0014</x:v>
      </x:c>
      <x:c r="C188" s="2" t="str">
        <x:v>圈内</x:v>
      </x:c>
      <x:c r="D188" s="10" t="n">
        <x:v>1</x:v>
      </x:c>
      <x:c r="E188" s="10" t="n">
        <x:v>4</x:v>
      </x:c>
      <x:c r="F188" s="10" t="n">
        <x:v>3</x:v>
      </x:c>
      <x:c r="G188" s="10" t="n">
        <x:v>1</x:v>
      </x:c>
      <x:c r="H188" s="10" t="n">
        <x:f>IF(G188=1,E188-D188,"")</x:f>
        <x:v>3</x:v>
      </x:c>
      <x:c r="I188" s="10" t="n">
        <x:f>MIN(F188,9)</x:f>
        <x:v>3</x:v>
      </x:c>
      <x:c r="J188" s="19" t="n">
        <x:v>0.2</x:v>
      </x:c>
      <x:c r="K188" s="2" t="n">
        <x:v>4</x:v>
      </x:c>
      <x:c r="L188" s="19" t="n">
        <x:v>0.2</x:v>
      </x:c>
      <x:c r="M188" s="19" t="n">
        <x:v>0.25</x:v>
      </x:c>
    </x:row>
    <x:row r="189" ht="23" customHeight="1">
      <x:c r="A189" s="2" t="str">
        <x:v>D020_T04_C020_G025</x:v>
      </x:c>
      <x:c r="B189" s="2" t="str">
        <x:v>A0017</x:v>
      </x:c>
      <x:c r="C189" s="2" t="str">
        <x:v>圈内</x:v>
      </x:c>
      <x:c r="D189" s="10" t="n">
        <x:v>1</x:v>
      </x:c>
      <x:c r="E189" s="10"/>
      <x:c r="F189" s="10" t="n">
        <x:v>9</x:v>
      </x:c>
      <x:c r="G189" s="10" t="n">
        <x:v>0</x:v>
      </x:c>
      <x:c r="H189" s="10" t="str">
        <x:f>IF(G189=1,E189-D189,"")</x:f>
      </x:c>
      <x:c r="I189" s="10" t="n">
        <x:f>MIN(F189,9)</x:f>
        <x:v>9</x:v>
      </x:c>
      <x:c r="J189" s="19" t="n">
        <x:v>0.2</x:v>
      </x:c>
      <x:c r="K189" s="2" t="n">
        <x:v>4</x:v>
      </x:c>
      <x:c r="L189" s="19" t="n">
        <x:v>0.2</x:v>
      </x:c>
      <x:c r="M189" s="19" t="n">
        <x:v>0.25</x:v>
      </x:c>
    </x:row>
    <x:row r="190" ht="23" customHeight="1">
      <x:c r="A190" s="2" t="str">
        <x:v>D020_T04_C020_G025</x:v>
      </x:c>
      <x:c r="B190" s="2" t="str">
        <x:v>A0018</x:v>
      </x:c>
      <x:c r="C190" s="2" t="str">
        <x:v>圈内</x:v>
      </x:c>
      <x:c r="D190" s="10" t="n">
        <x:v>1</x:v>
      </x:c>
      <x:c r="E190" s="10"/>
      <x:c r="F190" s="10" t="n">
        <x:v>9</x:v>
      </x:c>
      <x:c r="G190" s="10" t="n">
        <x:v>0</x:v>
      </x:c>
      <x:c r="H190" s="10" t="str">
        <x:f>IF(G190=1,E190-D190,"")</x:f>
      </x:c>
      <x:c r="I190" s="10" t="n">
        <x:f>MIN(F190,9)</x:f>
        <x:v>9</x:v>
      </x:c>
      <x:c r="J190" s="19" t="n">
        <x:v>0.2</x:v>
      </x:c>
      <x:c r="K190" s="2" t="n">
        <x:v>4</x:v>
      </x:c>
      <x:c r="L190" s="19" t="n">
        <x:v>0.2</x:v>
      </x:c>
      <x:c r="M190" s="19" t="n">
        <x:v>0.25</x:v>
      </x:c>
    </x:row>
    <x:row r="191" ht="23" customHeight="1">
      <x:c r="A191" s="2" t="str">
        <x:v>D020_T04_C020_G025</x:v>
      </x:c>
      <x:c r="B191" s="2" t="str">
        <x:v>A0020</x:v>
      </x:c>
      <x:c r="C191" s="2" t="str">
        <x:v>圈内</x:v>
      </x:c>
      <x:c r="D191" s="10" t="n">
        <x:v>1</x:v>
      </x:c>
      <x:c r="E191" s="10" t="n">
        <x:v>6</x:v>
      </x:c>
      <x:c r="F191" s="10" t="n">
        <x:v>5</x:v>
      </x:c>
      <x:c r="G191" s="10" t="n">
        <x:v>1</x:v>
      </x:c>
      <x:c r="H191" s="10" t="n">
        <x:f>IF(G191=1,E191-D191,"")</x:f>
        <x:v>5</x:v>
      </x:c>
      <x:c r="I191" s="10" t="n">
        <x:f>MIN(F191,9)</x:f>
        <x:v>5</x:v>
      </x:c>
      <x:c r="J191" s="19" t="n">
        <x:v>0.2</x:v>
      </x:c>
      <x:c r="K191" s="2" t="n">
        <x:v>4</x:v>
      </x:c>
      <x:c r="L191" s="19" t="n">
        <x:v>0.2</x:v>
      </x:c>
      <x:c r="M191" s="19" t="n">
        <x:v>0.25</x:v>
      </x:c>
    </x:row>
    <x:row r="192" ht="23" customHeight="1">
      <x:c r="A192" s="2" t="str">
        <x:v>D020_T04_C020_G025</x:v>
      </x:c>
      <x:c r="B192" s="2" t="str">
        <x:v>A0024</x:v>
      </x:c>
      <x:c r="C192" s="2" t="str">
        <x:v>圈内</x:v>
      </x:c>
      <x:c r="D192" s="10" t="n">
        <x:v>1</x:v>
      </x:c>
      <x:c r="E192" s="10"/>
      <x:c r="F192" s="10" t="n">
        <x:v>9</x:v>
      </x:c>
      <x:c r="G192" s="10" t="n">
        <x:v>0</x:v>
      </x:c>
      <x:c r="H192" s="10" t="str">
        <x:f>IF(G192=1,E192-D192,"")</x:f>
      </x:c>
      <x:c r="I192" s="10" t="n">
        <x:f>MIN(F192,9)</x:f>
        <x:v>9</x:v>
      </x:c>
      <x:c r="J192" s="19" t="n">
        <x:v>0.2</x:v>
      </x:c>
      <x:c r="K192" s="2" t="n">
        <x:v>4</x:v>
      </x:c>
      <x:c r="L192" s="19" t="n">
        <x:v>0.2</x:v>
      </x:c>
      <x:c r="M192" s="19" t="n">
        <x:v>0.25</x:v>
      </x:c>
    </x:row>
    <x:row r="193" ht="23" customHeight="1">
      <x:c r="A193" s="2" t="str">
        <x:v>D020_T04_C020_G025</x:v>
      </x:c>
      <x:c r="B193" s="2" t="str">
        <x:v>A0025</x:v>
      </x:c>
      <x:c r="C193" s="2" t="str">
        <x:v>圈内</x:v>
      </x:c>
      <x:c r="D193" s="10" t="n">
        <x:v>1</x:v>
      </x:c>
      <x:c r="E193" s="10"/>
      <x:c r="F193" s="10" t="n">
        <x:v>9</x:v>
      </x:c>
      <x:c r="G193" s="10" t="n">
        <x:v>0</x:v>
      </x:c>
      <x:c r="H193" s="10" t="str">
        <x:f>IF(G193=1,E193-D193,"")</x:f>
      </x:c>
      <x:c r="I193" s="10" t="n">
        <x:f>MIN(F193,9)</x:f>
        <x:v>9</x:v>
      </x:c>
      <x:c r="J193" s="19" t="n">
        <x:v>0.2</x:v>
      </x:c>
      <x:c r="K193" s="2" t="n">
        <x:v>4</x:v>
      </x:c>
      <x:c r="L193" s="19" t="n">
        <x:v>0.2</x:v>
      </x:c>
      <x:c r="M193" s="19" t="n">
        <x:v>0.25</x:v>
      </x:c>
    </x:row>
    <x:row r="194" ht="23" customHeight="1">
      <x:c r="A194" s="2" t="str">
        <x:v>D020_T04_C020_G025</x:v>
      </x:c>
      <x:c r="B194" s="2" t="str">
        <x:v>A0030</x:v>
      </x:c>
      <x:c r="C194" s="2" t="str">
        <x:v>圈内</x:v>
      </x:c>
      <x:c r="D194" s="10" t="n">
        <x:v>1</x:v>
      </x:c>
      <x:c r="E194" s="10" t="n">
        <x:v>7</x:v>
      </x:c>
      <x:c r="F194" s="10" t="n">
        <x:v>6</x:v>
      </x:c>
      <x:c r="G194" s="10" t="n">
        <x:v>1</x:v>
      </x:c>
      <x:c r="H194" s="10" t="n">
        <x:f>IF(G194=1,E194-D194,"")</x:f>
        <x:v>6</x:v>
      </x:c>
      <x:c r="I194" s="10" t="n">
        <x:f>MIN(F194,9)</x:f>
        <x:v>6</x:v>
      </x:c>
      <x:c r="J194" s="19" t="n">
        <x:v>0.2</x:v>
      </x:c>
      <x:c r="K194" s="2" t="n">
        <x:v>4</x:v>
      </x:c>
      <x:c r="L194" s="19" t="n">
        <x:v>0.2</x:v>
      </x:c>
      <x:c r="M194" s="19" t="n">
        <x:v>0.25</x:v>
      </x:c>
    </x:row>
    <x:row r="195" ht="23" customHeight="1">
      <x:c r="A195" s="2" t="str">
        <x:v>D020_T04_C020_G025</x:v>
      </x:c>
      <x:c r="B195" s="2" t="str">
        <x:v>A0032</x:v>
      </x:c>
      <x:c r="C195" s="2" t="str">
        <x:v>圈内</x:v>
      </x:c>
      <x:c r="D195" s="10" t="n">
        <x:v>1</x:v>
      </x:c>
      <x:c r="E195" s="10"/>
      <x:c r="F195" s="10" t="n">
        <x:v>9</x:v>
      </x:c>
      <x:c r="G195" s="10" t="n">
        <x:v>0</x:v>
      </x:c>
      <x:c r="H195" s="10" t="str">
        <x:f>IF(G195=1,E195-D195,"")</x:f>
      </x:c>
      <x:c r="I195" s="10" t="n">
        <x:f>MIN(F195,9)</x:f>
        <x:v>9</x:v>
      </x:c>
      <x:c r="J195" s="19" t="n">
        <x:v>0.2</x:v>
      </x:c>
      <x:c r="K195" s="2" t="n">
        <x:v>4</x:v>
      </x:c>
      <x:c r="L195" s="19" t="n">
        <x:v>0.2</x:v>
      </x:c>
      <x:c r="M195" s="19" t="n">
        <x:v>0.25</x:v>
      </x:c>
    </x:row>
    <x:row r="196" ht="23" customHeight="1">
      <x:c r="A196" s="2" t="str">
        <x:v>D020_T04_C020_G025</x:v>
      </x:c>
      <x:c r="B196" s="2" t="str">
        <x:v>A0033</x:v>
      </x:c>
      <x:c r="C196" s="2" t="str">
        <x:v>圈内</x:v>
      </x:c>
      <x:c r="D196" s="10" t="n">
        <x:v>1</x:v>
      </x:c>
      <x:c r="E196" s="10" t="n">
        <x:v>6</x:v>
      </x:c>
      <x:c r="F196" s="10" t="n">
        <x:v>5</x:v>
      </x:c>
      <x:c r="G196" s="10" t="n">
        <x:v>1</x:v>
      </x:c>
      <x:c r="H196" s="10" t="n">
        <x:f>IF(G196=1,E196-D196,"")</x:f>
        <x:v>5</x:v>
      </x:c>
      <x:c r="I196" s="10" t="n">
        <x:f>MIN(F196,9)</x:f>
        <x:v>5</x:v>
      </x:c>
      <x:c r="J196" s="19" t="n">
        <x:v>0.2</x:v>
      </x:c>
      <x:c r="K196" s="2" t="n">
        <x:v>4</x:v>
      </x:c>
      <x:c r="L196" s="19" t="n">
        <x:v>0.2</x:v>
      </x:c>
      <x:c r="M196" s="19" t="n">
        <x:v>0.25</x:v>
      </x:c>
    </x:row>
    <x:row r="197" ht="23" customHeight="1">
      <x:c r="A197" s="2" t="str">
        <x:v>D020_T04_C020_G025</x:v>
      </x:c>
      <x:c r="B197" s="2" t="str">
        <x:v>A0036</x:v>
      </x:c>
      <x:c r="C197" s="2" t="str">
        <x:v>圈内</x:v>
      </x:c>
      <x:c r="D197" s="10" t="n">
        <x:v>1</x:v>
      </x:c>
      <x:c r="E197" s="10"/>
      <x:c r="F197" s="10" t="n">
        <x:v>9</x:v>
      </x:c>
      <x:c r="G197" s="10" t="n">
        <x:v>0</x:v>
      </x:c>
      <x:c r="H197" s="10" t="str">
        <x:f>IF(G197=1,E197-D197,"")</x:f>
      </x:c>
      <x:c r="I197" s="10" t="n">
        <x:f>MIN(F197,9)</x:f>
        <x:v>9</x:v>
      </x:c>
      <x:c r="J197" s="19" t="n">
        <x:v>0.2</x:v>
      </x:c>
      <x:c r="K197" s="2" t="n">
        <x:v>4</x:v>
      </x:c>
      <x:c r="L197" s="19" t="n">
        <x:v>0.2</x:v>
      </x:c>
      <x:c r="M197" s="19" t="n">
        <x:v>0.25</x:v>
      </x:c>
    </x:row>
    <x:row r="198" ht="23" customHeight="1">
      <x:c r="A198" s="2" t="str">
        <x:v>D020_T04_C020_G025</x:v>
      </x:c>
      <x:c r="B198" s="2" t="str">
        <x:v>A0040</x:v>
      </x:c>
      <x:c r="C198" s="2" t="str">
        <x:v>圈内</x:v>
      </x:c>
      <x:c r="D198" s="10" t="n">
        <x:v>1</x:v>
      </x:c>
      <x:c r="E198" s="10"/>
      <x:c r="F198" s="10" t="n">
        <x:v>9</x:v>
      </x:c>
      <x:c r="G198" s="10" t="n">
        <x:v>0</x:v>
      </x:c>
      <x:c r="H198" s="10" t="str">
        <x:f>IF(G198=1,E198-D198,"")</x:f>
      </x:c>
      <x:c r="I198" s="10" t="n">
        <x:f>MIN(F198,9)</x:f>
        <x:v>9</x:v>
      </x:c>
      <x:c r="J198" s="19" t="n">
        <x:v>0.2</x:v>
      </x:c>
      <x:c r="K198" s="2" t="n">
        <x:v>4</x:v>
      </x:c>
      <x:c r="L198" s="19" t="n">
        <x:v>0.2</x:v>
      </x:c>
      <x:c r="M198" s="19" t="n">
        <x:v>0.25</x:v>
      </x:c>
    </x:row>
    <x:row r="199" ht="23" customHeight="1">
      <x:c r="A199" s="2" t="str">
        <x:v>D020_T04_C020_G025</x:v>
      </x:c>
      <x:c r="B199" s="2" t="str">
        <x:v>A0189</x:v>
      </x:c>
      <x:c r="C199" s="2" t="str">
        <x:v>圈内</x:v>
      </x:c>
      <x:c r="D199" s="10" t="n">
        <x:v>1</x:v>
      </x:c>
      <x:c r="E199" s="10"/>
      <x:c r="F199" s="10" t="n">
        <x:v>9</x:v>
      </x:c>
      <x:c r="G199" s="10" t="n">
        <x:v>0</x:v>
      </x:c>
      <x:c r="H199" s="10" t="str">
        <x:f>IF(G199=1,E199-D199,"")</x:f>
      </x:c>
      <x:c r="I199" s="10" t="n">
        <x:f>MIN(F199,9)</x:f>
        <x:v>9</x:v>
      </x:c>
      <x:c r="J199" s="19" t="n">
        <x:v>0.2</x:v>
      </x:c>
      <x:c r="K199" s="2" t="n">
        <x:v>4</x:v>
      </x:c>
      <x:c r="L199" s="19" t="n">
        <x:v>0.2</x:v>
      </x:c>
      <x:c r="M199" s="19" t="n">
        <x:v>0.25</x:v>
      </x:c>
    </x:row>
    <x:row r="200" ht="23" customHeight="1">
      <x:c r="A200" s="2" t="str">
        <x:v>D020_T04_C020_G025</x:v>
      </x:c>
      <x:c r="B200" s="2" t="str">
        <x:v>A0206</x:v>
      </x:c>
      <x:c r="C200" s="2" t="str">
        <x:v>圈内</x:v>
      </x:c>
      <x:c r="D200" s="10" t="n">
        <x:v>1</x:v>
      </x:c>
      <x:c r="E200" s="10" t="n">
        <x:v>4</x:v>
      </x:c>
      <x:c r="F200" s="10" t="n">
        <x:v>3</x:v>
      </x:c>
      <x:c r="G200" s="10" t="n">
        <x:v>1</x:v>
      </x:c>
      <x:c r="H200" s="10" t="n">
        <x:f>IF(G200=1,E200-D200,"")</x:f>
        <x:v>3</x:v>
      </x:c>
      <x:c r="I200" s="10" t="n">
        <x:f>MIN(F200,9)</x:f>
        <x:v>3</x:v>
      </x:c>
      <x:c r="J200" s="19" t="n">
        <x:v>0.2</x:v>
      </x:c>
      <x:c r="K200" s="2" t="n">
        <x:v>4</x:v>
      </x:c>
      <x:c r="L200" s="19" t="n">
        <x:v>0.2</x:v>
      </x:c>
      <x:c r="M200" s="19" t="n">
        <x:v>0.25</x:v>
      </x:c>
    </x:row>
    <x:row r="201" ht="23" customHeight="1">
      <x:c r="A201" s="2" t="str">
        <x:v>D020_T04_C020_G050</x:v>
      </x:c>
      <x:c r="B201" s="2" t="str">
        <x:v>A0011</x:v>
      </x:c>
      <x:c r="C201" s="2" t="str">
        <x:v>圈内</x:v>
      </x:c>
      <x:c r="D201" s="10" t="n">
        <x:v>1</x:v>
      </x:c>
      <x:c r="E201" s="10" t="n">
        <x:v>5</x:v>
      </x:c>
      <x:c r="F201" s="10" t="n">
        <x:v>4</x:v>
      </x:c>
      <x:c r="G201" s="10" t="n">
        <x:v>1</x:v>
      </x:c>
      <x:c r="H201" s="10" t="n">
        <x:f>IF(G201=1,E201-D201,"")</x:f>
        <x:v>4</x:v>
      </x:c>
      <x:c r="I201" s="10" t="n">
        <x:f>MIN(F201,9)</x:f>
        <x:v>4</x:v>
      </x:c>
      <x:c r="J201" s="19" t="n">
        <x:v>0.2</x:v>
      </x:c>
      <x:c r="K201" s="2" t="n">
        <x:v>4</x:v>
      </x:c>
      <x:c r="L201" s="19" t="n">
        <x:v>0.2</x:v>
      </x:c>
      <x:c r="M201" s="19" t="n">
        <x:v>0.5</x:v>
      </x:c>
    </x:row>
    <x:row r="202" ht="23" customHeight="1">
      <x:c r="A202" s="2" t="str">
        <x:v>D020_T04_C020_G050</x:v>
      </x:c>
      <x:c r="B202" s="2" t="str">
        <x:v>A0012</x:v>
      </x:c>
      <x:c r="C202" s="2" t="str">
        <x:v>圈内</x:v>
      </x:c>
      <x:c r="D202" s="10" t="n">
        <x:v>1</x:v>
      </x:c>
      <x:c r="E202" s="10" t="n">
        <x:v>8</x:v>
      </x:c>
      <x:c r="F202" s="10" t="n">
        <x:v>7</x:v>
      </x:c>
      <x:c r="G202" s="10" t="n">
        <x:v>1</x:v>
      </x:c>
      <x:c r="H202" s="10" t="n">
        <x:f>IF(G202=1,E202-D202,"")</x:f>
        <x:v>7</x:v>
      </x:c>
      <x:c r="I202" s="10" t="n">
        <x:f>MIN(F202,9)</x:f>
        <x:v>7</x:v>
      </x:c>
      <x:c r="J202" s="19" t="n">
        <x:v>0.2</x:v>
      </x:c>
      <x:c r="K202" s="2" t="n">
        <x:v>4</x:v>
      </x:c>
      <x:c r="L202" s="19" t="n">
        <x:v>0.2</x:v>
      </x:c>
      <x:c r="M202" s="19" t="n">
        <x:v>0.5</x:v>
      </x:c>
    </x:row>
    <x:row r="203" ht="23" customHeight="1">
      <x:c r="A203" s="2" t="str">
        <x:v>D020_T04_C020_G050</x:v>
      </x:c>
      <x:c r="B203" s="2" t="str">
        <x:v>A0014</x:v>
      </x:c>
      <x:c r="C203" s="2" t="str">
        <x:v>圈内</x:v>
      </x:c>
      <x:c r="D203" s="10" t="n">
        <x:v>1</x:v>
      </x:c>
      <x:c r="E203" s="10" t="n">
        <x:v>4</x:v>
      </x:c>
      <x:c r="F203" s="10" t="n">
        <x:v>3</x:v>
      </x:c>
      <x:c r="G203" s="10" t="n">
        <x:v>1</x:v>
      </x:c>
      <x:c r="H203" s="10" t="n">
        <x:f>IF(G203=1,E203-D203,"")</x:f>
        <x:v>3</x:v>
      </x:c>
      <x:c r="I203" s="10" t="n">
        <x:f>MIN(F203,9)</x:f>
        <x:v>3</x:v>
      </x:c>
      <x:c r="J203" s="19" t="n">
        <x:v>0.2</x:v>
      </x:c>
      <x:c r="K203" s="2" t="n">
        <x:v>4</x:v>
      </x:c>
      <x:c r="L203" s="19" t="n">
        <x:v>0.2</x:v>
      </x:c>
      <x:c r="M203" s="19" t="n">
        <x:v>0.5</x:v>
      </x:c>
    </x:row>
    <x:row r="204" ht="23" customHeight="1">
      <x:c r="A204" s="2" t="str">
        <x:v>D020_T04_C020_G050</x:v>
      </x:c>
      <x:c r="B204" s="2" t="str">
        <x:v>A0016</x:v>
      </x:c>
      <x:c r="C204" s="2" t="str">
        <x:v>圈内</x:v>
      </x:c>
      <x:c r="D204" s="10" t="n">
        <x:v>1</x:v>
      </x:c>
      <x:c r="E204" s="10" t="n">
        <x:v>6</x:v>
      </x:c>
      <x:c r="F204" s="10" t="n">
        <x:v>5</x:v>
      </x:c>
      <x:c r="G204" s="10" t="n">
        <x:v>1</x:v>
      </x:c>
      <x:c r="H204" s="10" t="n">
        <x:f>IF(G204=1,E204-D204,"")</x:f>
        <x:v>5</x:v>
      </x:c>
      <x:c r="I204" s="10" t="n">
        <x:f>MIN(F204,9)</x:f>
        <x:v>5</x:v>
      </x:c>
      <x:c r="J204" s="19" t="n">
        <x:v>0.2</x:v>
      </x:c>
      <x:c r="K204" s="2" t="n">
        <x:v>4</x:v>
      </x:c>
      <x:c r="L204" s="19" t="n">
        <x:v>0.2</x:v>
      </x:c>
      <x:c r="M204" s="19" t="n">
        <x:v>0.5</x:v>
      </x:c>
    </x:row>
    <x:row r="205" ht="23" customHeight="1">
      <x:c r="A205" s="2" t="str">
        <x:v>D020_T04_C020_G050</x:v>
      </x:c>
      <x:c r="B205" s="2" t="str">
        <x:v>A0017</x:v>
      </x:c>
      <x:c r="C205" s="2" t="str">
        <x:v>圈内</x:v>
      </x:c>
      <x:c r="D205" s="10" t="n">
        <x:v>1</x:v>
      </x:c>
      <x:c r="E205" s="10"/>
      <x:c r="F205" s="10" t="n">
        <x:v>9</x:v>
      </x:c>
      <x:c r="G205" s="10" t="n">
        <x:v>0</x:v>
      </x:c>
      <x:c r="H205" s="10" t="str">
        <x:f>IF(G205=1,E205-D205,"")</x:f>
      </x:c>
      <x:c r="I205" s="10" t="n">
        <x:f>MIN(F205,9)</x:f>
        <x:v>9</x:v>
      </x:c>
      <x:c r="J205" s="19" t="n">
        <x:v>0.2</x:v>
      </x:c>
      <x:c r="K205" s="2" t="n">
        <x:v>4</x:v>
      </x:c>
      <x:c r="L205" s="19" t="n">
        <x:v>0.2</x:v>
      </x:c>
      <x:c r="M205" s="19" t="n">
        <x:v>0.5</x:v>
      </x:c>
    </x:row>
    <x:row r="206" ht="23" customHeight="1">
      <x:c r="A206" s="2" t="str">
        <x:v>D020_T04_C020_G050</x:v>
      </x:c>
      <x:c r="B206" s="2" t="str">
        <x:v>A0018</x:v>
      </x:c>
      <x:c r="C206" s="2" t="str">
        <x:v>圈内</x:v>
      </x:c>
      <x:c r="D206" s="10" t="n">
        <x:v>1</x:v>
      </x:c>
      <x:c r="E206" s="10" t="n">
        <x:v>5</x:v>
      </x:c>
      <x:c r="F206" s="10" t="n">
        <x:v>4</x:v>
      </x:c>
      <x:c r="G206" s="10" t="n">
        <x:v>1</x:v>
      </x:c>
      <x:c r="H206" s="10" t="n">
        <x:f>IF(G206=1,E206-D206,"")</x:f>
        <x:v>4</x:v>
      </x:c>
      <x:c r="I206" s="10" t="n">
        <x:f>MIN(F206,9)</x:f>
        <x:v>4</x:v>
      </x:c>
      <x:c r="J206" s="19" t="n">
        <x:v>0.2</x:v>
      </x:c>
      <x:c r="K206" s="2" t="n">
        <x:v>4</x:v>
      </x:c>
      <x:c r="L206" s="19" t="n">
        <x:v>0.2</x:v>
      </x:c>
      <x:c r="M206" s="19" t="n">
        <x:v>0.5</x:v>
      </x:c>
    </x:row>
    <x:row r="207" ht="23" customHeight="1">
      <x:c r="A207" s="2" t="str">
        <x:v>D020_T04_C020_G050</x:v>
      </x:c>
      <x:c r="B207" s="2" t="str">
        <x:v>A0019</x:v>
      </x:c>
      <x:c r="C207" s="2" t="str">
        <x:v>圈内</x:v>
      </x:c>
      <x:c r="D207" s="10" t="n">
        <x:v>1</x:v>
      </x:c>
      <x:c r="E207" s="10" t="n">
        <x:v>6</x:v>
      </x:c>
      <x:c r="F207" s="10" t="n">
        <x:v>5</x:v>
      </x:c>
      <x:c r="G207" s="10" t="n">
        <x:v>1</x:v>
      </x:c>
      <x:c r="H207" s="10" t="n">
        <x:f>IF(G207=1,E207-D207,"")</x:f>
        <x:v>5</x:v>
      </x:c>
      <x:c r="I207" s="10" t="n">
        <x:f>MIN(F207,9)</x:f>
        <x:v>5</x:v>
      </x:c>
      <x:c r="J207" s="19" t="n">
        <x:v>0.2</x:v>
      </x:c>
      <x:c r="K207" s="2" t="n">
        <x:v>4</x:v>
      </x:c>
      <x:c r="L207" s="19" t="n">
        <x:v>0.2</x:v>
      </x:c>
      <x:c r="M207" s="19" t="n">
        <x:v>0.5</x:v>
      </x:c>
    </x:row>
    <x:row r="208" ht="23" customHeight="1">
      <x:c r="A208" s="2" t="str">
        <x:v>D020_T04_C020_G050</x:v>
      </x:c>
      <x:c r="B208" s="2" t="str">
        <x:v>A0020</x:v>
      </x:c>
      <x:c r="C208" s="2" t="str">
        <x:v>圈内</x:v>
      </x:c>
      <x:c r="D208" s="10" t="n">
        <x:v>1</x:v>
      </x:c>
      <x:c r="E208" s="10" t="n">
        <x:v>4</x:v>
      </x:c>
      <x:c r="F208" s="10" t="n">
        <x:v>3</x:v>
      </x:c>
      <x:c r="G208" s="10" t="n">
        <x:v>1</x:v>
      </x:c>
      <x:c r="H208" s="10" t="n">
        <x:f>IF(G208=1,E208-D208,"")</x:f>
        <x:v>3</x:v>
      </x:c>
      <x:c r="I208" s="10" t="n">
        <x:f>MIN(F208,9)</x:f>
        <x:v>3</x:v>
      </x:c>
      <x:c r="J208" s="19" t="n">
        <x:v>0.2</x:v>
      </x:c>
      <x:c r="K208" s="2" t="n">
        <x:v>4</x:v>
      </x:c>
      <x:c r="L208" s="19" t="n">
        <x:v>0.2</x:v>
      </x:c>
      <x:c r="M208" s="19" t="n">
        <x:v>0.5</x:v>
      </x:c>
    </x:row>
    <x:row r="209" ht="23" customHeight="1">
      <x:c r="A209" s="2" t="str">
        <x:v>D020_T04_C020_G050</x:v>
      </x:c>
      <x:c r="B209" s="2" t="str">
        <x:v>A0024</x:v>
      </x:c>
      <x:c r="C209" s="2" t="str">
        <x:v>圈内</x:v>
      </x:c>
      <x:c r="D209" s="10" t="n">
        <x:v>1</x:v>
      </x:c>
      <x:c r="E209" s="10"/>
      <x:c r="F209" s="10" t="n">
        <x:v>9</x:v>
      </x:c>
      <x:c r="G209" s="10" t="n">
        <x:v>0</x:v>
      </x:c>
      <x:c r="H209" s="10" t="str">
        <x:f>IF(G209=1,E209-D209,"")</x:f>
      </x:c>
      <x:c r="I209" s="10" t="n">
        <x:f>MIN(F209,9)</x:f>
        <x:v>9</x:v>
      </x:c>
      <x:c r="J209" s="19" t="n">
        <x:v>0.2</x:v>
      </x:c>
      <x:c r="K209" s="2" t="n">
        <x:v>4</x:v>
      </x:c>
      <x:c r="L209" s="19" t="n">
        <x:v>0.2</x:v>
      </x:c>
      <x:c r="M209" s="19" t="n">
        <x:v>0.5</x:v>
      </x:c>
    </x:row>
    <x:row r="210" ht="23" customHeight="1">
      <x:c r="A210" s="2" t="str">
        <x:v>D020_T04_C020_G050</x:v>
      </x:c>
      <x:c r="B210" s="2" t="str">
        <x:v>A0025</x:v>
      </x:c>
      <x:c r="C210" s="2" t="str">
        <x:v>圈内</x:v>
      </x:c>
      <x:c r="D210" s="10" t="n">
        <x:v>1</x:v>
      </x:c>
      <x:c r="E210" s="10" t="n">
        <x:v>4</x:v>
      </x:c>
      <x:c r="F210" s="10" t="n">
        <x:v>3</x:v>
      </x:c>
      <x:c r="G210" s="10" t="n">
        <x:v>1</x:v>
      </x:c>
      <x:c r="H210" s="10" t="n">
        <x:f>IF(G210=1,E210-D210,"")</x:f>
        <x:v>3</x:v>
      </x:c>
      <x:c r="I210" s="10" t="n">
        <x:f>MIN(F210,9)</x:f>
        <x:v>3</x:v>
      </x:c>
      <x:c r="J210" s="19" t="n">
        <x:v>0.2</x:v>
      </x:c>
      <x:c r="K210" s="2" t="n">
        <x:v>4</x:v>
      </x:c>
      <x:c r="L210" s="19" t="n">
        <x:v>0.2</x:v>
      </x:c>
      <x:c r="M210" s="19" t="n">
        <x:v>0.5</x:v>
      </x:c>
    </x:row>
    <x:row r="211" ht="23" customHeight="1">
      <x:c r="A211" s="2" t="str">
        <x:v>D020_T04_C020_G050</x:v>
      </x:c>
      <x:c r="B211" s="2" t="str">
        <x:v>A0030</x:v>
      </x:c>
      <x:c r="C211" s="2" t="str">
        <x:v>圈内</x:v>
      </x:c>
      <x:c r="D211" s="10" t="n">
        <x:v>1</x:v>
      </x:c>
      <x:c r="E211" s="10"/>
      <x:c r="F211" s="10" t="n">
        <x:v>9</x:v>
      </x:c>
      <x:c r="G211" s="10" t="n">
        <x:v>0</x:v>
      </x:c>
      <x:c r="H211" s="10" t="str">
        <x:f>IF(G211=1,E211-D211,"")</x:f>
      </x:c>
      <x:c r="I211" s="10" t="n">
        <x:f>MIN(F211,9)</x:f>
        <x:v>9</x:v>
      </x:c>
      <x:c r="J211" s="19" t="n">
        <x:v>0.2</x:v>
      </x:c>
      <x:c r="K211" s="2" t="n">
        <x:v>4</x:v>
      </x:c>
      <x:c r="L211" s="19" t="n">
        <x:v>0.2</x:v>
      </x:c>
      <x:c r="M211" s="19" t="n">
        <x:v>0.5</x:v>
      </x:c>
    </x:row>
    <x:row r="212" ht="23" customHeight="1">
      <x:c r="A212" s="2" t="str">
        <x:v>D020_T04_C020_G050</x:v>
      </x:c>
      <x:c r="B212" s="2" t="str">
        <x:v>A0032</x:v>
      </x:c>
      <x:c r="C212" s="2" t="str">
        <x:v>圈内</x:v>
      </x:c>
      <x:c r="D212" s="10" t="n">
        <x:v>1</x:v>
      </x:c>
      <x:c r="E212" s="10" t="n">
        <x:v>4</x:v>
      </x:c>
      <x:c r="F212" s="10" t="n">
        <x:v>3</x:v>
      </x:c>
      <x:c r="G212" s="10" t="n">
        <x:v>1</x:v>
      </x:c>
      <x:c r="H212" s="10" t="n">
        <x:f>IF(G212=1,E212-D212,"")</x:f>
        <x:v>3</x:v>
      </x:c>
      <x:c r="I212" s="10" t="n">
        <x:f>MIN(F212,9)</x:f>
        <x:v>3</x:v>
      </x:c>
      <x:c r="J212" s="19" t="n">
        <x:v>0.2</x:v>
      </x:c>
      <x:c r="K212" s="2" t="n">
        <x:v>4</x:v>
      </x:c>
      <x:c r="L212" s="19" t="n">
        <x:v>0.2</x:v>
      </x:c>
      <x:c r="M212" s="19" t="n">
        <x:v>0.5</x:v>
      </x:c>
    </x:row>
    <x:row r="213" ht="23" customHeight="1">
      <x:c r="A213" s="2" t="str">
        <x:v>D020_T04_C020_G050</x:v>
      </x:c>
      <x:c r="B213" s="2" t="str">
        <x:v>A0033</x:v>
      </x:c>
      <x:c r="C213" s="2" t="str">
        <x:v>圈内</x:v>
      </x:c>
      <x:c r="D213" s="10" t="n">
        <x:v>1</x:v>
      </x:c>
      <x:c r="E213" s="10" t="n">
        <x:v>5</x:v>
      </x:c>
      <x:c r="F213" s="10" t="n">
        <x:v>4</x:v>
      </x:c>
      <x:c r="G213" s="10" t="n">
        <x:v>1</x:v>
      </x:c>
      <x:c r="H213" s="10" t="n">
        <x:f>IF(G213=1,E213-D213,"")</x:f>
        <x:v>4</x:v>
      </x:c>
      <x:c r="I213" s="10" t="n">
        <x:f>MIN(F213,9)</x:f>
        <x:v>4</x:v>
      </x:c>
      <x:c r="J213" s="19" t="n">
        <x:v>0.2</x:v>
      </x:c>
      <x:c r="K213" s="2" t="n">
        <x:v>4</x:v>
      </x:c>
      <x:c r="L213" s="19" t="n">
        <x:v>0.2</x:v>
      </x:c>
      <x:c r="M213" s="19" t="n">
        <x:v>0.5</x:v>
      </x:c>
    </x:row>
    <x:row r="214" ht="23" customHeight="1">
      <x:c r="A214" s="2" t="str">
        <x:v>D020_T04_C020_G050</x:v>
      </x:c>
      <x:c r="B214" s="2" t="str">
        <x:v>A0036</x:v>
      </x:c>
      <x:c r="C214" s="2" t="str">
        <x:v>圈内</x:v>
      </x:c>
      <x:c r="D214" s="10" t="n">
        <x:v>1</x:v>
      </x:c>
      <x:c r="E214" s="10" t="n">
        <x:v>5</x:v>
      </x:c>
      <x:c r="F214" s="10" t="n">
        <x:v>4</x:v>
      </x:c>
      <x:c r="G214" s="10" t="n">
        <x:v>1</x:v>
      </x:c>
      <x:c r="H214" s="10" t="n">
        <x:f>IF(G214=1,E214-D214,"")</x:f>
        <x:v>4</x:v>
      </x:c>
      <x:c r="I214" s="10" t="n">
        <x:f>MIN(F214,9)</x:f>
        <x:v>4</x:v>
      </x:c>
      <x:c r="J214" s="19" t="n">
        <x:v>0.2</x:v>
      </x:c>
      <x:c r="K214" s="2" t="n">
        <x:v>4</x:v>
      </x:c>
      <x:c r="L214" s="19" t="n">
        <x:v>0.2</x:v>
      </x:c>
      <x:c r="M214" s="19" t="n">
        <x:v>0.5</x:v>
      </x:c>
    </x:row>
    <x:row r="215" ht="23" customHeight="1">
      <x:c r="A215" s="2" t="str">
        <x:v>D020_T04_C020_G050</x:v>
      </x:c>
      <x:c r="B215" s="2" t="str">
        <x:v>A0040</x:v>
      </x:c>
      <x:c r="C215" s="2" t="str">
        <x:v>圈内</x:v>
      </x:c>
      <x:c r="D215" s="10" t="n">
        <x:v>1</x:v>
      </x:c>
      <x:c r="E215" s="10" t="n">
        <x:v>8</x:v>
      </x:c>
      <x:c r="F215" s="10" t="n">
        <x:v>7</x:v>
      </x:c>
      <x:c r="G215" s="10" t="n">
        <x:v>1</x:v>
      </x:c>
      <x:c r="H215" s="10" t="n">
        <x:f>IF(G215=1,E215-D215,"")</x:f>
        <x:v>7</x:v>
      </x:c>
      <x:c r="I215" s="10" t="n">
        <x:f>MIN(F215,9)</x:f>
        <x:v>7</x:v>
      </x:c>
      <x:c r="J215" s="19" t="n">
        <x:v>0.2</x:v>
      </x:c>
      <x:c r="K215" s="2" t="n">
        <x:v>4</x:v>
      </x:c>
      <x:c r="L215" s="19" t="n">
        <x:v>0.2</x:v>
      </x:c>
      <x:c r="M215" s="19" t="n">
        <x:v>0.5</x:v>
      </x:c>
    </x:row>
    <x:row r="216" ht="23" customHeight="1">
      <x:c r="A216" s="2" t="str">
        <x:v>D020_T04_C020_G050</x:v>
      </x:c>
      <x:c r="B216" s="2" t="str">
        <x:v>A0041</x:v>
      </x:c>
      <x:c r="C216" s="2" t="str">
        <x:v>圈内</x:v>
      </x:c>
      <x:c r="D216" s="10" t="n">
        <x:v>1</x:v>
      </x:c>
      <x:c r="E216" s="10"/>
      <x:c r="F216" s="10" t="n">
        <x:v>9</x:v>
      </x:c>
      <x:c r="G216" s="10" t="n">
        <x:v>0</x:v>
      </x:c>
      <x:c r="H216" s="10" t="str">
        <x:f>IF(G216=1,E216-D216,"")</x:f>
      </x:c>
      <x:c r="I216" s="10" t="n">
        <x:f>MIN(F216,9)</x:f>
        <x:v>9</x:v>
      </x:c>
      <x:c r="J216" s="19" t="n">
        <x:v>0.2</x:v>
      </x:c>
      <x:c r="K216" s="2" t="n">
        <x:v>4</x:v>
      </x:c>
      <x:c r="L216" s="19" t="n">
        <x:v>0.2</x:v>
      </x:c>
      <x:c r="M216" s="19" t="n">
        <x:v>0.5</x:v>
      </x:c>
    </x:row>
    <x:row r="217" ht="23" customHeight="1">
      <x:c r="A217" s="2" t="str">
        <x:v>D020_T04_C020_G050</x:v>
      </x:c>
      <x:c r="B217" s="2" t="str">
        <x:v>A0206</x:v>
      </x:c>
      <x:c r="C217" s="2" t="str">
        <x:v>圈内</x:v>
      </x:c>
      <x:c r="D217" s="10" t="n">
        <x:v>1</x:v>
      </x:c>
      <x:c r="E217" s="10" t="n">
        <x:v>4</x:v>
      </x:c>
      <x:c r="F217" s="10" t="n">
        <x:v>3</x:v>
      </x:c>
      <x:c r="G217" s="10" t="n">
        <x:v>1</x:v>
      </x:c>
      <x:c r="H217" s="10" t="n">
        <x:f>IF(G217=1,E217-D217,"")</x:f>
        <x:v>3</x:v>
      </x:c>
      <x:c r="I217" s="10" t="n">
        <x:f>MIN(F217,9)</x:f>
        <x:v>3</x:v>
      </x:c>
      <x:c r="J217" s="19" t="n">
        <x:v>0.2</x:v>
      </x:c>
      <x:c r="K217" s="2" t="n">
        <x:v>4</x:v>
      </x:c>
      <x:c r="L217" s="19" t="n">
        <x:v>0.2</x:v>
      </x:c>
      <x:c r="M217" s="19" t="n">
        <x:v>0.5</x:v>
      </x:c>
    </x:row>
    <x:row r="218" ht="23" customHeight="1">
      <x:c r="A218" s="2" t="str">
        <x:v>D020_T04_C020_G075</x:v>
      </x:c>
      <x:c r="B218" s="2" t="str">
        <x:v>A0004</x:v>
      </x:c>
      <x:c r="C218" s="2" t="str">
        <x:v>圈内</x:v>
      </x:c>
      <x:c r="D218" s="10" t="n">
        <x:v>1</x:v>
      </x:c>
      <x:c r="E218" s="10"/>
      <x:c r="F218" s="10" t="n">
        <x:v>9</x:v>
      </x:c>
      <x:c r="G218" s="10" t="n">
        <x:v>0</x:v>
      </x:c>
      <x:c r="H218" s="10" t="str">
        <x:f>IF(G218=1,E218-D218,"")</x:f>
      </x:c>
      <x:c r="I218" s="10" t="n">
        <x:f>MIN(F218,9)</x:f>
        <x:v>9</x:v>
      </x:c>
      <x:c r="J218" s="19" t="n">
        <x:v>0.2</x:v>
      </x:c>
      <x:c r="K218" s="2" t="n">
        <x:v>4</x:v>
      </x:c>
      <x:c r="L218" s="19" t="n">
        <x:v>0.2</x:v>
      </x:c>
      <x:c r="M218" s="19" t="n">
        <x:v>0.75</x:v>
      </x:c>
    </x:row>
    <x:row r="219" ht="23" customHeight="1">
      <x:c r="A219" s="2" t="str">
        <x:v>D020_T04_C020_G075</x:v>
      </x:c>
      <x:c r="B219" s="2" t="str">
        <x:v>A0011</x:v>
      </x:c>
      <x:c r="C219" s="2" t="str">
        <x:v>圈内</x:v>
      </x:c>
      <x:c r="D219" s="10" t="n">
        <x:v>1</x:v>
      </x:c>
      <x:c r="E219" s="10" t="n">
        <x:v>4</x:v>
      </x:c>
      <x:c r="F219" s="10" t="n">
        <x:v>3</x:v>
      </x:c>
      <x:c r="G219" s="10" t="n">
        <x:v>1</x:v>
      </x:c>
      <x:c r="H219" s="10" t="n">
        <x:f>IF(G219=1,E219-D219,"")</x:f>
        <x:v>3</x:v>
      </x:c>
      <x:c r="I219" s="10" t="n">
        <x:f>MIN(F219,9)</x:f>
        <x:v>3</x:v>
      </x:c>
      <x:c r="J219" s="19" t="n">
        <x:v>0.2</x:v>
      </x:c>
      <x:c r="K219" s="2" t="n">
        <x:v>4</x:v>
      </x:c>
      <x:c r="L219" s="19" t="n">
        <x:v>0.2</x:v>
      </x:c>
      <x:c r="M219" s="19" t="n">
        <x:v>0.75</x:v>
      </x:c>
    </x:row>
    <x:row r="220" ht="23" customHeight="1">
      <x:c r="A220" s="2" t="str">
        <x:v>D020_T04_C020_G075</x:v>
      </x:c>
      <x:c r="B220" s="2" t="str">
        <x:v>A0012</x:v>
      </x:c>
      <x:c r="C220" s="2" t="str">
        <x:v>圈内</x:v>
      </x:c>
      <x:c r="D220" s="10" t="n">
        <x:v>1</x:v>
      </x:c>
      <x:c r="E220" s="10" t="n">
        <x:v>6</x:v>
      </x:c>
      <x:c r="F220" s="10" t="n">
        <x:v>5</x:v>
      </x:c>
      <x:c r="G220" s="10" t="n">
        <x:v>1</x:v>
      </x:c>
      <x:c r="H220" s="10" t="n">
        <x:f>IF(G220=1,E220-D220,"")</x:f>
        <x:v>5</x:v>
      </x:c>
      <x:c r="I220" s="10" t="n">
        <x:f>MIN(F220,9)</x:f>
        <x:v>5</x:v>
      </x:c>
      <x:c r="J220" s="19" t="n">
        <x:v>0.2</x:v>
      </x:c>
      <x:c r="K220" s="2" t="n">
        <x:v>4</x:v>
      </x:c>
      <x:c r="L220" s="19" t="n">
        <x:v>0.2</x:v>
      </x:c>
      <x:c r="M220" s="19" t="n">
        <x:v>0.75</x:v>
      </x:c>
    </x:row>
    <x:row r="221" ht="23" customHeight="1">
      <x:c r="A221" s="2" t="str">
        <x:v>D020_T04_C020_G075</x:v>
      </x:c>
      <x:c r="B221" s="2" t="str">
        <x:v>A0017</x:v>
      </x:c>
      <x:c r="C221" s="2" t="str">
        <x:v>圈内</x:v>
      </x:c>
      <x:c r="D221" s="10" t="n">
        <x:v>1</x:v>
      </x:c>
      <x:c r="E221" s="10" t="n">
        <x:v>5</x:v>
      </x:c>
      <x:c r="F221" s="10" t="n">
        <x:v>4</x:v>
      </x:c>
      <x:c r="G221" s="10" t="n">
        <x:v>1</x:v>
      </x:c>
      <x:c r="H221" s="10" t="n">
        <x:f>IF(G221=1,E221-D221,"")</x:f>
        <x:v>4</x:v>
      </x:c>
      <x:c r="I221" s="10" t="n">
        <x:f>MIN(F221,9)</x:f>
        <x:v>4</x:v>
      </x:c>
      <x:c r="J221" s="19" t="n">
        <x:v>0.2</x:v>
      </x:c>
      <x:c r="K221" s="2" t="n">
        <x:v>4</x:v>
      </x:c>
      <x:c r="L221" s="19" t="n">
        <x:v>0.2</x:v>
      </x:c>
      <x:c r="M221" s="19" t="n">
        <x:v>0.75</x:v>
      </x:c>
    </x:row>
    <x:row r="222" ht="23" customHeight="1">
      <x:c r="A222" s="2" t="str">
        <x:v>D020_T04_C020_G075</x:v>
      </x:c>
      <x:c r="B222" s="2" t="str">
        <x:v>A0018</x:v>
      </x:c>
      <x:c r="C222" s="2" t="str">
        <x:v>圈内</x:v>
      </x:c>
      <x:c r="D222" s="10" t="n">
        <x:v>1</x:v>
      </x:c>
      <x:c r="E222" s="10" t="n">
        <x:v>6</x:v>
      </x:c>
      <x:c r="F222" s="10" t="n">
        <x:v>5</x:v>
      </x:c>
      <x:c r="G222" s="10" t="n">
        <x:v>1</x:v>
      </x:c>
      <x:c r="H222" s="10" t="n">
        <x:f>IF(G222=1,E222-D222,"")</x:f>
        <x:v>5</x:v>
      </x:c>
      <x:c r="I222" s="10" t="n">
        <x:f>MIN(F222,9)</x:f>
        <x:v>5</x:v>
      </x:c>
      <x:c r="J222" s="19" t="n">
        <x:v>0.2</x:v>
      </x:c>
      <x:c r="K222" s="2" t="n">
        <x:v>4</x:v>
      </x:c>
      <x:c r="L222" s="19" t="n">
        <x:v>0.2</x:v>
      </x:c>
      <x:c r="M222" s="19" t="n">
        <x:v>0.75</x:v>
      </x:c>
    </x:row>
    <x:row r="223" ht="23" customHeight="1">
      <x:c r="A223" s="2" t="str">
        <x:v>D020_T04_C020_G075</x:v>
      </x:c>
      <x:c r="B223" s="2" t="str">
        <x:v>A0023</x:v>
      </x:c>
      <x:c r="C223" s="2" t="str">
        <x:v>圈内</x:v>
      </x:c>
      <x:c r="D223" s="10" t="n">
        <x:v>1</x:v>
      </x:c>
      <x:c r="E223" s="10" t="n">
        <x:v>5</x:v>
      </x:c>
      <x:c r="F223" s="10" t="n">
        <x:v>4</x:v>
      </x:c>
      <x:c r="G223" s="10" t="n">
        <x:v>1</x:v>
      </x:c>
      <x:c r="H223" s="10" t="n">
        <x:f>IF(G223=1,E223-D223,"")</x:f>
        <x:v>4</x:v>
      </x:c>
      <x:c r="I223" s="10" t="n">
        <x:f>MIN(F223,9)</x:f>
        <x:v>4</x:v>
      </x:c>
      <x:c r="J223" s="19" t="n">
        <x:v>0.2</x:v>
      </x:c>
      <x:c r="K223" s="2" t="n">
        <x:v>4</x:v>
      </x:c>
      <x:c r="L223" s="19" t="n">
        <x:v>0.2</x:v>
      </x:c>
      <x:c r="M223" s="19" t="n">
        <x:v>0.75</x:v>
      </x:c>
    </x:row>
    <x:row r="224" ht="23" customHeight="1">
      <x:c r="A224" s="2" t="str">
        <x:v>D020_T04_C020_G075</x:v>
      </x:c>
      <x:c r="B224" s="2" t="str">
        <x:v>A0025</x:v>
      </x:c>
      <x:c r="C224" s="2" t="str">
        <x:v>圈内</x:v>
      </x:c>
      <x:c r="D224" s="10" t="n">
        <x:v>1</x:v>
      </x:c>
      <x:c r="E224" s="10" t="n">
        <x:v>4</x:v>
      </x:c>
      <x:c r="F224" s="10" t="n">
        <x:v>3</x:v>
      </x:c>
      <x:c r="G224" s="10" t="n">
        <x:v>1</x:v>
      </x:c>
      <x:c r="H224" s="10" t="n">
        <x:f>IF(G224=1,E224-D224,"")</x:f>
        <x:v>3</x:v>
      </x:c>
      <x:c r="I224" s="10" t="n">
        <x:f>MIN(F224,9)</x:f>
        <x:v>3</x:v>
      </x:c>
      <x:c r="J224" s="19" t="n">
        <x:v>0.2</x:v>
      </x:c>
      <x:c r="K224" s="2" t="n">
        <x:v>4</x:v>
      </x:c>
      <x:c r="L224" s="19" t="n">
        <x:v>0.2</x:v>
      </x:c>
      <x:c r="M224" s="19" t="n">
        <x:v>0.75</x:v>
      </x:c>
    </x:row>
    <x:row r="225" ht="23" customHeight="1">
      <x:c r="A225" s="2" t="str">
        <x:v>D020_T04_C020_G075</x:v>
      </x:c>
      <x:c r="B225" s="2" t="str">
        <x:v>A0026</x:v>
      </x:c>
      <x:c r="C225" s="2" t="str">
        <x:v>圈内</x:v>
      </x:c>
      <x:c r="D225" s="10" t="n">
        <x:v>1</x:v>
      </x:c>
      <x:c r="E225" s="10" t="n">
        <x:v>4</x:v>
      </x:c>
      <x:c r="F225" s="10" t="n">
        <x:v>3</x:v>
      </x:c>
      <x:c r="G225" s="10" t="n">
        <x:v>1</x:v>
      </x:c>
      <x:c r="H225" s="10" t="n">
        <x:f>IF(G225=1,E225-D225,"")</x:f>
        <x:v>3</x:v>
      </x:c>
      <x:c r="I225" s="10" t="n">
        <x:f>MIN(F225,9)</x:f>
        <x:v>3</x:v>
      </x:c>
      <x:c r="J225" s="19" t="n">
        <x:v>0.2</x:v>
      </x:c>
      <x:c r="K225" s="2" t="n">
        <x:v>4</x:v>
      </x:c>
      <x:c r="L225" s="19" t="n">
        <x:v>0.2</x:v>
      </x:c>
      <x:c r="M225" s="19" t="n">
        <x:v>0.75</x:v>
      </x:c>
    </x:row>
    <x:row r="226" ht="23" customHeight="1">
      <x:c r="A226" s="2" t="str">
        <x:v>D020_T04_C020_G075</x:v>
      </x:c>
      <x:c r="B226" s="2" t="str">
        <x:v>A0032</x:v>
      </x:c>
      <x:c r="C226" s="2" t="str">
        <x:v>圈内</x:v>
      </x:c>
      <x:c r="D226" s="10" t="n">
        <x:v>1</x:v>
      </x:c>
      <x:c r="E226" s="10" t="n">
        <x:v>9</x:v>
      </x:c>
      <x:c r="F226" s="10" t="n">
        <x:v>8</x:v>
      </x:c>
      <x:c r="G226" s="10" t="n">
        <x:v>1</x:v>
      </x:c>
      <x:c r="H226" s="10" t="n">
        <x:f>IF(G226=1,E226-D226,"")</x:f>
        <x:v>8</x:v>
      </x:c>
      <x:c r="I226" s="10" t="n">
        <x:f>MIN(F226,9)</x:f>
        <x:v>8</x:v>
      </x:c>
      <x:c r="J226" s="19" t="n">
        <x:v>0.2</x:v>
      </x:c>
      <x:c r="K226" s="2" t="n">
        <x:v>4</x:v>
      </x:c>
      <x:c r="L226" s="19" t="n">
        <x:v>0.2</x:v>
      </x:c>
      <x:c r="M226" s="19" t="n">
        <x:v>0.75</x:v>
      </x:c>
    </x:row>
    <x:row r="227" ht="23" customHeight="1">
      <x:c r="A227" s="2" t="str">
        <x:v>D020_T04_C020_G075</x:v>
      </x:c>
      <x:c r="B227" s="2" t="str">
        <x:v>A0033</x:v>
      </x:c>
      <x:c r="C227" s="2" t="str">
        <x:v>圈内</x:v>
      </x:c>
      <x:c r="D227" s="10" t="n">
        <x:v>1</x:v>
      </x:c>
      <x:c r="E227" s="10"/>
      <x:c r="F227" s="10" t="n">
        <x:v>9</x:v>
      </x:c>
      <x:c r="G227" s="10" t="n">
        <x:v>0</x:v>
      </x:c>
      <x:c r="H227" s="10" t="str">
        <x:f>IF(G227=1,E227-D227,"")</x:f>
      </x:c>
      <x:c r="I227" s="10" t="n">
        <x:f>MIN(F227,9)</x:f>
        <x:v>9</x:v>
      </x:c>
      <x:c r="J227" s="19" t="n">
        <x:v>0.2</x:v>
      </x:c>
      <x:c r="K227" s="2" t="n">
        <x:v>4</x:v>
      </x:c>
      <x:c r="L227" s="19" t="n">
        <x:v>0.2</x:v>
      </x:c>
      <x:c r="M227" s="19" t="n">
        <x:v>0.75</x:v>
      </x:c>
    </x:row>
    <x:row r="228" ht="23" customHeight="1">
      <x:c r="A228" s="2" t="str">
        <x:v>D020_T04_C020_G075</x:v>
      </x:c>
      <x:c r="B228" s="2" t="str">
        <x:v>A0036</x:v>
      </x:c>
      <x:c r="C228" s="2" t="str">
        <x:v>圈内</x:v>
      </x:c>
      <x:c r="D228" s="10" t="n">
        <x:v>1</x:v>
      </x:c>
      <x:c r="E228" s="10" t="n">
        <x:v>5</x:v>
      </x:c>
      <x:c r="F228" s="10" t="n">
        <x:v>4</x:v>
      </x:c>
      <x:c r="G228" s="10" t="n">
        <x:v>1</x:v>
      </x:c>
      <x:c r="H228" s="10" t="n">
        <x:f>IF(G228=1,E228-D228,"")</x:f>
        <x:v>4</x:v>
      </x:c>
      <x:c r="I228" s="10" t="n">
        <x:f>MIN(F228,9)</x:f>
        <x:v>4</x:v>
      </x:c>
      <x:c r="J228" s="19" t="n">
        <x:v>0.2</x:v>
      </x:c>
      <x:c r="K228" s="2" t="n">
        <x:v>4</x:v>
      </x:c>
      <x:c r="L228" s="19" t="n">
        <x:v>0.2</x:v>
      </x:c>
      <x:c r="M228" s="19" t="n">
        <x:v>0.75</x:v>
      </x:c>
    </x:row>
    <x:row r="229" ht="23" customHeight="1">
      <x:c r="A229" s="2" t="str">
        <x:v>D020_T04_C080_G025</x:v>
      </x:c>
      <x:c r="B229" s="2" t="str">
        <x:v>A0011</x:v>
      </x:c>
      <x:c r="C229" s="2" t="str">
        <x:v>圈内</x:v>
      </x:c>
      <x:c r="D229" s="10" t="n">
        <x:v>1</x:v>
      </x:c>
      <x:c r="E229" s="10"/>
      <x:c r="F229" s="10" t="n">
        <x:v>9</x:v>
      </x:c>
      <x:c r="G229" s="10" t="n">
        <x:v>0</x:v>
      </x:c>
      <x:c r="H229" s="10" t="str">
        <x:f>IF(G229=1,E229-D229,"")</x:f>
      </x:c>
      <x:c r="I229" s="10" t="n">
        <x:f>MIN(F229,9)</x:f>
        <x:v>9</x:v>
      </x:c>
      <x:c r="J229" s="19" t="n">
        <x:v>0.2</x:v>
      </x:c>
      <x:c r="K229" s="2" t="n">
        <x:v>4</x:v>
      </x:c>
      <x:c r="L229" s="19" t="n">
        <x:v>0.8</x:v>
      </x:c>
      <x:c r="M229" s="19" t="n">
        <x:v>0.25</x:v>
      </x:c>
    </x:row>
    <x:row r="230" ht="23" customHeight="1">
      <x:c r="A230" s="2" t="str">
        <x:v>D020_T04_C080_G025</x:v>
      </x:c>
      <x:c r="B230" s="2" t="str">
        <x:v>A0012</x:v>
      </x:c>
      <x:c r="C230" s="2" t="str">
        <x:v>圈内</x:v>
      </x:c>
      <x:c r="D230" s="10" t="n">
        <x:v>1</x:v>
      </x:c>
      <x:c r="E230" s="10"/>
      <x:c r="F230" s="10" t="n">
        <x:v>9</x:v>
      </x:c>
      <x:c r="G230" s="10" t="n">
        <x:v>0</x:v>
      </x:c>
      <x:c r="H230" s="10" t="str">
        <x:f>IF(G230=1,E230-D230,"")</x:f>
      </x:c>
      <x:c r="I230" s="10" t="n">
        <x:f>MIN(F230,9)</x:f>
        <x:v>9</x:v>
      </x:c>
      <x:c r="J230" s="19" t="n">
        <x:v>0.2</x:v>
      </x:c>
      <x:c r="K230" s="2" t="n">
        <x:v>4</x:v>
      </x:c>
      <x:c r="L230" s="19" t="n">
        <x:v>0.8</x:v>
      </x:c>
      <x:c r="M230" s="19" t="n">
        <x:v>0.25</x:v>
      </x:c>
    </x:row>
    <x:row r="231" ht="23" customHeight="1">
      <x:c r="A231" s="2" t="str">
        <x:v>D020_T04_C080_G025</x:v>
      </x:c>
      <x:c r="B231" s="2" t="str">
        <x:v>A0016</x:v>
      </x:c>
      <x:c r="C231" s="2" t="str">
        <x:v>圈内</x:v>
      </x:c>
      <x:c r="D231" s="10" t="n">
        <x:v>1</x:v>
      </x:c>
      <x:c r="E231" s="10" t="n">
        <x:v>6</x:v>
      </x:c>
      <x:c r="F231" s="10" t="n">
        <x:v>5</x:v>
      </x:c>
      <x:c r="G231" s="10" t="n">
        <x:v>1</x:v>
      </x:c>
      <x:c r="H231" s="10" t="n">
        <x:f>IF(G231=1,E231-D231,"")</x:f>
        <x:v>5</x:v>
      </x:c>
      <x:c r="I231" s="10" t="n">
        <x:f>MIN(F231,9)</x:f>
        <x:v>5</x:v>
      </x:c>
      <x:c r="J231" s="19" t="n">
        <x:v>0.2</x:v>
      </x:c>
      <x:c r="K231" s="2" t="n">
        <x:v>4</x:v>
      </x:c>
      <x:c r="L231" s="19" t="n">
        <x:v>0.8</x:v>
      </x:c>
      <x:c r="M231" s="19" t="n">
        <x:v>0.25</x:v>
      </x:c>
    </x:row>
    <x:row r="232" ht="23" customHeight="1">
      <x:c r="A232" s="2" t="str">
        <x:v>D020_T04_C080_G025</x:v>
      </x:c>
      <x:c r="B232" s="2" t="str">
        <x:v>A0018</x:v>
      </x:c>
      <x:c r="C232" s="2" t="str">
        <x:v>圈内</x:v>
      </x:c>
      <x:c r="D232" s="10" t="n">
        <x:v>1</x:v>
      </x:c>
      <x:c r="E232" s="10" t="n">
        <x:v>7</x:v>
      </x:c>
      <x:c r="F232" s="10" t="n">
        <x:v>6</x:v>
      </x:c>
      <x:c r="G232" s="10" t="n">
        <x:v>1</x:v>
      </x:c>
      <x:c r="H232" s="10" t="n">
        <x:f>IF(G232=1,E232-D232,"")</x:f>
        <x:v>6</x:v>
      </x:c>
      <x:c r="I232" s="10" t="n">
        <x:f>MIN(F232,9)</x:f>
        <x:v>6</x:v>
      </x:c>
      <x:c r="J232" s="19" t="n">
        <x:v>0.2</x:v>
      </x:c>
      <x:c r="K232" s="2" t="n">
        <x:v>4</x:v>
      </x:c>
      <x:c r="L232" s="19" t="n">
        <x:v>0.8</x:v>
      </x:c>
      <x:c r="M232" s="19" t="n">
        <x:v>0.25</x:v>
      </x:c>
    </x:row>
    <x:row r="233" ht="23" customHeight="1">
      <x:c r="A233" s="2" t="str">
        <x:v>D020_T04_C080_G025</x:v>
      </x:c>
      <x:c r="B233" s="2" t="str">
        <x:v>A0019</x:v>
      </x:c>
      <x:c r="C233" s="2" t="str">
        <x:v>圈内</x:v>
      </x:c>
      <x:c r="D233" s="10" t="n">
        <x:v>1</x:v>
      </x:c>
      <x:c r="E233" s="10" t="n">
        <x:v>4</x:v>
      </x:c>
      <x:c r="F233" s="10" t="n">
        <x:v>3</x:v>
      </x:c>
      <x:c r="G233" s="10" t="n">
        <x:v>1</x:v>
      </x:c>
      <x:c r="H233" s="10" t="n">
        <x:f>IF(G233=1,E233-D233,"")</x:f>
        <x:v>3</x:v>
      </x:c>
      <x:c r="I233" s="10" t="n">
        <x:f>MIN(F233,9)</x:f>
        <x:v>3</x:v>
      </x:c>
      <x:c r="J233" s="19" t="n">
        <x:v>0.2</x:v>
      </x:c>
      <x:c r="K233" s="2" t="n">
        <x:v>4</x:v>
      </x:c>
      <x:c r="L233" s="19" t="n">
        <x:v>0.8</x:v>
      </x:c>
      <x:c r="M233" s="19" t="n">
        <x:v>0.25</x:v>
      </x:c>
    </x:row>
    <x:row r="234" ht="23" customHeight="1">
      <x:c r="A234" s="2" t="str">
        <x:v>D020_T04_C080_G025</x:v>
      </x:c>
      <x:c r="B234" s="2" t="str">
        <x:v>A0024</x:v>
      </x:c>
      <x:c r="C234" s="2" t="str">
        <x:v>圈内</x:v>
      </x:c>
      <x:c r="D234" s="10" t="n">
        <x:v>1</x:v>
      </x:c>
      <x:c r="E234" s="10" t="n">
        <x:v>5</x:v>
      </x:c>
      <x:c r="F234" s="10" t="n">
        <x:v>4</x:v>
      </x:c>
      <x:c r="G234" s="10" t="n">
        <x:v>1</x:v>
      </x:c>
      <x:c r="H234" s="10" t="n">
        <x:f>IF(G234=1,E234-D234,"")</x:f>
        <x:v>4</x:v>
      </x:c>
      <x:c r="I234" s="10" t="n">
        <x:f>MIN(F234,9)</x:f>
        <x:v>4</x:v>
      </x:c>
      <x:c r="J234" s="19" t="n">
        <x:v>0.2</x:v>
      </x:c>
      <x:c r="K234" s="2" t="n">
        <x:v>4</x:v>
      </x:c>
      <x:c r="L234" s="19" t="n">
        <x:v>0.8</x:v>
      </x:c>
      <x:c r="M234" s="19" t="n">
        <x:v>0.25</x:v>
      </x:c>
    </x:row>
    <x:row r="235" ht="23" customHeight="1">
      <x:c r="A235" s="2" t="str">
        <x:v>D020_T04_C080_G025</x:v>
      </x:c>
      <x:c r="B235" s="2" t="str">
        <x:v>A0025</x:v>
      </x:c>
      <x:c r="C235" s="2" t="str">
        <x:v>圈内</x:v>
      </x:c>
      <x:c r="D235" s="10" t="n">
        <x:v>1</x:v>
      </x:c>
      <x:c r="E235" s="10" t="n">
        <x:v>8</x:v>
      </x:c>
      <x:c r="F235" s="10" t="n">
        <x:v>7</x:v>
      </x:c>
      <x:c r="G235" s="10" t="n">
        <x:v>1</x:v>
      </x:c>
      <x:c r="H235" s="10" t="n">
        <x:f>IF(G235=1,E235-D235,"")</x:f>
        <x:v>7</x:v>
      </x:c>
      <x:c r="I235" s="10" t="n">
        <x:f>MIN(F235,9)</x:f>
        <x:v>7</x:v>
      </x:c>
      <x:c r="J235" s="19" t="n">
        <x:v>0.2</x:v>
      </x:c>
      <x:c r="K235" s="2" t="n">
        <x:v>4</x:v>
      </x:c>
      <x:c r="L235" s="19" t="n">
        <x:v>0.8</x:v>
      </x:c>
      <x:c r="M235" s="19" t="n">
        <x:v>0.25</x:v>
      </x:c>
    </x:row>
    <x:row r="236" ht="23" customHeight="1">
      <x:c r="A236" s="2" t="str">
        <x:v>D020_T04_C080_G025</x:v>
      </x:c>
      <x:c r="B236" s="2" t="str">
        <x:v>A0027</x:v>
      </x:c>
      <x:c r="C236" s="2" t="str">
        <x:v>圈内</x:v>
      </x:c>
      <x:c r="D236" s="10" t="n">
        <x:v>1</x:v>
      </x:c>
      <x:c r="E236" s="10"/>
      <x:c r="F236" s="10" t="n">
        <x:v>9</x:v>
      </x:c>
      <x:c r="G236" s="10" t="n">
        <x:v>0</x:v>
      </x:c>
      <x:c r="H236" s="10" t="str">
        <x:f>IF(G236=1,E236-D236,"")</x:f>
      </x:c>
      <x:c r="I236" s="10" t="n">
        <x:f>MIN(F236,9)</x:f>
        <x:v>9</x:v>
      </x:c>
      <x:c r="J236" s="19" t="n">
        <x:v>0.2</x:v>
      </x:c>
      <x:c r="K236" s="2" t="n">
        <x:v>4</x:v>
      </x:c>
      <x:c r="L236" s="19" t="n">
        <x:v>0.8</x:v>
      </x:c>
      <x:c r="M236" s="19" t="n">
        <x:v>0.25</x:v>
      </x:c>
    </x:row>
    <x:row r="237" ht="23" customHeight="1">
      <x:c r="A237" s="2" t="str">
        <x:v>D020_T04_C080_G025</x:v>
      </x:c>
      <x:c r="B237" s="2" t="str">
        <x:v>A0032</x:v>
      </x:c>
      <x:c r="C237" s="2" t="str">
        <x:v>圈内</x:v>
      </x:c>
      <x:c r="D237" s="10" t="n">
        <x:v>1</x:v>
      </x:c>
      <x:c r="E237" s="10"/>
      <x:c r="F237" s="10" t="n">
        <x:v>9</x:v>
      </x:c>
      <x:c r="G237" s="10" t="n">
        <x:v>0</x:v>
      </x:c>
      <x:c r="H237" s="10" t="str">
        <x:f>IF(G237=1,E237-D237,"")</x:f>
      </x:c>
      <x:c r="I237" s="10" t="n">
        <x:f>MIN(F237,9)</x:f>
        <x:v>9</x:v>
      </x:c>
      <x:c r="J237" s="19" t="n">
        <x:v>0.2</x:v>
      </x:c>
      <x:c r="K237" s="2" t="n">
        <x:v>4</x:v>
      </x:c>
      <x:c r="L237" s="19" t="n">
        <x:v>0.8</x:v>
      </x:c>
      <x:c r="M237" s="19" t="n">
        <x:v>0.25</x:v>
      </x:c>
    </x:row>
    <x:row r="238" ht="23" customHeight="1">
      <x:c r="A238" s="2" t="str">
        <x:v>D020_T04_C080_G025</x:v>
      </x:c>
      <x:c r="B238" s="2" t="str">
        <x:v>A0033</x:v>
      </x:c>
      <x:c r="C238" s="2" t="str">
        <x:v>圈内</x:v>
      </x:c>
      <x:c r="D238" s="10" t="n">
        <x:v>1</x:v>
      </x:c>
      <x:c r="E238" s="10" t="n">
        <x:v>5</x:v>
      </x:c>
      <x:c r="F238" s="10" t="n">
        <x:v>4</x:v>
      </x:c>
      <x:c r="G238" s="10" t="n">
        <x:v>1</x:v>
      </x:c>
      <x:c r="H238" s="10" t="n">
        <x:f>IF(G238=1,E238-D238,"")</x:f>
        <x:v>4</x:v>
      </x:c>
      <x:c r="I238" s="10" t="n">
        <x:f>MIN(F238,9)</x:f>
        <x:v>4</x:v>
      </x:c>
      <x:c r="J238" s="19" t="n">
        <x:v>0.2</x:v>
      </x:c>
      <x:c r="K238" s="2" t="n">
        <x:v>4</x:v>
      </x:c>
      <x:c r="L238" s="19" t="n">
        <x:v>0.8</x:v>
      </x:c>
      <x:c r="M238" s="19" t="n">
        <x:v>0.25</x:v>
      </x:c>
    </x:row>
    <x:row r="239" ht="23" customHeight="1">
      <x:c r="A239" s="2" t="str">
        <x:v>D020_T04_C080_G025</x:v>
      </x:c>
      <x:c r="B239" s="2" t="str">
        <x:v>A0036</x:v>
      </x:c>
      <x:c r="C239" s="2" t="str">
        <x:v>圈内</x:v>
      </x:c>
      <x:c r="D239" s="10" t="n">
        <x:v>1</x:v>
      </x:c>
      <x:c r="E239" s="10" t="n">
        <x:v>4</x:v>
      </x:c>
      <x:c r="F239" s="10" t="n">
        <x:v>3</x:v>
      </x:c>
      <x:c r="G239" s="10" t="n">
        <x:v>1</x:v>
      </x:c>
      <x:c r="H239" s="10" t="n">
        <x:f>IF(G239=1,E239-D239,"")</x:f>
        <x:v>3</x:v>
      </x:c>
      <x:c r="I239" s="10" t="n">
        <x:f>MIN(F239,9)</x:f>
        <x:v>3</x:v>
      </x:c>
      <x:c r="J239" s="19" t="n">
        <x:v>0.2</x:v>
      </x:c>
      <x:c r="K239" s="2" t="n">
        <x:v>4</x:v>
      </x:c>
      <x:c r="L239" s="19" t="n">
        <x:v>0.8</x:v>
      </x:c>
      <x:c r="M239" s="19" t="n">
        <x:v>0.25</x:v>
      </x:c>
    </x:row>
    <x:row r="240" ht="23" customHeight="1">
      <x:c r="A240" s="2" t="str">
        <x:v>D020_T04_C080_G025</x:v>
      </x:c>
      <x:c r="B240" s="2" t="str">
        <x:v>A0038</x:v>
      </x:c>
      <x:c r="C240" s="2" t="str">
        <x:v>圈内</x:v>
      </x:c>
      <x:c r="D240" s="10" t="n">
        <x:v>1</x:v>
      </x:c>
      <x:c r="E240" s="10" t="n">
        <x:v>6</x:v>
      </x:c>
      <x:c r="F240" s="10" t="n">
        <x:v>5</x:v>
      </x:c>
      <x:c r="G240" s="10" t="n">
        <x:v>1</x:v>
      </x:c>
      <x:c r="H240" s="10" t="n">
        <x:f>IF(G240=1,E240-D240,"")</x:f>
        <x:v>5</x:v>
      </x:c>
      <x:c r="I240" s="10" t="n">
        <x:f>MIN(F240,9)</x:f>
        <x:v>5</x:v>
      </x:c>
      <x:c r="J240" s="19" t="n">
        <x:v>0.2</x:v>
      </x:c>
      <x:c r="K240" s="2" t="n">
        <x:v>4</x:v>
      </x:c>
      <x:c r="L240" s="19" t="n">
        <x:v>0.8</x:v>
      </x:c>
      <x:c r="M240" s="19" t="n">
        <x:v>0.25</x:v>
      </x:c>
    </x:row>
    <x:row r="241" ht="23" customHeight="1">
      <x:c r="A241" s="2" t="str">
        <x:v>D020_T04_C080_G025</x:v>
      </x:c>
      <x:c r="B241" s="2" t="str">
        <x:v>A0040</x:v>
      </x:c>
      <x:c r="C241" s="2" t="str">
        <x:v>圈内</x:v>
      </x:c>
      <x:c r="D241" s="10" t="n">
        <x:v>1</x:v>
      </x:c>
      <x:c r="E241" s="10" t="n">
        <x:v>10</x:v>
      </x:c>
      <x:c r="F241" s="10" t="n">
        <x:v>9</x:v>
      </x:c>
      <x:c r="G241" s="10" t="n">
        <x:v>1</x:v>
      </x:c>
      <x:c r="H241" s="10" t="n">
        <x:f>IF(G241=1,E241-D241,"")</x:f>
        <x:v>9</x:v>
      </x:c>
      <x:c r="I241" s="10" t="n">
        <x:f>MIN(F241,9)</x:f>
        <x:v>9</x:v>
      </x:c>
      <x:c r="J241" s="19" t="n">
        <x:v>0.2</x:v>
      </x:c>
      <x:c r="K241" s="2" t="n">
        <x:v>4</x:v>
      </x:c>
      <x:c r="L241" s="19" t="n">
        <x:v>0.8</x:v>
      </x:c>
      <x:c r="M241" s="19" t="n">
        <x:v>0.25</x:v>
      </x:c>
    </x:row>
    <x:row r="242" ht="23" customHeight="1">
      <x:c r="A242" s="2" t="str">
        <x:v>D020_T04_C080_G025</x:v>
      </x:c>
      <x:c r="B242" s="2" t="str">
        <x:v>A0041</x:v>
      </x:c>
      <x:c r="C242" s="2" t="str">
        <x:v>圈内</x:v>
      </x:c>
      <x:c r="D242" s="10" t="n">
        <x:v>1</x:v>
      </x:c>
      <x:c r="E242" s="10" t="n">
        <x:v>5</x:v>
      </x:c>
      <x:c r="F242" s="10" t="n">
        <x:v>4</x:v>
      </x:c>
      <x:c r="G242" s="10" t="n">
        <x:v>1</x:v>
      </x:c>
      <x:c r="H242" s="10" t="n">
        <x:f>IF(G242=1,E242-D242,"")</x:f>
        <x:v>4</x:v>
      </x:c>
      <x:c r="I242" s="10" t="n">
        <x:f>MIN(F242,9)</x:f>
        <x:v>4</x:v>
      </x:c>
      <x:c r="J242" s="19" t="n">
        <x:v>0.2</x:v>
      </x:c>
      <x:c r="K242" s="2" t="n">
        <x:v>4</x:v>
      </x:c>
      <x:c r="L242" s="19" t="n">
        <x:v>0.8</x:v>
      </x:c>
      <x:c r="M242" s="19" t="n">
        <x:v>0.25</x:v>
      </x:c>
    </x:row>
    <x:row r="243" ht="23" customHeight="1">
      <x:c r="A243" s="2" t="str">
        <x:v>D020_T04_C080_G025</x:v>
      </x:c>
      <x:c r="B243" s="2" t="str">
        <x:v>A0071</x:v>
      </x:c>
      <x:c r="C243" s="2" t="str">
        <x:v>圈内</x:v>
      </x:c>
      <x:c r="D243" s="10" t="n">
        <x:v>1</x:v>
      </x:c>
      <x:c r="E243" s="10" t="n">
        <x:v>8</x:v>
      </x:c>
      <x:c r="F243" s="10" t="n">
        <x:v>7</x:v>
      </x:c>
      <x:c r="G243" s="10" t="n">
        <x:v>1</x:v>
      </x:c>
      <x:c r="H243" s="10" t="n">
        <x:f>IF(G243=1,E243-D243,"")</x:f>
        <x:v>7</x:v>
      </x:c>
      <x:c r="I243" s="10" t="n">
        <x:f>MIN(F243,9)</x:f>
        <x:v>7</x:v>
      </x:c>
      <x:c r="J243" s="19" t="n">
        <x:v>0.2</x:v>
      </x:c>
      <x:c r="K243" s="2" t="n">
        <x:v>4</x:v>
      </x:c>
      <x:c r="L243" s="19" t="n">
        <x:v>0.8</x:v>
      </x:c>
      <x:c r="M243" s="19" t="n">
        <x:v>0.25</x:v>
      </x:c>
    </x:row>
    <x:row r="244" ht="23" customHeight="1">
      <x:c r="A244" s="2" t="str">
        <x:v>D020_T04_C080_G025</x:v>
      </x:c>
      <x:c r="B244" s="2" t="str">
        <x:v>A0189</x:v>
      </x:c>
      <x:c r="C244" s="2" t="str">
        <x:v>圈内</x:v>
      </x:c>
      <x:c r="D244" s="10" t="n">
        <x:v>1</x:v>
      </x:c>
      <x:c r="E244" s="10"/>
      <x:c r="F244" s="10" t="n">
        <x:v>9</x:v>
      </x:c>
      <x:c r="G244" s="10" t="n">
        <x:v>0</x:v>
      </x:c>
      <x:c r="H244" s="10" t="str">
        <x:f>IF(G244=1,E244-D244,"")</x:f>
      </x:c>
      <x:c r="I244" s="10" t="n">
        <x:f>MIN(F244,9)</x:f>
        <x:v>9</x:v>
      </x:c>
      <x:c r="J244" s="19" t="n">
        <x:v>0.2</x:v>
      </x:c>
      <x:c r="K244" s="2" t="n">
        <x:v>4</x:v>
      </x:c>
      <x:c r="L244" s="19" t="n">
        <x:v>0.8</x:v>
      </x:c>
      <x:c r="M244" s="19" t="n">
        <x:v>0.25</x:v>
      </x:c>
    </x:row>
    <x:row r="245" ht="23" customHeight="1">
      <x:c r="A245" s="2" t="str">
        <x:v>D020_T04_C080_G025</x:v>
      </x:c>
      <x:c r="B245" s="2" t="str">
        <x:v>A0206</x:v>
      </x:c>
      <x:c r="C245" s="2" t="str">
        <x:v>圈内</x:v>
      </x:c>
      <x:c r="D245" s="10" t="n">
        <x:v>1</x:v>
      </x:c>
      <x:c r="E245" s="10" t="n">
        <x:v>4</x:v>
      </x:c>
      <x:c r="F245" s="10" t="n">
        <x:v>3</x:v>
      </x:c>
      <x:c r="G245" s="10" t="n">
        <x:v>1</x:v>
      </x:c>
      <x:c r="H245" s="10" t="n">
        <x:f>IF(G245=1,E245-D245,"")</x:f>
        <x:v>3</x:v>
      </x:c>
      <x:c r="I245" s="10" t="n">
        <x:f>MIN(F245,9)</x:f>
        <x:v>3</x:v>
      </x:c>
      <x:c r="J245" s="19" t="n">
        <x:v>0.2</x:v>
      </x:c>
      <x:c r="K245" s="2" t="n">
        <x:v>4</x:v>
      </x:c>
      <x:c r="L245" s="19" t="n">
        <x:v>0.8</x:v>
      </x:c>
      <x:c r="M245" s="19" t="n">
        <x:v>0.25</x:v>
      </x:c>
    </x:row>
    <x:row r="246" ht="23" customHeight="1">
      <x:c r="A246" s="2" t="str">
        <x:v>D020_T04_C080_G050</x:v>
      </x:c>
      <x:c r="B246" s="2" t="str">
        <x:v>A0003</x:v>
      </x:c>
      <x:c r="C246" s="2" t="str">
        <x:v>圈内</x:v>
      </x:c>
      <x:c r="D246" s="10" t="n">
        <x:v>1</x:v>
      </x:c>
      <x:c r="E246" s="10" t="n">
        <x:v>4</x:v>
      </x:c>
      <x:c r="F246" s="10" t="n">
        <x:v>3</x:v>
      </x:c>
      <x:c r="G246" s="10" t="n">
        <x:v>1</x:v>
      </x:c>
      <x:c r="H246" s="10" t="n">
        <x:f>IF(G246=1,E246-D246,"")</x:f>
        <x:v>3</x:v>
      </x:c>
      <x:c r="I246" s="10" t="n">
        <x:f>MIN(F246,9)</x:f>
        <x:v>3</x:v>
      </x:c>
      <x:c r="J246" s="19" t="n">
        <x:v>0.2</x:v>
      </x:c>
      <x:c r="K246" s="2" t="n">
        <x:v>4</x:v>
      </x:c>
      <x:c r="L246" s="19" t="n">
        <x:v>0.8</x:v>
      </x:c>
      <x:c r="M246" s="19" t="n">
        <x:v>0.5</x:v>
      </x:c>
    </x:row>
    <x:row r="247" ht="23" customHeight="1">
      <x:c r="A247" s="2" t="str">
        <x:v>D020_T04_C080_G050</x:v>
      </x:c>
      <x:c r="B247" s="2" t="str">
        <x:v>A0011</x:v>
      </x:c>
      <x:c r="C247" s="2" t="str">
        <x:v>圈内</x:v>
      </x:c>
      <x:c r="D247" s="10" t="n">
        <x:v>1</x:v>
      </x:c>
      <x:c r="E247" s="10" t="n">
        <x:v>8</x:v>
      </x:c>
      <x:c r="F247" s="10" t="n">
        <x:v>7</x:v>
      </x:c>
      <x:c r="G247" s="10" t="n">
        <x:v>1</x:v>
      </x:c>
      <x:c r="H247" s="10" t="n">
        <x:f>IF(G247=1,E247-D247,"")</x:f>
        <x:v>7</x:v>
      </x:c>
      <x:c r="I247" s="10" t="n">
        <x:f>MIN(F247,9)</x:f>
        <x:v>7</x:v>
      </x:c>
      <x:c r="J247" s="19" t="n">
        <x:v>0.2</x:v>
      </x:c>
      <x:c r="K247" s="2" t="n">
        <x:v>4</x:v>
      </x:c>
      <x:c r="L247" s="19" t="n">
        <x:v>0.8</x:v>
      </x:c>
      <x:c r="M247" s="19" t="n">
        <x:v>0.5</x:v>
      </x:c>
    </x:row>
    <x:row r="248" ht="23" customHeight="1">
      <x:c r="A248" s="2" t="str">
        <x:v>D020_T04_C080_G050</x:v>
      </x:c>
      <x:c r="B248" s="2" t="str">
        <x:v>A0012</x:v>
      </x:c>
      <x:c r="C248" s="2" t="str">
        <x:v>圈内</x:v>
      </x:c>
      <x:c r="D248" s="10" t="n">
        <x:v>1</x:v>
      </x:c>
      <x:c r="E248" s="10" t="n">
        <x:v>9</x:v>
      </x:c>
      <x:c r="F248" s="10" t="n">
        <x:v>8</x:v>
      </x:c>
      <x:c r="G248" s="10" t="n">
        <x:v>1</x:v>
      </x:c>
      <x:c r="H248" s="10" t="n">
        <x:f>IF(G248=1,E248-D248,"")</x:f>
        <x:v>8</x:v>
      </x:c>
      <x:c r="I248" s="10" t="n">
        <x:f>MIN(F248,9)</x:f>
        <x:v>8</x:v>
      </x:c>
      <x:c r="J248" s="19" t="n">
        <x:v>0.2</x:v>
      </x:c>
      <x:c r="K248" s="2" t="n">
        <x:v>4</x:v>
      </x:c>
      <x:c r="L248" s="19" t="n">
        <x:v>0.8</x:v>
      </x:c>
      <x:c r="M248" s="19" t="n">
        <x:v>0.5</x:v>
      </x:c>
    </x:row>
    <x:row r="249" ht="23" customHeight="1">
      <x:c r="A249" s="2" t="str">
        <x:v>D020_T04_C080_G050</x:v>
      </x:c>
      <x:c r="B249" s="2" t="str">
        <x:v>A0014</x:v>
      </x:c>
      <x:c r="C249" s="2" t="str">
        <x:v>圈内</x:v>
      </x:c>
      <x:c r="D249" s="10" t="n">
        <x:v>1</x:v>
      </x:c>
      <x:c r="E249" s="10" t="n">
        <x:v>4</x:v>
      </x:c>
      <x:c r="F249" s="10" t="n">
        <x:v>3</x:v>
      </x:c>
      <x:c r="G249" s="10" t="n">
        <x:v>1</x:v>
      </x:c>
      <x:c r="H249" s="10" t="n">
        <x:f>IF(G249=1,E249-D249,"")</x:f>
        <x:v>3</x:v>
      </x:c>
      <x:c r="I249" s="10" t="n">
        <x:f>MIN(F249,9)</x:f>
        <x:v>3</x:v>
      </x:c>
      <x:c r="J249" s="19" t="n">
        <x:v>0.2</x:v>
      </x:c>
      <x:c r="K249" s="2" t="n">
        <x:v>4</x:v>
      </x:c>
      <x:c r="L249" s="19" t="n">
        <x:v>0.8</x:v>
      </x:c>
      <x:c r="M249" s="19" t="n">
        <x:v>0.5</x:v>
      </x:c>
    </x:row>
    <x:row r="250" ht="23" customHeight="1">
      <x:c r="A250" s="2" t="str">
        <x:v>D020_T04_C080_G050</x:v>
      </x:c>
      <x:c r="B250" s="2" t="str">
        <x:v>A0017</x:v>
      </x:c>
      <x:c r="C250" s="2" t="str">
        <x:v>圈内</x:v>
      </x:c>
      <x:c r="D250" s="10" t="n">
        <x:v>1</x:v>
      </x:c>
      <x:c r="E250" s="10" t="n">
        <x:v>5</x:v>
      </x:c>
      <x:c r="F250" s="10" t="n">
        <x:v>4</x:v>
      </x:c>
      <x:c r="G250" s="10" t="n">
        <x:v>1</x:v>
      </x:c>
      <x:c r="H250" s="10" t="n">
        <x:f>IF(G250=1,E250-D250,"")</x:f>
        <x:v>4</x:v>
      </x:c>
      <x:c r="I250" s="10" t="n">
        <x:f>MIN(F250,9)</x:f>
        <x:v>4</x:v>
      </x:c>
      <x:c r="J250" s="19" t="n">
        <x:v>0.2</x:v>
      </x:c>
      <x:c r="K250" s="2" t="n">
        <x:v>4</x:v>
      </x:c>
      <x:c r="L250" s="19" t="n">
        <x:v>0.8</x:v>
      </x:c>
      <x:c r="M250" s="19" t="n">
        <x:v>0.5</x:v>
      </x:c>
    </x:row>
    <x:row r="251" ht="23" customHeight="1">
      <x:c r="A251" s="2" t="str">
        <x:v>D020_T04_C080_G050</x:v>
      </x:c>
      <x:c r="B251" s="2" t="str">
        <x:v>A0018</x:v>
      </x:c>
      <x:c r="C251" s="2" t="str">
        <x:v>圈内</x:v>
      </x:c>
      <x:c r="D251" s="10" t="n">
        <x:v>1</x:v>
      </x:c>
      <x:c r="E251" s="10" t="n">
        <x:v>4</x:v>
      </x:c>
      <x:c r="F251" s="10" t="n">
        <x:v>3</x:v>
      </x:c>
      <x:c r="G251" s="10" t="n">
        <x:v>1</x:v>
      </x:c>
      <x:c r="H251" s="10" t="n">
        <x:f>IF(G251=1,E251-D251,"")</x:f>
        <x:v>3</x:v>
      </x:c>
      <x:c r="I251" s="10" t="n">
        <x:f>MIN(F251,9)</x:f>
        <x:v>3</x:v>
      </x:c>
      <x:c r="J251" s="19" t="n">
        <x:v>0.2</x:v>
      </x:c>
      <x:c r="K251" s="2" t="n">
        <x:v>4</x:v>
      </x:c>
      <x:c r="L251" s="19" t="n">
        <x:v>0.8</x:v>
      </x:c>
      <x:c r="M251" s="19" t="n">
        <x:v>0.5</x:v>
      </x:c>
    </x:row>
    <x:row r="252" ht="23" customHeight="1">
      <x:c r="A252" s="2" t="str">
        <x:v>D020_T04_C080_G050</x:v>
      </x:c>
      <x:c r="B252" s="2" t="str">
        <x:v>A0019</x:v>
      </x:c>
      <x:c r="C252" s="2" t="str">
        <x:v>圈内</x:v>
      </x:c>
      <x:c r="D252" s="10" t="n">
        <x:v>1</x:v>
      </x:c>
      <x:c r="E252" s="10" t="n">
        <x:v>4</x:v>
      </x:c>
      <x:c r="F252" s="10" t="n">
        <x:v>3</x:v>
      </x:c>
      <x:c r="G252" s="10" t="n">
        <x:v>1</x:v>
      </x:c>
      <x:c r="H252" s="10" t="n">
        <x:f>IF(G252=1,E252-D252,"")</x:f>
        <x:v>3</x:v>
      </x:c>
      <x:c r="I252" s="10" t="n">
        <x:f>MIN(F252,9)</x:f>
        <x:v>3</x:v>
      </x:c>
      <x:c r="J252" s="19" t="n">
        <x:v>0.2</x:v>
      </x:c>
      <x:c r="K252" s="2" t="n">
        <x:v>4</x:v>
      </x:c>
      <x:c r="L252" s="19" t="n">
        <x:v>0.8</x:v>
      </x:c>
      <x:c r="M252" s="19" t="n">
        <x:v>0.5</x:v>
      </x:c>
    </x:row>
    <x:row r="253" ht="23" customHeight="1">
      <x:c r="A253" s="2" t="str">
        <x:v>D020_T04_C080_G050</x:v>
      </x:c>
      <x:c r="B253" s="2" t="str">
        <x:v>A0023</x:v>
      </x:c>
      <x:c r="C253" s="2" t="str">
        <x:v>圈内</x:v>
      </x:c>
      <x:c r="D253" s="10" t="n">
        <x:v>1</x:v>
      </x:c>
      <x:c r="E253" s="10" t="n">
        <x:v>4</x:v>
      </x:c>
      <x:c r="F253" s="10" t="n">
        <x:v>3</x:v>
      </x:c>
      <x:c r="G253" s="10" t="n">
        <x:v>1</x:v>
      </x:c>
      <x:c r="H253" s="10" t="n">
        <x:f>IF(G253=1,E253-D253,"")</x:f>
        <x:v>3</x:v>
      </x:c>
      <x:c r="I253" s="10" t="n">
        <x:f>MIN(F253,9)</x:f>
        <x:v>3</x:v>
      </x:c>
      <x:c r="J253" s="19" t="n">
        <x:v>0.2</x:v>
      </x:c>
      <x:c r="K253" s="2" t="n">
        <x:v>4</x:v>
      </x:c>
      <x:c r="L253" s="19" t="n">
        <x:v>0.8</x:v>
      </x:c>
      <x:c r="M253" s="19" t="n">
        <x:v>0.5</x:v>
      </x:c>
    </x:row>
    <x:row r="254" ht="23" customHeight="1">
      <x:c r="A254" s="2" t="str">
        <x:v>D020_T04_C080_G050</x:v>
      </x:c>
      <x:c r="B254" s="2" t="str">
        <x:v>A0025</x:v>
      </x:c>
      <x:c r="C254" s="2" t="str">
        <x:v>圈内</x:v>
      </x:c>
      <x:c r="D254" s="10" t="n">
        <x:v>1</x:v>
      </x:c>
      <x:c r="E254" s="10" t="n">
        <x:v>5</x:v>
      </x:c>
      <x:c r="F254" s="10" t="n">
        <x:v>4</x:v>
      </x:c>
      <x:c r="G254" s="10" t="n">
        <x:v>1</x:v>
      </x:c>
      <x:c r="H254" s="10" t="n">
        <x:f>IF(G254=1,E254-D254,"")</x:f>
        <x:v>4</x:v>
      </x:c>
      <x:c r="I254" s="10" t="n">
        <x:f>MIN(F254,9)</x:f>
        <x:v>4</x:v>
      </x:c>
      <x:c r="J254" s="19" t="n">
        <x:v>0.2</x:v>
      </x:c>
      <x:c r="K254" s="2" t="n">
        <x:v>4</x:v>
      </x:c>
      <x:c r="L254" s="19" t="n">
        <x:v>0.8</x:v>
      </x:c>
      <x:c r="M254" s="19" t="n">
        <x:v>0.5</x:v>
      </x:c>
    </x:row>
    <x:row r="255" ht="23" customHeight="1">
      <x:c r="A255" s="2" t="str">
        <x:v>D020_T04_C080_G050</x:v>
      </x:c>
      <x:c r="B255" s="2" t="str">
        <x:v>A0029</x:v>
      </x:c>
      <x:c r="C255" s="2" t="str">
        <x:v>圈内</x:v>
      </x:c>
      <x:c r="D255" s="10" t="n">
        <x:v>1</x:v>
      </x:c>
      <x:c r="E255" s="10" t="n">
        <x:v>4</x:v>
      </x:c>
      <x:c r="F255" s="10" t="n">
        <x:v>3</x:v>
      </x:c>
      <x:c r="G255" s="10" t="n">
        <x:v>1</x:v>
      </x:c>
      <x:c r="H255" s="10" t="n">
        <x:f>IF(G255=1,E255-D255,"")</x:f>
        <x:v>3</x:v>
      </x:c>
      <x:c r="I255" s="10" t="n">
        <x:f>MIN(F255,9)</x:f>
        <x:v>3</x:v>
      </x:c>
      <x:c r="J255" s="19" t="n">
        <x:v>0.2</x:v>
      </x:c>
      <x:c r="K255" s="2" t="n">
        <x:v>4</x:v>
      </x:c>
      <x:c r="L255" s="19" t="n">
        <x:v>0.8</x:v>
      </x:c>
      <x:c r="M255" s="19" t="n">
        <x:v>0.5</x:v>
      </x:c>
    </x:row>
    <x:row r="256" ht="23" customHeight="1">
      <x:c r="A256" s="2" t="str">
        <x:v>D020_T04_C080_G050</x:v>
      </x:c>
      <x:c r="B256" s="2" t="str">
        <x:v>A0032</x:v>
      </x:c>
      <x:c r="C256" s="2" t="str">
        <x:v>圈内</x:v>
      </x:c>
      <x:c r="D256" s="10" t="n">
        <x:v>1</x:v>
      </x:c>
      <x:c r="E256" s="10" t="n">
        <x:v>5</x:v>
      </x:c>
      <x:c r="F256" s="10" t="n">
        <x:v>4</x:v>
      </x:c>
      <x:c r="G256" s="10" t="n">
        <x:v>1</x:v>
      </x:c>
      <x:c r="H256" s="10" t="n">
        <x:f>IF(G256=1,E256-D256,"")</x:f>
        <x:v>4</x:v>
      </x:c>
      <x:c r="I256" s="10" t="n">
        <x:f>MIN(F256,9)</x:f>
        <x:v>4</x:v>
      </x:c>
      <x:c r="J256" s="19" t="n">
        <x:v>0.2</x:v>
      </x:c>
      <x:c r="K256" s="2" t="n">
        <x:v>4</x:v>
      </x:c>
      <x:c r="L256" s="19" t="n">
        <x:v>0.8</x:v>
      </x:c>
      <x:c r="M256" s="19" t="n">
        <x:v>0.5</x:v>
      </x:c>
    </x:row>
    <x:row r="257" ht="23" customHeight="1">
      <x:c r="A257" s="2" t="str">
        <x:v>D020_T04_C080_G050</x:v>
      </x:c>
      <x:c r="B257" s="2" t="str">
        <x:v>A0035</x:v>
      </x:c>
      <x:c r="C257" s="2" t="str">
        <x:v>圈内</x:v>
      </x:c>
      <x:c r="D257" s="10" t="n">
        <x:v>1</x:v>
      </x:c>
      <x:c r="E257" s="10" t="n">
        <x:v>7</x:v>
      </x:c>
      <x:c r="F257" s="10" t="n">
        <x:v>6</x:v>
      </x:c>
      <x:c r="G257" s="10" t="n">
        <x:v>1</x:v>
      </x:c>
      <x:c r="H257" s="10" t="n">
        <x:f>IF(G257=1,E257-D257,"")</x:f>
        <x:v>6</x:v>
      </x:c>
      <x:c r="I257" s="10" t="n">
        <x:f>MIN(F257,9)</x:f>
        <x:v>6</x:v>
      </x:c>
      <x:c r="J257" s="19" t="n">
        <x:v>0.2</x:v>
      </x:c>
      <x:c r="K257" s="2" t="n">
        <x:v>4</x:v>
      </x:c>
      <x:c r="L257" s="19" t="n">
        <x:v>0.8</x:v>
      </x:c>
      <x:c r="M257" s="19" t="n">
        <x:v>0.5</x:v>
      </x:c>
    </x:row>
    <x:row r="258" ht="23" customHeight="1">
      <x:c r="A258" s="2" t="str">
        <x:v>D020_T04_C080_G050</x:v>
      </x:c>
      <x:c r="B258" s="2" t="str">
        <x:v>A0038</x:v>
      </x:c>
      <x:c r="C258" s="2" t="str">
        <x:v>圈内</x:v>
      </x:c>
      <x:c r="D258" s="10" t="n">
        <x:v>1</x:v>
      </x:c>
      <x:c r="E258" s="10" t="n">
        <x:v>4</x:v>
      </x:c>
      <x:c r="F258" s="10" t="n">
        <x:v>3</x:v>
      </x:c>
      <x:c r="G258" s="10" t="n">
        <x:v>1</x:v>
      </x:c>
      <x:c r="H258" s="10" t="n">
        <x:f>IF(G258=1,E258-D258,"")</x:f>
        <x:v>3</x:v>
      </x:c>
      <x:c r="I258" s="10" t="n">
        <x:f>MIN(F258,9)</x:f>
        <x:v>3</x:v>
      </x:c>
      <x:c r="J258" s="19" t="n">
        <x:v>0.2</x:v>
      </x:c>
      <x:c r="K258" s="2" t="n">
        <x:v>4</x:v>
      </x:c>
      <x:c r="L258" s="19" t="n">
        <x:v>0.8</x:v>
      </x:c>
      <x:c r="M258" s="19" t="n">
        <x:v>0.5</x:v>
      </x:c>
    </x:row>
    <x:row r="259" ht="23" customHeight="1">
      <x:c r="A259" s="2" t="str">
        <x:v>D020_T04_C080_G050</x:v>
      </x:c>
      <x:c r="B259" s="2" t="str">
        <x:v>A0040</x:v>
      </x:c>
      <x:c r="C259" s="2" t="str">
        <x:v>圈内</x:v>
      </x:c>
      <x:c r="D259" s="10" t="n">
        <x:v>1</x:v>
      </x:c>
      <x:c r="E259" s="10" t="n">
        <x:v>4</x:v>
      </x:c>
      <x:c r="F259" s="10" t="n">
        <x:v>3</x:v>
      </x:c>
      <x:c r="G259" s="10" t="n">
        <x:v>1</x:v>
      </x:c>
      <x:c r="H259" s="10" t="n">
        <x:f>IF(G259=1,E259-D259,"")</x:f>
        <x:v>3</x:v>
      </x:c>
      <x:c r="I259" s="10" t="n">
        <x:f>MIN(F259,9)</x:f>
        <x:v>3</x:v>
      </x:c>
      <x:c r="J259" s="19" t="n">
        <x:v>0.2</x:v>
      </x:c>
      <x:c r="K259" s="2" t="n">
        <x:v>4</x:v>
      </x:c>
      <x:c r="L259" s="19" t="n">
        <x:v>0.8</x:v>
      </x:c>
      <x:c r="M259" s="19" t="n">
        <x:v>0.5</x:v>
      </x:c>
    </x:row>
    <x:row r="260" ht="23" customHeight="1">
      <x:c r="A260" s="2" t="str">
        <x:v>D020_T04_C080_G050</x:v>
      </x:c>
      <x:c r="B260" s="2" t="str">
        <x:v>A0071</x:v>
      </x:c>
      <x:c r="C260" s="2" t="str">
        <x:v>圈内</x:v>
      </x:c>
      <x:c r="D260" s="10" t="n">
        <x:v>1</x:v>
      </x:c>
      <x:c r="E260" s="10" t="n">
        <x:v>5</x:v>
      </x:c>
      <x:c r="F260" s="10" t="n">
        <x:v>4</x:v>
      </x:c>
      <x:c r="G260" s="10" t="n">
        <x:v>1</x:v>
      </x:c>
      <x:c r="H260" s="10" t="n">
        <x:f>IF(G260=1,E260-D260,"")</x:f>
        <x:v>4</x:v>
      </x:c>
      <x:c r="I260" s="10" t="n">
        <x:f>MIN(F260,9)</x:f>
        <x:v>4</x:v>
      </x:c>
      <x:c r="J260" s="19" t="n">
        <x:v>0.2</x:v>
      </x:c>
      <x:c r="K260" s="2" t="n">
        <x:v>4</x:v>
      </x:c>
      <x:c r="L260" s="19" t="n">
        <x:v>0.8</x:v>
      </x:c>
      <x:c r="M260" s="19" t="n">
        <x:v>0.5</x:v>
      </x:c>
    </x:row>
    <x:row r="261" ht="23" customHeight="1">
      <x:c r="A261" s="2" t="str">
        <x:v>D020_T04_C080_G050</x:v>
      </x:c>
      <x:c r="B261" s="2" t="str">
        <x:v>A0189</x:v>
      </x:c>
      <x:c r="C261" s="2" t="str">
        <x:v>圈内</x:v>
      </x:c>
      <x:c r="D261" s="10" t="n">
        <x:v>1</x:v>
      </x:c>
      <x:c r="E261" s="10" t="n">
        <x:v>5</x:v>
      </x:c>
      <x:c r="F261" s="10" t="n">
        <x:v>4</x:v>
      </x:c>
      <x:c r="G261" s="10" t="n">
        <x:v>1</x:v>
      </x:c>
      <x:c r="H261" s="10" t="n">
        <x:f>IF(G261=1,E261-D261,"")</x:f>
        <x:v>4</x:v>
      </x:c>
      <x:c r="I261" s="10" t="n">
        <x:f>MIN(F261,9)</x:f>
        <x:v>4</x:v>
      </x:c>
      <x:c r="J261" s="19" t="n">
        <x:v>0.2</x:v>
      </x:c>
      <x:c r="K261" s="2" t="n">
        <x:v>4</x:v>
      </x:c>
      <x:c r="L261" s="19" t="n">
        <x:v>0.8</x:v>
      </x:c>
      <x:c r="M261" s="19" t="n">
        <x:v>0.5</x:v>
      </x:c>
    </x:row>
    <x:row r="262" ht="23" customHeight="1">
      <x:c r="A262" s="2" t="str">
        <x:v>D020_T04_C080_G050</x:v>
      </x:c>
      <x:c r="B262" s="2" t="str">
        <x:v>A0206</x:v>
      </x:c>
      <x:c r="C262" s="2" t="str">
        <x:v>圈内</x:v>
      </x:c>
      <x:c r="D262" s="10" t="n">
        <x:v>1</x:v>
      </x:c>
      <x:c r="E262" s="10" t="n">
        <x:v>4</x:v>
      </x:c>
      <x:c r="F262" s="10" t="n">
        <x:v>3</x:v>
      </x:c>
      <x:c r="G262" s="10" t="n">
        <x:v>1</x:v>
      </x:c>
      <x:c r="H262" s="10" t="n">
        <x:f>IF(G262=1,E262-D262,"")</x:f>
        <x:v>3</x:v>
      </x:c>
      <x:c r="I262" s="10" t="n">
        <x:f>MIN(F262,9)</x:f>
        <x:v>3</x:v>
      </x:c>
      <x:c r="J262" s="19" t="n">
        <x:v>0.2</x:v>
      </x:c>
      <x:c r="K262" s="2" t="n">
        <x:v>4</x:v>
      </x:c>
      <x:c r="L262" s="19" t="n">
        <x:v>0.8</x:v>
      </x:c>
      <x:c r="M262" s="19" t="n">
        <x:v>0.5</x:v>
      </x:c>
    </x:row>
    <x:row r="263" ht="23" customHeight="1">
      <x:c r="A263" s="2" t="str">
        <x:v>D020_T04_C080_G075</x:v>
      </x:c>
      <x:c r="B263" s="2" t="str">
        <x:v>A0005</x:v>
      </x:c>
      <x:c r="C263" s="2" t="str">
        <x:v>圈内</x:v>
      </x:c>
      <x:c r="D263" s="10" t="n">
        <x:v>1</x:v>
      </x:c>
      <x:c r="E263" s="10" t="n">
        <x:v>4</x:v>
      </x:c>
      <x:c r="F263" s="10" t="n">
        <x:v>3</x:v>
      </x:c>
      <x:c r="G263" s="10" t="n">
        <x:v>1</x:v>
      </x:c>
      <x:c r="H263" s="10" t="n">
        <x:f>IF(G263=1,E263-D263,"")</x:f>
        <x:v>3</x:v>
      </x:c>
      <x:c r="I263" s="10" t="n">
        <x:f>MIN(F263,9)</x:f>
        <x:v>3</x:v>
      </x:c>
      <x:c r="J263" s="19" t="n">
        <x:v>0.2</x:v>
      </x:c>
      <x:c r="K263" s="2" t="n">
        <x:v>4</x:v>
      </x:c>
      <x:c r="L263" s="19" t="n">
        <x:v>0.8</x:v>
      </x:c>
      <x:c r="M263" s="19" t="n">
        <x:v>0.75</x:v>
      </x:c>
    </x:row>
    <x:row r="264" ht="23" customHeight="1">
      <x:c r="A264" s="2" t="str">
        <x:v>D020_T04_C080_G075</x:v>
      </x:c>
      <x:c r="B264" s="2" t="str">
        <x:v>A0011</x:v>
      </x:c>
      <x:c r="C264" s="2" t="str">
        <x:v>圈内</x:v>
      </x:c>
      <x:c r="D264" s="10" t="n">
        <x:v>1</x:v>
      </x:c>
      <x:c r="E264" s="10" t="n">
        <x:v>6</x:v>
      </x:c>
      <x:c r="F264" s="10" t="n">
        <x:v>5</x:v>
      </x:c>
      <x:c r="G264" s="10" t="n">
        <x:v>1</x:v>
      </x:c>
      <x:c r="H264" s="10" t="n">
        <x:f>IF(G264=1,E264-D264,"")</x:f>
        <x:v>5</x:v>
      </x:c>
      <x:c r="I264" s="10" t="n">
        <x:f>MIN(F264,9)</x:f>
        <x:v>5</x:v>
      </x:c>
      <x:c r="J264" s="19" t="n">
        <x:v>0.2</x:v>
      </x:c>
      <x:c r="K264" s="2" t="n">
        <x:v>4</x:v>
      </x:c>
      <x:c r="L264" s="19" t="n">
        <x:v>0.8</x:v>
      </x:c>
      <x:c r="M264" s="19" t="n">
        <x:v>0.75</x:v>
      </x:c>
    </x:row>
    <x:row r="265" ht="23" customHeight="1">
      <x:c r="A265" s="2" t="str">
        <x:v>D020_T04_C080_G075</x:v>
      </x:c>
      <x:c r="B265" s="2" t="str">
        <x:v>A0012</x:v>
      </x:c>
      <x:c r="C265" s="2" t="str">
        <x:v>圈内</x:v>
      </x:c>
      <x:c r="D265" s="10" t="n">
        <x:v>1</x:v>
      </x:c>
      <x:c r="E265" s="10" t="n">
        <x:v>4</x:v>
      </x:c>
      <x:c r="F265" s="10" t="n">
        <x:v>3</x:v>
      </x:c>
      <x:c r="G265" s="10" t="n">
        <x:v>1</x:v>
      </x:c>
      <x:c r="H265" s="10" t="n">
        <x:f>IF(G265=1,E265-D265,"")</x:f>
        <x:v>3</x:v>
      </x:c>
      <x:c r="I265" s="10" t="n">
        <x:f>MIN(F265,9)</x:f>
        <x:v>3</x:v>
      </x:c>
      <x:c r="J265" s="19" t="n">
        <x:v>0.2</x:v>
      </x:c>
      <x:c r="K265" s="2" t="n">
        <x:v>4</x:v>
      </x:c>
      <x:c r="L265" s="19" t="n">
        <x:v>0.8</x:v>
      </x:c>
      <x:c r="M265" s="19" t="n">
        <x:v>0.75</x:v>
      </x:c>
    </x:row>
    <x:row r="266" ht="23" customHeight="1">
      <x:c r="A266" s="2" t="str">
        <x:v>D020_T04_C080_G075</x:v>
      </x:c>
      <x:c r="B266" s="2" t="str">
        <x:v>A0024</x:v>
      </x:c>
      <x:c r="C266" s="2" t="str">
        <x:v>圈内</x:v>
      </x:c>
      <x:c r="D266" s="10" t="n">
        <x:v>1</x:v>
      </x:c>
      <x:c r="E266" s="10" t="n">
        <x:v>5</x:v>
      </x:c>
      <x:c r="F266" s="10" t="n">
        <x:v>4</x:v>
      </x:c>
      <x:c r="G266" s="10" t="n">
        <x:v>1</x:v>
      </x:c>
      <x:c r="H266" s="10" t="n">
        <x:f>IF(G266=1,E266-D266,"")</x:f>
        <x:v>4</x:v>
      </x:c>
      <x:c r="I266" s="10" t="n">
        <x:f>MIN(F266,9)</x:f>
        <x:v>4</x:v>
      </x:c>
      <x:c r="J266" s="19" t="n">
        <x:v>0.2</x:v>
      </x:c>
      <x:c r="K266" s="2" t="n">
        <x:v>4</x:v>
      </x:c>
      <x:c r="L266" s="19" t="n">
        <x:v>0.8</x:v>
      </x:c>
      <x:c r="M266" s="19" t="n">
        <x:v>0.75</x:v>
      </x:c>
    </x:row>
    <x:row r="267" ht="23" customHeight="1">
      <x:c r="A267" s="2" t="str">
        <x:v>D020_T04_C080_G075</x:v>
      </x:c>
      <x:c r="B267" s="2" t="str">
        <x:v>A0025</x:v>
      </x:c>
      <x:c r="C267" s="2" t="str">
        <x:v>圈内</x:v>
      </x:c>
      <x:c r="D267" s="10" t="n">
        <x:v>1</x:v>
      </x:c>
      <x:c r="E267" s="10" t="n">
        <x:v>5</x:v>
      </x:c>
      <x:c r="F267" s="10" t="n">
        <x:v>4</x:v>
      </x:c>
      <x:c r="G267" s="10" t="n">
        <x:v>1</x:v>
      </x:c>
      <x:c r="H267" s="10" t="n">
        <x:f>IF(G267=1,E267-D267,"")</x:f>
        <x:v>4</x:v>
      </x:c>
      <x:c r="I267" s="10" t="n">
        <x:f>MIN(F267,9)</x:f>
        <x:v>4</x:v>
      </x:c>
      <x:c r="J267" s="19" t="n">
        <x:v>0.2</x:v>
      </x:c>
      <x:c r="K267" s="2" t="n">
        <x:v>4</x:v>
      </x:c>
      <x:c r="L267" s="19" t="n">
        <x:v>0.8</x:v>
      </x:c>
      <x:c r="M267" s="19" t="n">
        <x:v>0.75</x:v>
      </x:c>
    </x:row>
    <x:row r="268" ht="23" customHeight="1">
      <x:c r="A268" s="2" t="str">
        <x:v>D020_T04_C080_G075</x:v>
      </x:c>
      <x:c r="B268" s="2" t="str">
        <x:v>A0032</x:v>
      </x:c>
      <x:c r="C268" s="2" t="str">
        <x:v>圈内</x:v>
      </x:c>
      <x:c r="D268" s="10" t="n">
        <x:v>1</x:v>
      </x:c>
      <x:c r="E268" s="10" t="n">
        <x:v>4</x:v>
      </x:c>
      <x:c r="F268" s="10" t="n">
        <x:v>3</x:v>
      </x:c>
      <x:c r="G268" s="10" t="n">
        <x:v>1</x:v>
      </x:c>
      <x:c r="H268" s="10" t="n">
        <x:f>IF(G268=1,E268-D268,"")</x:f>
        <x:v>3</x:v>
      </x:c>
      <x:c r="I268" s="10" t="n">
        <x:f>MIN(F268,9)</x:f>
        <x:v>3</x:v>
      </x:c>
      <x:c r="J268" s="19" t="n">
        <x:v>0.2</x:v>
      </x:c>
      <x:c r="K268" s="2" t="n">
        <x:v>4</x:v>
      </x:c>
      <x:c r="L268" s="19" t="n">
        <x:v>0.8</x:v>
      </x:c>
      <x:c r="M268" s="19" t="n">
        <x:v>0.75</x:v>
      </x:c>
    </x:row>
    <x:row r="269" ht="23" customHeight="1">
      <x:c r="A269" s="2" t="str">
        <x:v>D020_T04_C080_G075</x:v>
      </x:c>
      <x:c r="B269" s="2" t="str">
        <x:v>A0033</x:v>
      </x:c>
      <x:c r="C269" s="2" t="str">
        <x:v>圈内</x:v>
      </x:c>
      <x:c r="D269" s="10" t="n">
        <x:v>1</x:v>
      </x:c>
      <x:c r="E269" s="10" t="n">
        <x:v>4</x:v>
      </x:c>
      <x:c r="F269" s="10" t="n">
        <x:v>3</x:v>
      </x:c>
      <x:c r="G269" s="10" t="n">
        <x:v>1</x:v>
      </x:c>
      <x:c r="H269" s="10" t="n">
        <x:f>IF(G269=1,E269-D269,"")</x:f>
        <x:v>3</x:v>
      </x:c>
      <x:c r="I269" s="10" t="n">
        <x:f>MIN(F269,9)</x:f>
        <x:v>3</x:v>
      </x:c>
      <x:c r="J269" s="19" t="n">
        <x:v>0.2</x:v>
      </x:c>
      <x:c r="K269" s="2" t="n">
        <x:v>4</x:v>
      </x:c>
      <x:c r="L269" s="19" t="n">
        <x:v>0.8</x:v>
      </x:c>
      <x:c r="M269" s="19" t="n">
        <x:v>0.75</x:v>
      </x:c>
    </x:row>
    <x:row r="270" ht="23" customHeight="1">
      <x:c r="A270" s="2" t="str">
        <x:v>D020_T04_C080_G075</x:v>
      </x:c>
      <x:c r="B270" s="2" t="str">
        <x:v>A0035</x:v>
      </x:c>
      <x:c r="C270" s="2" t="str">
        <x:v>圈内</x:v>
      </x:c>
      <x:c r="D270" s="10" t="n">
        <x:v>1</x:v>
      </x:c>
      <x:c r="E270" s="10" t="n">
        <x:v>4</x:v>
      </x:c>
      <x:c r="F270" s="10" t="n">
        <x:v>3</x:v>
      </x:c>
      <x:c r="G270" s="10" t="n">
        <x:v>1</x:v>
      </x:c>
      <x:c r="H270" s="10" t="n">
        <x:f>IF(G270=1,E270-D270,"")</x:f>
        <x:v>3</x:v>
      </x:c>
      <x:c r="I270" s="10" t="n">
        <x:f>MIN(F270,9)</x:f>
        <x:v>3</x:v>
      </x:c>
      <x:c r="J270" s="19" t="n">
        <x:v>0.2</x:v>
      </x:c>
      <x:c r="K270" s="2" t="n">
        <x:v>4</x:v>
      </x:c>
      <x:c r="L270" s="19" t="n">
        <x:v>0.8</x:v>
      </x:c>
      <x:c r="M270" s="19" t="n">
        <x:v>0.75</x:v>
      </x:c>
    </x:row>
    <x:row r="271" ht="23" customHeight="1">
      <x:c r="A271" s="2" t="str">
        <x:v>D020_T04_C080_G075</x:v>
      </x:c>
      <x:c r="B271" s="2" t="str">
        <x:v>A0036</x:v>
      </x:c>
      <x:c r="C271" s="2" t="str">
        <x:v>圈内</x:v>
      </x:c>
      <x:c r="D271" s="10" t="n">
        <x:v>1</x:v>
      </x:c>
      <x:c r="E271" s="10" t="n">
        <x:v>4</x:v>
      </x:c>
      <x:c r="F271" s="10" t="n">
        <x:v>3</x:v>
      </x:c>
      <x:c r="G271" s="10" t="n">
        <x:v>1</x:v>
      </x:c>
      <x:c r="H271" s="10" t="n">
        <x:f>IF(G271=1,E271-D271,"")</x:f>
        <x:v>3</x:v>
      </x:c>
      <x:c r="I271" s="10" t="n">
        <x:f>MIN(F271,9)</x:f>
        <x:v>3</x:v>
      </x:c>
      <x:c r="J271" s="19" t="n">
        <x:v>0.2</x:v>
      </x:c>
      <x:c r="K271" s="2" t="n">
        <x:v>4</x:v>
      </x:c>
      <x:c r="L271" s="19" t="n">
        <x:v>0.8</x:v>
      </x:c>
      <x:c r="M271" s="19" t="n">
        <x:v>0.75</x:v>
      </x:c>
    </x:row>
    <x:row r="272" ht="23" customHeight="1">
      <x:c r="A272" s="2" t="str">
        <x:v>D020_T04_C080_G075</x:v>
      </x:c>
      <x:c r="B272" s="2" t="str">
        <x:v>A0037</x:v>
      </x:c>
      <x:c r="C272" s="2" t="str">
        <x:v>圈内</x:v>
      </x:c>
      <x:c r="D272" s="10" t="n">
        <x:v>1</x:v>
      </x:c>
      <x:c r="E272" s="10" t="n">
        <x:v>4</x:v>
      </x:c>
      <x:c r="F272" s="10" t="n">
        <x:v>3</x:v>
      </x:c>
      <x:c r="G272" s="10" t="n">
        <x:v>1</x:v>
      </x:c>
      <x:c r="H272" s="10" t="n">
        <x:f>IF(G272=1,E272-D272,"")</x:f>
        <x:v>3</x:v>
      </x:c>
      <x:c r="I272" s="10" t="n">
        <x:f>MIN(F272,9)</x:f>
        <x:v>3</x:v>
      </x:c>
      <x:c r="J272" s="19" t="n">
        <x:v>0.2</x:v>
      </x:c>
      <x:c r="K272" s="2" t="n">
        <x:v>4</x:v>
      </x:c>
      <x:c r="L272" s="19" t="n">
        <x:v>0.8</x:v>
      </x:c>
      <x:c r="M272" s="19" t="n">
        <x:v>0.75</x:v>
      </x:c>
    </x:row>
    <x:row r="273" ht="23" customHeight="1">
      <x:c r="A273" s="2" t="str">
        <x:v>D020_T04_C080_G075</x:v>
      </x:c>
      <x:c r="B273" s="2" t="str">
        <x:v>A0040</x:v>
      </x:c>
      <x:c r="C273" s="2" t="str">
        <x:v>圈内</x:v>
      </x:c>
      <x:c r="D273" s="10" t="n">
        <x:v>1</x:v>
      </x:c>
      <x:c r="E273" s="10" t="n">
        <x:v>4</x:v>
      </x:c>
      <x:c r="F273" s="10" t="n">
        <x:v>3</x:v>
      </x:c>
      <x:c r="G273" s="10" t="n">
        <x:v>1</x:v>
      </x:c>
      <x:c r="H273" s="10" t="n">
        <x:f>IF(G273=1,E273-D273,"")</x:f>
        <x:v>3</x:v>
      </x:c>
      <x:c r="I273" s="10" t="n">
        <x:f>MIN(F273,9)</x:f>
        <x:v>3</x:v>
      </x:c>
      <x:c r="J273" s="19" t="n">
        <x:v>0.2</x:v>
      </x:c>
      <x:c r="K273" s="2" t="n">
        <x:v>4</x:v>
      </x:c>
      <x:c r="L273" s="19" t="n">
        <x:v>0.8</x:v>
      </x:c>
      <x:c r="M273" s="19" t="n">
        <x:v>0.75</x:v>
      </x:c>
    </x:row>
    <x:row r="274" ht="23" customHeight="1">
      <x:c r="A274" s="2" t="str">
        <x:v>D020_T04_C080_G075</x:v>
      </x:c>
      <x:c r="B274" s="2" t="str">
        <x:v>A0041</x:v>
      </x:c>
      <x:c r="C274" s="2" t="str">
        <x:v>圈内</x:v>
      </x:c>
      <x:c r="D274" s="10" t="n">
        <x:v>1</x:v>
      </x:c>
      <x:c r="E274" s="10" t="n">
        <x:v>4</x:v>
      </x:c>
      <x:c r="F274" s="10" t="n">
        <x:v>3</x:v>
      </x:c>
      <x:c r="G274" s="10" t="n">
        <x:v>1</x:v>
      </x:c>
      <x:c r="H274" s="10" t="n">
        <x:f>IF(G274=1,E274-D274,"")</x:f>
        <x:v>3</x:v>
      </x:c>
      <x:c r="I274" s="10" t="n">
        <x:f>MIN(F274,9)</x:f>
        <x:v>3</x:v>
      </x:c>
      <x:c r="J274" s="19" t="n">
        <x:v>0.2</x:v>
      </x:c>
      <x:c r="K274" s="2" t="n">
        <x:v>4</x:v>
      </x:c>
      <x:c r="L274" s="19" t="n">
        <x:v>0.8</x:v>
      </x:c>
      <x:c r="M274" s="19" t="n">
        <x:v>0.75</x:v>
      </x:c>
    </x:row>
    <x:row r="275" ht="23" customHeight="1">
      <x:c r="A275" s="2" t="str">
        <x:v>D020_T04_C080_G075</x:v>
      </x:c>
      <x:c r="B275" s="2" t="str">
        <x:v>A0206</x:v>
      </x:c>
      <x:c r="C275" s="2" t="str">
        <x:v>圈内</x:v>
      </x:c>
      <x:c r="D275" s="10" t="n">
        <x:v>1</x:v>
      </x:c>
      <x:c r="E275" s="10" t="n">
        <x:v>4</x:v>
      </x:c>
      <x:c r="F275" s="10" t="n">
        <x:v>3</x:v>
      </x:c>
      <x:c r="G275" s="10" t="n">
        <x:v>1</x:v>
      </x:c>
      <x:c r="H275" s="10" t="n">
        <x:f>IF(G275=1,E275-D275,"")</x:f>
        <x:v>3</x:v>
      </x:c>
      <x:c r="I275" s="10" t="n">
        <x:f>MIN(F275,9)</x:f>
        <x:v>3</x:v>
      </x:c>
      <x:c r="J275" s="19" t="n">
        <x:v>0.2</x:v>
      </x:c>
      <x:c r="K275" s="2" t="n">
        <x:v>4</x:v>
      </x:c>
      <x:c r="L275" s="19" t="n">
        <x:v>0.8</x:v>
      </x:c>
      <x:c r="M275" s="19" t="n">
        <x:v>0.75</x:v>
      </x:c>
    </x:row>
    <x:row r="276" ht="23" customHeight="1">
      <x:c r="A276" s="2" t="str">
        <x:v>D020_T07_C020_G025</x:v>
      </x:c>
      <x:c r="B276" s="2" t="str">
        <x:v>A0002</x:v>
      </x:c>
      <x:c r="C276" s="2" t="str">
        <x:v>圈内</x:v>
      </x:c>
      <x:c r="D276" s="10" t="n">
        <x:v>1</x:v>
      </x:c>
      <x:c r="E276" s="10"/>
      <x:c r="F276" s="10" t="n">
        <x:v>9</x:v>
      </x:c>
      <x:c r="G276" s="10" t="n">
        <x:v>0</x:v>
      </x:c>
      <x:c r="H276" s="10" t="str">
        <x:f>IF(G276=1,E276-D276,"")</x:f>
      </x:c>
      <x:c r="I276" s="10" t="n">
        <x:f>MIN(F276,9)</x:f>
        <x:v>9</x:v>
      </x:c>
      <x:c r="J276" s="19" t="n">
        <x:v>0.2</x:v>
      </x:c>
      <x:c r="K276" s="2" t="n">
        <x:v>7</x:v>
      </x:c>
      <x:c r="L276" s="19" t="n">
        <x:v>0.2</x:v>
      </x:c>
      <x:c r="M276" s="19" t="n">
        <x:v>0.25</x:v>
      </x:c>
    </x:row>
    <x:row r="277" ht="23" customHeight="1">
      <x:c r="A277" s="2" t="str">
        <x:v>D020_T07_C020_G025</x:v>
      </x:c>
      <x:c r="B277" s="2" t="str">
        <x:v>A0005</x:v>
      </x:c>
      <x:c r="C277" s="2" t="str">
        <x:v>圈内</x:v>
      </x:c>
      <x:c r="D277" s="10" t="n">
        <x:v>1</x:v>
      </x:c>
      <x:c r="E277" s="10"/>
      <x:c r="F277" s="10" t="n">
        <x:v>9</x:v>
      </x:c>
      <x:c r="G277" s="10" t="n">
        <x:v>0</x:v>
      </x:c>
      <x:c r="H277" s="10" t="str">
        <x:f>IF(G277=1,E277-D277,"")</x:f>
      </x:c>
      <x:c r="I277" s="10" t="n">
        <x:f>MIN(F277,9)</x:f>
        <x:v>9</x:v>
      </x:c>
      <x:c r="J277" s="19" t="n">
        <x:v>0.2</x:v>
      </x:c>
      <x:c r="K277" s="2" t="n">
        <x:v>7</x:v>
      </x:c>
      <x:c r="L277" s="19" t="n">
        <x:v>0.2</x:v>
      </x:c>
      <x:c r="M277" s="19" t="n">
        <x:v>0.25</x:v>
      </x:c>
    </x:row>
    <x:row r="278" ht="23" customHeight="1">
      <x:c r="A278" s="2" t="str">
        <x:v>D020_T07_C020_G025</x:v>
      </x:c>
      <x:c r="B278" s="2" t="str">
        <x:v>A0006</x:v>
      </x:c>
      <x:c r="C278" s="2" t="str">
        <x:v>圈内</x:v>
      </x:c>
      <x:c r="D278" s="10" t="n">
        <x:v>1</x:v>
      </x:c>
      <x:c r="E278" s="10"/>
      <x:c r="F278" s="10" t="n">
        <x:v>9</x:v>
      </x:c>
      <x:c r="G278" s="10" t="n">
        <x:v>0</x:v>
      </x:c>
      <x:c r="H278" s="10" t="str">
        <x:f>IF(G278=1,E278-D278,"")</x:f>
      </x:c>
      <x:c r="I278" s="10" t="n">
        <x:f>MIN(F278,9)</x:f>
        <x:v>9</x:v>
      </x:c>
      <x:c r="J278" s="19" t="n">
        <x:v>0.2</x:v>
      </x:c>
      <x:c r="K278" s="2" t="n">
        <x:v>7</x:v>
      </x:c>
      <x:c r="L278" s="19" t="n">
        <x:v>0.2</x:v>
      </x:c>
      <x:c r="M278" s="19" t="n">
        <x:v>0.25</x:v>
      </x:c>
    </x:row>
    <x:row r="279" ht="23" customHeight="1">
      <x:c r="A279" s="2" t="str">
        <x:v>D020_T07_C020_G025</x:v>
      </x:c>
      <x:c r="B279" s="2" t="str">
        <x:v>A0009</x:v>
      </x:c>
      <x:c r="C279" s="2" t="str">
        <x:v>圈内</x:v>
      </x:c>
      <x:c r="D279" s="10" t="n">
        <x:v>1</x:v>
      </x:c>
      <x:c r="E279" s="10"/>
      <x:c r="F279" s="10" t="n">
        <x:v>9</x:v>
      </x:c>
      <x:c r="G279" s="10" t="n">
        <x:v>0</x:v>
      </x:c>
      <x:c r="H279" s="10" t="str">
        <x:f>IF(G279=1,E279-D279,"")</x:f>
      </x:c>
      <x:c r="I279" s="10" t="n">
        <x:f>MIN(F279,9)</x:f>
        <x:v>9</x:v>
      </x:c>
      <x:c r="J279" s="19" t="n">
        <x:v>0.2</x:v>
      </x:c>
      <x:c r="K279" s="2" t="n">
        <x:v>7</x:v>
      </x:c>
      <x:c r="L279" s="19" t="n">
        <x:v>0.2</x:v>
      </x:c>
      <x:c r="M279" s="19" t="n">
        <x:v>0.25</x:v>
      </x:c>
    </x:row>
    <x:row r="280" ht="23" customHeight="1">
      <x:c r="A280" s="2" t="str">
        <x:v>D020_T07_C020_G025</x:v>
      </x:c>
      <x:c r="B280" s="2" t="str">
        <x:v>A0011</x:v>
      </x:c>
      <x:c r="C280" s="2" t="str">
        <x:v>圈内</x:v>
      </x:c>
      <x:c r="D280" s="10" t="n">
        <x:v>1</x:v>
      </x:c>
      <x:c r="E280" s="10"/>
      <x:c r="F280" s="10" t="n">
        <x:v>9</x:v>
      </x:c>
      <x:c r="G280" s="10" t="n">
        <x:v>0</x:v>
      </x:c>
      <x:c r="H280" s="10" t="str">
        <x:f>IF(G280=1,E280-D280,"")</x:f>
      </x:c>
      <x:c r="I280" s="10" t="n">
        <x:f>MIN(F280,9)</x:f>
        <x:v>9</x:v>
      </x:c>
      <x:c r="J280" s="19" t="n">
        <x:v>0.2</x:v>
      </x:c>
      <x:c r="K280" s="2" t="n">
        <x:v>7</x:v>
      </x:c>
      <x:c r="L280" s="19" t="n">
        <x:v>0.2</x:v>
      </x:c>
      <x:c r="M280" s="19" t="n">
        <x:v>0.25</x:v>
      </x:c>
    </x:row>
    <x:row r="281" ht="23" customHeight="1">
      <x:c r="A281" s="2" t="str">
        <x:v>D020_T07_C020_G025</x:v>
      </x:c>
      <x:c r="B281" s="2" t="str">
        <x:v>A0012</x:v>
      </x:c>
      <x:c r="C281" s="2" t="str">
        <x:v>圈内</x:v>
      </x:c>
      <x:c r="D281" s="10" t="n">
        <x:v>1</x:v>
      </x:c>
      <x:c r="E281" s="10"/>
      <x:c r="F281" s="10" t="n">
        <x:v>9</x:v>
      </x:c>
      <x:c r="G281" s="10" t="n">
        <x:v>0</x:v>
      </x:c>
      <x:c r="H281" s="10" t="str">
        <x:f>IF(G281=1,E281-D281,"")</x:f>
      </x:c>
      <x:c r="I281" s="10" t="n">
        <x:f>MIN(F281,9)</x:f>
        <x:v>9</x:v>
      </x:c>
      <x:c r="J281" s="19" t="n">
        <x:v>0.2</x:v>
      </x:c>
      <x:c r="K281" s="2" t="n">
        <x:v>7</x:v>
      </x:c>
      <x:c r="L281" s="19" t="n">
        <x:v>0.2</x:v>
      </x:c>
      <x:c r="M281" s="19" t="n">
        <x:v>0.25</x:v>
      </x:c>
    </x:row>
    <x:row r="282" ht="23" customHeight="1">
      <x:c r="A282" s="2" t="str">
        <x:v>D020_T07_C020_G025</x:v>
      </x:c>
      <x:c r="B282" s="2" t="str">
        <x:v>A0014</x:v>
      </x:c>
      <x:c r="C282" s="2" t="str">
        <x:v>圈内</x:v>
      </x:c>
      <x:c r="D282" s="10" t="n">
        <x:v>1</x:v>
      </x:c>
      <x:c r="E282" s="10" t="n">
        <x:v>7</x:v>
      </x:c>
      <x:c r="F282" s="10" t="n">
        <x:v>6</x:v>
      </x:c>
      <x:c r="G282" s="10" t="n">
        <x:v>1</x:v>
      </x:c>
      <x:c r="H282" s="10" t="n">
        <x:f>IF(G282=1,E282-D282,"")</x:f>
        <x:v>6</x:v>
      </x:c>
      <x:c r="I282" s="10" t="n">
        <x:f>MIN(F282,9)</x:f>
        <x:v>6</x:v>
      </x:c>
      <x:c r="J282" s="19" t="n">
        <x:v>0.2</x:v>
      </x:c>
      <x:c r="K282" s="2" t="n">
        <x:v>7</x:v>
      </x:c>
      <x:c r="L282" s="19" t="n">
        <x:v>0.2</x:v>
      </x:c>
      <x:c r="M282" s="19" t="n">
        <x:v>0.25</x:v>
      </x:c>
    </x:row>
    <x:row r="283" ht="23" customHeight="1">
      <x:c r="A283" s="2" t="str">
        <x:v>D020_T07_C020_G025</x:v>
      </x:c>
      <x:c r="B283" s="2" t="str">
        <x:v>A0017</x:v>
      </x:c>
      <x:c r="C283" s="2" t="str">
        <x:v>圈内</x:v>
      </x:c>
      <x:c r="D283" s="10" t="n">
        <x:v>1</x:v>
      </x:c>
      <x:c r="E283" s="10"/>
      <x:c r="F283" s="10" t="n">
        <x:v>9</x:v>
      </x:c>
      <x:c r="G283" s="10" t="n">
        <x:v>0</x:v>
      </x:c>
      <x:c r="H283" s="10" t="str">
        <x:f>IF(G283=1,E283-D283,"")</x:f>
      </x:c>
      <x:c r="I283" s="10" t="n">
        <x:f>MIN(F283,9)</x:f>
        <x:v>9</x:v>
      </x:c>
      <x:c r="J283" s="19" t="n">
        <x:v>0.2</x:v>
      </x:c>
      <x:c r="K283" s="2" t="n">
        <x:v>7</x:v>
      </x:c>
      <x:c r="L283" s="19" t="n">
        <x:v>0.2</x:v>
      </x:c>
      <x:c r="M283" s="19" t="n">
        <x:v>0.25</x:v>
      </x:c>
    </x:row>
    <x:row r="284" ht="23" customHeight="1">
      <x:c r="A284" s="2" t="str">
        <x:v>D020_T07_C020_G025</x:v>
      </x:c>
      <x:c r="B284" s="2" t="str">
        <x:v>A0018</x:v>
      </x:c>
      <x:c r="C284" s="2" t="str">
        <x:v>圈内</x:v>
      </x:c>
      <x:c r="D284" s="10" t="n">
        <x:v>1</x:v>
      </x:c>
      <x:c r="E284" s="10"/>
      <x:c r="F284" s="10" t="n">
        <x:v>9</x:v>
      </x:c>
      <x:c r="G284" s="10" t="n">
        <x:v>0</x:v>
      </x:c>
      <x:c r="H284" s="10" t="str">
        <x:f>IF(G284=1,E284-D284,"")</x:f>
      </x:c>
      <x:c r="I284" s="10" t="n">
        <x:f>MIN(F284,9)</x:f>
        <x:v>9</x:v>
      </x:c>
      <x:c r="J284" s="19" t="n">
        <x:v>0.2</x:v>
      </x:c>
      <x:c r="K284" s="2" t="n">
        <x:v>7</x:v>
      </x:c>
      <x:c r="L284" s="19" t="n">
        <x:v>0.2</x:v>
      </x:c>
      <x:c r="M284" s="19" t="n">
        <x:v>0.25</x:v>
      </x:c>
    </x:row>
    <x:row r="285" ht="23" customHeight="1">
      <x:c r="A285" s="2" t="str">
        <x:v>D020_T07_C020_G025</x:v>
      </x:c>
      <x:c r="B285" s="2" t="str">
        <x:v>A0019</x:v>
      </x:c>
      <x:c r="C285" s="2" t="str">
        <x:v>圈内</x:v>
      </x:c>
      <x:c r="D285" s="10" t="n">
        <x:v>1</x:v>
      </x:c>
      <x:c r="E285" s="10"/>
      <x:c r="F285" s="10" t="n">
        <x:v>9</x:v>
      </x:c>
      <x:c r="G285" s="10" t="n">
        <x:v>0</x:v>
      </x:c>
      <x:c r="H285" s="10" t="str">
        <x:f>IF(G285=1,E285-D285,"")</x:f>
      </x:c>
      <x:c r="I285" s="10" t="n">
        <x:f>MIN(F285,9)</x:f>
        <x:v>9</x:v>
      </x:c>
      <x:c r="J285" s="19" t="n">
        <x:v>0.2</x:v>
      </x:c>
      <x:c r="K285" s="2" t="n">
        <x:v>7</x:v>
      </x:c>
      <x:c r="L285" s="19" t="n">
        <x:v>0.2</x:v>
      </x:c>
      <x:c r="M285" s="19" t="n">
        <x:v>0.25</x:v>
      </x:c>
    </x:row>
    <x:row r="286" ht="23" customHeight="1">
      <x:c r="A286" s="2" t="str">
        <x:v>D020_T07_C020_G025</x:v>
      </x:c>
      <x:c r="B286" s="2" t="str">
        <x:v>A0024</x:v>
      </x:c>
      <x:c r="C286" s="2" t="str">
        <x:v>圈内</x:v>
      </x:c>
      <x:c r="D286" s="10" t="n">
        <x:v>1</x:v>
      </x:c>
      <x:c r="E286" s="10"/>
      <x:c r="F286" s="10" t="n">
        <x:v>9</x:v>
      </x:c>
      <x:c r="G286" s="10" t="n">
        <x:v>0</x:v>
      </x:c>
      <x:c r="H286" s="10" t="str">
        <x:f>IF(G286=1,E286-D286,"")</x:f>
      </x:c>
      <x:c r="I286" s="10" t="n">
        <x:f>MIN(F286,9)</x:f>
        <x:v>9</x:v>
      </x:c>
      <x:c r="J286" s="19" t="n">
        <x:v>0.2</x:v>
      </x:c>
      <x:c r="K286" s="2" t="n">
        <x:v>7</x:v>
      </x:c>
      <x:c r="L286" s="19" t="n">
        <x:v>0.2</x:v>
      </x:c>
      <x:c r="M286" s="19" t="n">
        <x:v>0.25</x:v>
      </x:c>
    </x:row>
    <x:row r="287" ht="23" customHeight="1">
      <x:c r="A287" s="2" t="str">
        <x:v>D020_T07_C020_G025</x:v>
      </x:c>
      <x:c r="B287" s="2" t="str">
        <x:v>A0025</x:v>
      </x:c>
      <x:c r="C287" s="2" t="str">
        <x:v>圈内</x:v>
      </x:c>
      <x:c r="D287" s="10" t="n">
        <x:v>1</x:v>
      </x:c>
      <x:c r="E287" s="10"/>
      <x:c r="F287" s="10" t="n">
        <x:v>9</x:v>
      </x:c>
      <x:c r="G287" s="10" t="n">
        <x:v>0</x:v>
      </x:c>
      <x:c r="H287" s="10" t="str">
        <x:f>IF(G287=1,E287-D287,"")</x:f>
      </x:c>
      <x:c r="I287" s="10" t="n">
        <x:f>MIN(F287,9)</x:f>
        <x:v>9</x:v>
      </x:c>
      <x:c r="J287" s="19" t="n">
        <x:v>0.2</x:v>
      </x:c>
      <x:c r="K287" s="2" t="n">
        <x:v>7</x:v>
      </x:c>
      <x:c r="L287" s="19" t="n">
        <x:v>0.2</x:v>
      </x:c>
      <x:c r="M287" s="19" t="n">
        <x:v>0.25</x:v>
      </x:c>
    </x:row>
    <x:row r="288" ht="23" customHeight="1">
      <x:c r="A288" s="2" t="str">
        <x:v>D020_T07_C020_G025</x:v>
      </x:c>
      <x:c r="B288" s="2" t="str">
        <x:v>A0032</x:v>
      </x:c>
      <x:c r="C288" s="2" t="str">
        <x:v>圈内</x:v>
      </x:c>
      <x:c r="D288" s="10" t="n">
        <x:v>1</x:v>
      </x:c>
      <x:c r="E288" s="10"/>
      <x:c r="F288" s="10" t="n">
        <x:v>9</x:v>
      </x:c>
      <x:c r="G288" s="10" t="n">
        <x:v>0</x:v>
      </x:c>
      <x:c r="H288" s="10" t="str">
        <x:f>IF(G288=1,E288-D288,"")</x:f>
      </x:c>
      <x:c r="I288" s="10" t="n">
        <x:f>MIN(F288,9)</x:f>
        <x:v>9</x:v>
      </x:c>
      <x:c r="J288" s="19" t="n">
        <x:v>0.2</x:v>
      </x:c>
      <x:c r="K288" s="2" t="n">
        <x:v>7</x:v>
      </x:c>
      <x:c r="L288" s="19" t="n">
        <x:v>0.2</x:v>
      </x:c>
      <x:c r="M288" s="19" t="n">
        <x:v>0.25</x:v>
      </x:c>
    </x:row>
    <x:row r="289" ht="23" customHeight="1">
      <x:c r="A289" s="2" t="str">
        <x:v>D020_T07_C020_G025</x:v>
      </x:c>
      <x:c r="B289" s="2" t="str">
        <x:v>A0033</x:v>
      </x:c>
      <x:c r="C289" s="2" t="str">
        <x:v>圈内</x:v>
      </x:c>
      <x:c r="D289" s="10" t="n">
        <x:v>1</x:v>
      </x:c>
      <x:c r="E289" s="10"/>
      <x:c r="F289" s="10" t="n">
        <x:v>9</x:v>
      </x:c>
      <x:c r="G289" s="10" t="n">
        <x:v>0</x:v>
      </x:c>
      <x:c r="H289" s="10" t="str">
        <x:f>IF(G289=1,E289-D289,"")</x:f>
      </x:c>
      <x:c r="I289" s="10" t="n">
        <x:f>MIN(F289,9)</x:f>
        <x:v>9</x:v>
      </x:c>
      <x:c r="J289" s="19" t="n">
        <x:v>0.2</x:v>
      </x:c>
      <x:c r="K289" s="2" t="n">
        <x:v>7</x:v>
      </x:c>
      <x:c r="L289" s="19" t="n">
        <x:v>0.2</x:v>
      </x:c>
      <x:c r="M289" s="19" t="n">
        <x:v>0.25</x:v>
      </x:c>
    </x:row>
    <x:row r="290" ht="23" customHeight="1">
      <x:c r="A290" s="2" t="str">
        <x:v>D020_T07_C020_G025</x:v>
      </x:c>
      <x:c r="B290" s="2" t="str">
        <x:v>A0035</x:v>
      </x:c>
      <x:c r="C290" s="2" t="str">
        <x:v>圈内</x:v>
      </x:c>
      <x:c r="D290" s="10" t="n">
        <x:v>1</x:v>
      </x:c>
      <x:c r="E290" s="10"/>
      <x:c r="F290" s="10" t="n">
        <x:v>9</x:v>
      </x:c>
      <x:c r="G290" s="10" t="n">
        <x:v>0</x:v>
      </x:c>
      <x:c r="H290" s="10" t="str">
        <x:f>IF(G290=1,E290-D290,"")</x:f>
      </x:c>
      <x:c r="I290" s="10" t="n">
        <x:f>MIN(F290,9)</x:f>
        <x:v>9</x:v>
      </x:c>
      <x:c r="J290" s="19" t="n">
        <x:v>0.2</x:v>
      </x:c>
      <x:c r="K290" s="2" t="n">
        <x:v>7</x:v>
      </x:c>
      <x:c r="L290" s="19" t="n">
        <x:v>0.2</x:v>
      </x:c>
      <x:c r="M290" s="19" t="n">
        <x:v>0.25</x:v>
      </x:c>
    </x:row>
    <x:row r="291" ht="23" customHeight="1">
      <x:c r="A291" s="2" t="str">
        <x:v>D020_T07_C020_G025</x:v>
      </x:c>
      <x:c r="B291" s="2" t="str">
        <x:v>A0036</x:v>
      </x:c>
      <x:c r="C291" s="2" t="str">
        <x:v>圈内</x:v>
      </x:c>
      <x:c r="D291" s="10" t="n">
        <x:v>1</x:v>
      </x:c>
      <x:c r="E291" s="10"/>
      <x:c r="F291" s="10" t="n">
        <x:v>9</x:v>
      </x:c>
      <x:c r="G291" s="10" t="n">
        <x:v>0</x:v>
      </x:c>
      <x:c r="H291" s="10" t="str">
        <x:f>IF(G291=1,E291-D291,"")</x:f>
      </x:c>
      <x:c r="I291" s="10" t="n">
        <x:f>MIN(F291,9)</x:f>
        <x:v>9</x:v>
      </x:c>
      <x:c r="J291" s="19" t="n">
        <x:v>0.2</x:v>
      </x:c>
      <x:c r="K291" s="2" t="n">
        <x:v>7</x:v>
      </x:c>
      <x:c r="L291" s="19" t="n">
        <x:v>0.2</x:v>
      </x:c>
      <x:c r="M291" s="19" t="n">
        <x:v>0.25</x:v>
      </x:c>
    </x:row>
    <x:row r="292" ht="23" customHeight="1">
      <x:c r="A292" s="2" t="str">
        <x:v>D020_T07_C020_G025</x:v>
      </x:c>
      <x:c r="B292" s="2" t="str">
        <x:v>A0037</x:v>
      </x:c>
      <x:c r="C292" s="2" t="str">
        <x:v>圈内</x:v>
      </x:c>
      <x:c r="D292" s="10" t="n">
        <x:v>1</x:v>
      </x:c>
      <x:c r="E292" s="10"/>
      <x:c r="F292" s="10" t="n">
        <x:v>9</x:v>
      </x:c>
      <x:c r="G292" s="10" t="n">
        <x:v>0</x:v>
      </x:c>
      <x:c r="H292" s="10" t="str">
        <x:f>IF(G292=1,E292-D292,"")</x:f>
      </x:c>
      <x:c r="I292" s="10" t="n">
        <x:f>MIN(F292,9)</x:f>
        <x:v>9</x:v>
      </x:c>
      <x:c r="J292" s="19" t="n">
        <x:v>0.2</x:v>
      </x:c>
      <x:c r="K292" s="2" t="n">
        <x:v>7</x:v>
      </x:c>
      <x:c r="L292" s="19" t="n">
        <x:v>0.2</x:v>
      </x:c>
      <x:c r="M292" s="19" t="n">
        <x:v>0.25</x:v>
      </x:c>
    </x:row>
    <x:row r="293" ht="23" customHeight="1">
      <x:c r="A293" s="2" t="str">
        <x:v>D020_T07_C020_G025</x:v>
      </x:c>
      <x:c r="B293" s="2" t="str">
        <x:v>A0040</x:v>
      </x:c>
      <x:c r="C293" s="2" t="str">
        <x:v>圈内</x:v>
      </x:c>
      <x:c r="D293" s="10" t="n">
        <x:v>1</x:v>
      </x:c>
      <x:c r="E293" s="10"/>
      <x:c r="F293" s="10" t="n">
        <x:v>9</x:v>
      </x:c>
      <x:c r="G293" s="10" t="n">
        <x:v>0</x:v>
      </x:c>
      <x:c r="H293" s="10" t="str">
        <x:f>IF(G293=1,E293-D293,"")</x:f>
      </x:c>
      <x:c r="I293" s="10" t="n">
        <x:f>MIN(F293,9)</x:f>
        <x:v>9</x:v>
      </x:c>
      <x:c r="J293" s="19" t="n">
        <x:v>0.2</x:v>
      </x:c>
      <x:c r="K293" s="2" t="n">
        <x:v>7</x:v>
      </x:c>
      <x:c r="L293" s="19" t="n">
        <x:v>0.2</x:v>
      </x:c>
      <x:c r="M293" s="19" t="n">
        <x:v>0.25</x:v>
      </x:c>
    </x:row>
    <x:row r="294" ht="23" customHeight="1">
      <x:c r="A294" s="2" t="str">
        <x:v>D020_T07_C020_G025</x:v>
      </x:c>
      <x:c r="B294" s="2" t="str">
        <x:v>A0090</x:v>
      </x:c>
      <x:c r="C294" s="2" t="str">
        <x:v>圈内</x:v>
      </x:c>
      <x:c r="D294" s="10" t="n">
        <x:v>1</x:v>
      </x:c>
      <x:c r="E294" s="10"/>
      <x:c r="F294" s="10" t="n">
        <x:v>9</x:v>
      </x:c>
      <x:c r="G294" s="10" t="n">
        <x:v>0</x:v>
      </x:c>
      <x:c r="H294" s="10" t="str">
        <x:f>IF(G294=1,E294-D294,"")</x:f>
      </x:c>
      <x:c r="I294" s="10" t="n">
        <x:f>MIN(F294,9)</x:f>
        <x:v>9</x:v>
      </x:c>
      <x:c r="J294" s="19" t="n">
        <x:v>0.2</x:v>
      </x:c>
      <x:c r="K294" s="2" t="n">
        <x:v>7</x:v>
      </x:c>
      <x:c r="L294" s="19" t="n">
        <x:v>0.2</x:v>
      </x:c>
      <x:c r="M294" s="19" t="n">
        <x:v>0.25</x:v>
      </x:c>
    </x:row>
    <x:row r="295" ht="23" customHeight="1">
      <x:c r="A295" s="2" t="str">
        <x:v>D020_T07_C020_G025</x:v>
      </x:c>
      <x:c r="B295" s="2" t="str">
        <x:v>A0206</x:v>
      </x:c>
      <x:c r="C295" s="2" t="str">
        <x:v>圈内</x:v>
      </x:c>
      <x:c r="D295" s="10" t="n">
        <x:v>1</x:v>
      </x:c>
      <x:c r="E295" s="10" t="n">
        <x:v>7</x:v>
      </x:c>
      <x:c r="F295" s="10" t="n">
        <x:v>6</x:v>
      </x:c>
      <x:c r="G295" s="10" t="n">
        <x:v>1</x:v>
      </x:c>
      <x:c r="H295" s="10" t="n">
        <x:f>IF(G295=1,E295-D295,"")</x:f>
        <x:v>6</x:v>
      </x:c>
      <x:c r="I295" s="10" t="n">
        <x:f>MIN(F295,9)</x:f>
        <x:v>6</x:v>
      </x:c>
      <x:c r="J295" s="19" t="n">
        <x:v>0.2</x:v>
      </x:c>
      <x:c r="K295" s="2" t="n">
        <x:v>7</x:v>
      </x:c>
      <x:c r="L295" s="19" t="n">
        <x:v>0.2</x:v>
      </x:c>
      <x:c r="M295" s="19" t="n">
        <x:v>0.25</x:v>
      </x:c>
    </x:row>
    <x:row r="296" ht="23" customHeight="1">
      <x:c r="A296" s="2" t="str">
        <x:v>D020_T07_C020_G050</x:v>
      </x:c>
      <x:c r="B296" s="2" t="str">
        <x:v>A0005</x:v>
      </x:c>
      <x:c r="C296" s="2" t="str">
        <x:v>圈内</x:v>
      </x:c>
      <x:c r="D296" s="10" t="n">
        <x:v>1</x:v>
      </x:c>
      <x:c r="E296" s="10"/>
      <x:c r="F296" s="10" t="n">
        <x:v>9</x:v>
      </x:c>
      <x:c r="G296" s="10" t="n">
        <x:v>0</x:v>
      </x:c>
      <x:c r="H296" s="10" t="str">
        <x:f>IF(G296=1,E296-D296,"")</x:f>
      </x:c>
      <x:c r="I296" s="10" t="n">
        <x:f>MIN(F296,9)</x:f>
        <x:v>9</x:v>
      </x:c>
      <x:c r="J296" s="19" t="n">
        <x:v>0.2</x:v>
      </x:c>
      <x:c r="K296" s="2" t="n">
        <x:v>7</x:v>
      </x:c>
      <x:c r="L296" s="19" t="n">
        <x:v>0.2</x:v>
      </x:c>
      <x:c r="M296" s="19" t="n">
        <x:v>0.5</x:v>
      </x:c>
    </x:row>
    <x:row r="297" ht="23" customHeight="1">
      <x:c r="A297" s="2" t="str">
        <x:v>D020_T07_C020_G050</x:v>
      </x:c>
      <x:c r="B297" s="2" t="str">
        <x:v>A0008</x:v>
      </x:c>
      <x:c r="C297" s="2" t="str">
        <x:v>圈内</x:v>
      </x:c>
      <x:c r="D297" s="10" t="n">
        <x:v>1</x:v>
      </x:c>
      <x:c r="E297" s="10" t="n">
        <x:v>10</x:v>
      </x:c>
      <x:c r="F297" s="10" t="n">
        <x:v>9</x:v>
      </x:c>
      <x:c r="G297" s="10" t="n">
        <x:v>1</x:v>
      </x:c>
      <x:c r="H297" s="10" t="n">
        <x:f>IF(G297=1,E297-D297,"")</x:f>
        <x:v>9</x:v>
      </x:c>
      <x:c r="I297" s="10" t="n">
        <x:f>MIN(F297,9)</x:f>
        <x:v>9</x:v>
      </x:c>
      <x:c r="J297" s="19" t="n">
        <x:v>0.2</x:v>
      </x:c>
      <x:c r="K297" s="2" t="n">
        <x:v>7</x:v>
      </x:c>
      <x:c r="L297" s="19" t="n">
        <x:v>0.2</x:v>
      </x:c>
      <x:c r="M297" s="19" t="n">
        <x:v>0.5</x:v>
      </x:c>
    </x:row>
    <x:row r="298" ht="23" customHeight="1">
      <x:c r="A298" s="2" t="str">
        <x:v>D020_T07_C020_G050</x:v>
      </x:c>
      <x:c r="B298" s="2" t="str">
        <x:v>A0011</x:v>
      </x:c>
      <x:c r="C298" s="2" t="str">
        <x:v>圈内</x:v>
      </x:c>
      <x:c r="D298" s="10" t="n">
        <x:v>1</x:v>
      </x:c>
      <x:c r="E298" s="10" t="n">
        <x:v>8</x:v>
      </x:c>
      <x:c r="F298" s="10" t="n">
        <x:v>7</x:v>
      </x:c>
      <x:c r="G298" s="10" t="n">
        <x:v>1</x:v>
      </x:c>
      <x:c r="H298" s="10" t="n">
        <x:f>IF(G298=1,E298-D298,"")</x:f>
        <x:v>7</x:v>
      </x:c>
      <x:c r="I298" s="10" t="n">
        <x:f>MIN(F298,9)</x:f>
        <x:v>7</x:v>
      </x:c>
      <x:c r="J298" s="19" t="n">
        <x:v>0.2</x:v>
      </x:c>
      <x:c r="K298" s="2" t="n">
        <x:v>7</x:v>
      </x:c>
      <x:c r="L298" s="19" t="n">
        <x:v>0.2</x:v>
      </x:c>
      <x:c r="M298" s="19" t="n">
        <x:v>0.5</x:v>
      </x:c>
    </x:row>
    <x:row r="299" ht="23" customHeight="1">
      <x:c r="A299" s="2" t="str">
        <x:v>D020_T07_C020_G050</x:v>
      </x:c>
      <x:c r="B299" s="2" t="str">
        <x:v>A0012</x:v>
      </x:c>
      <x:c r="C299" s="2" t="str">
        <x:v>圈内</x:v>
      </x:c>
      <x:c r="D299" s="10" t="n">
        <x:v>1</x:v>
      </x:c>
      <x:c r="E299" s="10" t="n">
        <x:v>10</x:v>
      </x:c>
      <x:c r="F299" s="10" t="n">
        <x:v>9</x:v>
      </x:c>
      <x:c r="G299" s="10" t="n">
        <x:v>1</x:v>
      </x:c>
      <x:c r="H299" s="10" t="n">
        <x:f>IF(G299=1,E299-D299,"")</x:f>
        <x:v>9</x:v>
      </x:c>
      <x:c r="I299" s="10" t="n">
        <x:f>MIN(F299,9)</x:f>
        <x:v>9</x:v>
      </x:c>
      <x:c r="J299" s="19" t="n">
        <x:v>0.2</x:v>
      </x:c>
      <x:c r="K299" s="2" t="n">
        <x:v>7</x:v>
      </x:c>
      <x:c r="L299" s="19" t="n">
        <x:v>0.2</x:v>
      </x:c>
      <x:c r="M299" s="19" t="n">
        <x:v>0.5</x:v>
      </x:c>
    </x:row>
    <x:row r="300" ht="23" customHeight="1">
      <x:c r="A300" s="2" t="str">
        <x:v>D020_T07_C020_G050</x:v>
      </x:c>
      <x:c r="B300" s="2" t="str">
        <x:v>A0017</x:v>
      </x:c>
      <x:c r="C300" s="2" t="str">
        <x:v>圈内</x:v>
      </x:c>
      <x:c r="D300" s="10" t="n">
        <x:v>1</x:v>
      </x:c>
      <x:c r="E300" s="10"/>
      <x:c r="F300" s="10" t="n">
        <x:v>9</x:v>
      </x:c>
      <x:c r="G300" s="10" t="n">
        <x:v>0</x:v>
      </x:c>
      <x:c r="H300" s="10" t="str">
        <x:f>IF(G300=1,E300-D300,"")</x:f>
      </x:c>
      <x:c r="I300" s="10" t="n">
        <x:f>MIN(F300,9)</x:f>
        <x:v>9</x:v>
      </x:c>
      <x:c r="J300" s="19" t="n">
        <x:v>0.2</x:v>
      </x:c>
      <x:c r="K300" s="2" t="n">
        <x:v>7</x:v>
      </x:c>
      <x:c r="L300" s="19" t="n">
        <x:v>0.2</x:v>
      </x:c>
      <x:c r="M300" s="19" t="n">
        <x:v>0.5</x:v>
      </x:c>
    </x:row>
    <x:row r="301" ht="23" customHeight="1">
      <x:c r="A301" s="2" t="str">
        <x:v>D020_T07_C020_G050</x:v>
      </x:c>
      <x:c r="B301" s="2" t="str">
        <x:v>A0018</x:v>
      </x:c>
      <x:c r="C301" s="2" t="str">
        <x:v>圈内</x:v>
      </x:c>
      <x:c r="D301" s="10" t="n">
        <x:v>1</x:v>
      </x:c>
      <x:c r="E301" s="10"/>
      <x:c r="F301" s="10" t="n">
        <x:v>9</x:v>
      </x:c>
      <x:c r="G301" s="10" t="n">
        <x:v>0</x:v>
      </x:c>
      <x:c r="H301" s="10" t="str">
        <x:f>IF(G301=1,E301-D301,"")</x:f>
      </x:c>
      <x:c r="I301" s="10" t="n">
        <x:f>MIN(F301,9)</x:f>
        <x:v>9</x:v>
      </x:c>
      <x:c r="J301" s="19" t="n">
        <x:v>0.2</x:v>
      </x:c>
      <x:c r="K301" s="2" t="n">
        <x:v>7</x:v>
      </x:c>
      <x:c r="L301" s="19" t="n">
        <x:v>0.2</x:v>
      </x:c>
      <x:c r="M301" s="19" t="n">
        <x:v>0.5</x:v>
      </x:c>
    </x:row>
    <x:row r="302" ht="23" customHeight="1">
      <x:c r="A302" s="2" t="str">
        <x:v>D020_T07_C020_G050</x:v>
      </x:c>
      <x:c r="B302" s="2" t="str">
        <x:v>A0020</x:v>
      </x:c>
      <x:c r="C302" s="2" t="str">
        <x:v>圈内</x:v>
      </x:c>
      <x:c r="D302" s="10" t="n">
        <x:v>1</x:v>
      </x:c>
      <x:c r="E302" s="10" t="n">
        <x:v>7</x:v>
      </x:c>
      <x:c r="F302" s="10" t="n">
        <x:v>6</x:v>
      </x:c>
      <x:c r="G302" s="10" t="n">
        <x:v>1</x:v>
      </x:c>
      <x:c r="H302" s="10" t="n">
        <x:f>IF(G302=1,E302-D302,"")</x:f>
        <x:v>6</x:v>
      </x:c>
      <x:c r="I302" s="10" t="n">
        <x:f>MIN(F302,9)</x:f>
        <x:v>6</x:v>
      </x:c>
      <x:c r="J302" s="19" t="n">
        <x:v>0.2</x:v>
      </x:c>
      <x:c r="K302" s="2" t="n">
        <x:v>7</x:v>
      </x:c>
      <x:c r="L302" s="19" t="n">
        <x:v>0.2</x:v>
      </x:c>
      <x:c r="M302" s="19" t="n">
        <x:v>0.5</x:v>
      </x:c>
    </x:row>
    <x:row r="303" ht="23" customHeight="1">
      <x:c r="A303" s="2" t="str">
        <x:v>D020_T07_C020_G050</x:v>
      </x:c>
      <x:c r="B303" s="2" t="str">
        <x:v>A0025</x:v>
      </x:c>
      <x:c r="C303" s="2" t="str">
        <x:v>圈内</x:v>
      </x:c>
      <x:c r="D303" s="10" t="n">
        <x:v>1</x:v>
      </x:c>
      <x:c r="E303" s="10" t="n">
        <x:v>8</x:v>
      </x:c>
      <x:c r="F303" s="10" t="n">
        <x:v>7</x:v>
      </x:c>
      <x:c r="G303" s="10" t="n">
        <x:v>1</x:v>
      </x:c>
      <x:c r="H303" s="10" t="n">
        <x:f>IF(G303=1,E303-D303,"")</x:f>
        <x:v>7</x:v>
      </x:c>
      <x:c r="I303" s="10" t="n">
        <x:f>MIN(F303,9)</x:f>
        <x:v>7</x:v>
      </x:c>
      <x:c r="J303" s="19" t="n">
        <x:v>0.2</x:v>
      </x:c>
      <x:c r="K303" s="2" t="n">
        <x:v>7</x:v>
      </x:c>
      <x:c r="L303" s="19" t="n">
        <x:v>0.2</x:v>
      </x:c>
      <x:c r="M303" s="19" t="n">
        <x:v>0.5</x:v>
      </x:c>
    </x:row>
    <x:row r="304" ht="23" customHeight="1">
      <x:c r="A304" s="2" t="str">
        <x:v>D020_T07_C020_G050</x:v>
      </x:c>
      <x:c r="B304" s="2" t="str">
        <x:v>A0027</x:v>
      </x:c>
      <x:c r="C304" s="2" t="str">
        <x:v>圈内</x:v>
      </x:c>
      <x:c r="D304" s="10" t="n">
        <x:v>1</x:v>
      </x:c>
      <x:c r="E304" s="10" t="n">
        <x:v>8</x:v>
      </x:c>
      <x:c r="F304" s="10" t="n">
        <x:v>7</x:v>
      </x:c>
      <x:c r="G304" s="10" t="n">
        <x:v>1</x:v>
      </x:c>
      <x:c r="H304" s="10" t="n">
        <x:f>IF(G304=1,E304-D304,"")</x:f>
        <x:v>7</x:v>
      </x:c>
      <x:c r="I304" s="10" t="n">
        <x:f>MIN(F304,9)</x:f>
        <x:v>7</x:v>
      </x:c>
      <x:c r="J304" s="19" t="n">
        <x:v>0.2</x:v>
      </x:c>
      <x:c r="K304" s="2" t="n">
        <x:v>7</x:v>
      </x:c>
      <x:c r="L304" s="19" t="n">
        <x:v>0.2</x:v>
      </x:c>
      <x:c r="M304" s="19" t="n">
        <x:v>0.5</x:v>
      </x:c>
    </x:row>
    <x:row r="305" ht="23" customHeight="1">
      <x:c r="A305" s="2" t="str">
        <x:v>D020_T07_C020_G050</x:v>
      </x:c>
      <x:c r="B305" s="2" t="str">
        <x:v>A0032</x:v>
      </x:c>
      <x:c r="C305" s="2" t="str">
        <x:v>圈内</x:v>
      </x:c>
      <x:c r="D305" s="10" t="n">
        <x:v>1</x:v>
      </x:c>
      <x:c r="E305" s="10" t="n">
        <x:v>8</x:v>
      </x:c>
      <x:c r="F305" s="10" t="n">
        <x:v>7</x:v>
      </x:c>
      <x:c r="G305" s="10" t="n">
        <x:v>1</x:v>
      </x:c>
      <x:c r="H305" s="10" t="n">
        <x:f>IF(G305=1,E305-D305,"")</x:f>
        <x:v>7</x:v>
      </x:c>
      <x:c r="I305" s="10" t="n">
        <x:f>MIN(F305,9)</x:f>
        <x:v>7</x:v>
      </x:c>
      <x:c r="J305" s="19" t="n">
        <x:v>0.2</x:v>
      </x:c>
      <x:c r="K305" s="2" t="n">
        <x:v>7</x:v>
      </x:c>
      <x:c r="L305" s="19" t="n">
        <x:v>0.2</x:v>
      </x:c>
      <x:c r="M305" s="19" t="n">
        <x:v>0.5</x:v>
      </x:c>
    </x:row>
    <x:row r="306" ht="23" customHeight="1">
      <x:c r="A306" s="2" t="str">
        <x:v>D020_T07_C020_G050</x:v>
      </x:c>
      <x:c r="B306" s="2" t="str">
        <x:v>A0033</x:v>
      </x:c>
      <x:c r="C306" s="2" t="str">
        <x:v>圈内</x:v>
      </x:c>
      <x:c r="D306" s="10" t="n">
        <x:v>1</x:v>
      </x:c>
      <x:c r="E306" s="10" t="n">
        <x:v>10</x:v>
      </x:c>
      <x:c r="F306" s="10" t="n">
        <x:v>9</x:v>
      </x:c>
      <x:c r="G306" s="10" t="n">
        <x:v>1</x:v>
      </x:c>
      <x:c r="H306" s="10" t="n">
        <x:f>IF(G306=1,E306-D306,"")</x:f>
        <x:v>9</x:v>
      </x:c>
      <x:c r="I306" s="10" t="n">
        <x:f>MIN(F306,9)</x:f>
        <x:v>9</x:v>
      </x:c>
      <x:c r="J306" s="19" t="n">
        <x:v>0.2</x:v>
      </x:c>
      <x:c r="K306" s="2" t="n">
        <x:v>7</x:v>
      </x:c>
      <x:c r="L306" s="19" t="n">
        <x:v>0.2</x:v>
      </x:c>
      <x:c r="M306" s="19" t="n">
        <x:v>0.5</x:v>
      </x:c>
    </x:row>
    <x:row r="307" ht="23" customHeight="1">
      <x:c r="A307" s="2" t="str">
        <x:v>D020_T07_C020_G050</x:v>
      </x:c>
      <x:c r="B307" s="2" t="str">
        <x:v>A0036</x:v>
      </x:c>
      <x:c r="C307" s="2" t="str">
        <x:v>圈内</x:v>
      </x:c>
      <x:c r="D307" s="10" t="n">
        <x:v>1</x:v>
      </x:c>
      <x:c r="E307" s="10" t="n">
        <x:v>9</x:v>
      </x:c>
      <x:c r="F307" s="10" t="n">
        <x:v>8</x:v>
      </x:c>
      <x:c r="G307" s="10" t="n">
        <x:v>1</x:v>
      </x:c>
      <x:c r="H307" s="10" t="n">
        <x:f>IF(G307=1,E307-D307,"")</x:f>
        <x:v>8</x:v>
      </x:c>
      <x:c r="I307" s="10" t="n">
        <x:f>MIN(F307,9)</x:f>
        <x:v>8</x:v>
      </x:c>
      <x:c r="J307" s="19" t="n">
        <x:v>0.2</x:v>
      </x:c>
      <x:c r="K307" s="2" t="n">
        <x:v>7</x:v>
      </x:c>
      <x:c r="L307" s="19" t="n">
        <x:v>0.2</x:v>
      </x:c>
      <x:c r="M307" s="19" t="n">
        <x:v>0.5</x:v>
      </x:c>
    </x:row>
    <x:row r="308" ht="23" customHeight="1">
      <x:c r="A308" s="2" t="str">
        <x:v>D020_T07_C020_G050</x:v>
      </x:c>
      <x:c r="B308" s="2" t="str">
        <x:v>A0037</x:v>
      </x:c>
      <x:c r="C308" s="2" t="str">
        <x:v>圈内</x:v>
      </x:c>
      <x:c r="D308" s="10" t="n">
        <x:v>1</x:v>
      </x:c>
      <x:c r="E308" s="10"/>
      <x:c r="F308" s="10" t="n">
        <x:v>9</x:v>
      </x:c>
      <x:c r="G308" s="10" t="n">
        <x:v>0</x:v>
      </x:c>
      <x:c r="H308" s="10" t="str">
        <x:f>IF(G308=1,E308-D308,"")</x:f>
      </x:c>
      <x:c r="I308" s="10" t="n">
        <x:f>MIN(F308,9)</x:f>
        <x:v>9</x:v>
      </x:c>
      <x:c r="J308" s="19" t="n">
        <x:v>0.2</x:v>
      </x:c>
      <x:c r="K308" s="2" t="n">
        <x:v>7</x:v>
      </x:c>
      <x:c r="L308" s="19" t="n">
        <x:v>0.2</x:v>
      </x:c>
      <x:c r="M308" s="19" t="n">
        <x:v>0.5</x:v>
      </x:c>
    </x:row>
    <x:row r="309" ht="23" customHeight="1">
      <x:c r="A309" s="2" t="str">
        <x:v>D020_T07_C020_G050</x:v>
      </x:c>
      <x:c r="B309" s="2" t="str">
        <x:v>A0040</x:v>
      </x:c>
      <x:c r="C309" s="2" t="str">
        <x:v>圈内</x:v>
      </x:c>
      <x:c r="D309" s="10" t="n">
        <x:v>1</x:v>
      </x:c>
      <x:c r="E309" s="10" t="n">
        <x:v>9</x:v>
      </x:c>
      <x:c r="F309" s="10" t="n">
        <x:v>8</x:v>
      </x:c>
      <x:c r="G309" s="10" t="n">
        <x:v>1</x:v>
      </x:c>
      <x:c r="H309" s="10" t="n">
        <x:f>IF(G309=1,E309-D309,"")</x:f>
        <x:v>8</x:v>
      </x:c>
      <x:c r="I309" s="10" t="n">
        <x:f>MIN(F309,9)</x:f>
        <x:v>8</x:v>
      </x:c>
      <x:c r="J309" s="19" t="n">
        <x:v>0.2</x:v>
      </x:c>
      <x:c r="K309" s="2" t="n">
        <x:v>7</x:v>
      </x:c>
      <x:c r="L309" s="19" t="n">
        <x:v>0.2</x:v>
      </x:c>
      <x:c r="M309" s="19" t="n">
        <x:v>0.5</x:v>
      </x:c>
    </x:row>
    <x:row r="310" ht="23" customHeight="1">
      <x:c r="A310" s="2" t="str">
        <x:v>D020_T07_C020_G050</x:v>
      </x:c>
      <x:c r="B310" s="2" t="str">
        <x:v>A0041</x:v>
      </x:c>
      <x:c r="C310" s="2" t="str">
        <x:v>圈内</x:v>
      </x:c>
      <x:c r="D310" s="10" t="n">
        <x:v>1</x:v>
      </x:c>
      <x:c r="E310" s="10"/>
      <x:c r="F310" s="10" t="n">
        <x:v>9</x:v>
      </x:c>
      <x:c r="G310" s="10" t="n">
        <x:v>0</x:v>
      </x:c>
      <x:c r="H310" s="10" t="str">
        <x:f>IF(G310=1,E310-D310,"")</x:f>
      </x:c>
      <x:c r="I310" s="10" t="n">
        <x:f>MIN(F310,9)</x:f>
        <x:v>9</x:v>
      </x:c>
      <x:c r="J310" s="19" t="n">
        <x:v>0.2</x:v>
      </x:c>
      <x:c r="K310" s="2" t="n">
        <x:v>7</x:v>
      </x:c>
      <x:c r="L310" s="19" t="n">
        <x:v>0.2</x:v>
      </x:c>
      <x:c r="M310" s="19" t="n">
        <x:v>0.5</x:v>
      </x:c>
    </x:row>
    <x:row r="311" ht="23" customHeight="1">
      <x:c r="A311" s="2" t="str">
        <x:v>D020_T07_C020_G050</x:v>
      </x:c>
      <x:c r="B311" s="2" t="str">
        <x:v>A0042</x:v>
      </x:c>
      <x:c r="C311" s="2" t="str">
        <x:v>圈内</x:v>
      </x:c>
      <x:c r="D311" s="10" t="n">
        <x:v>1</x:v>
      </x:c>
      <x:c r="E311" s="10" t="n">
        <x:v>9</x:v>
      </x:c>
      <x:c r="F311" s="10" t="n">
        <x:v>8</x:v>
      </x:c>
      <x:c r="G311" s="10" t="n">
        <x:v>1</x:v>
      </x:c>
      <x:c r="H311" s="10" t="n">
        <x:f>IF(G311=1,E311-D311,"")</x:f>
        <x:v>8</x:v>
      </x:c>
      <x:c r="I311" s="10" t="n">
        <x:f>MIN(F311,9)</x:f>
        <x:v>8</x:v>
      </x:c>
      <x:c r="J311" s="19" t="n">
        <x:v>0.2</x:v>
      </x:c>
      <x:c r="K311" s="2" t="n">
        <x:v>7</x:v>
      </x:c>
      <x:c r="L311" s="19" t="n">
        <x:v>0.2</x:v>
      </x:c>
      <x:c r="M311" s="19" t="n">
        <x:v>0.5</x:v>
      </x:c>
    </x:row>
    <x:row r="312" ht="23" customHeight="1">
      <x:c r="A312" s="2" t="str">
        <x:v>D020_T07_C020_G050</x:v>
      </x:c>
      <x:c r="B312" s="2" t="str">
        <x:v>A0090</x:v>
      </x:c>
      <x:c r="C312" s="2" t="str">
        <x:v>圈内</x:v>
      </x:c>
      <x:c r="D312" s="10" t="n">
        <x:v>1</x:v>
      </x:c>
      <x:c r="E312" s="10" t="n">
        <x:v>9</x:v>
      </x:c>
      <x:c r="F312" s="10" t="n">
        <x:v>8</x:v>
      </x:c>
      <x:c r="G312" s="10" t="n">
        <x:v>1</x:v>
      </x:c>
      <x:c r="H312" s="10" t="n">
        <x:f>IF(G312=1,E312-D312,"")</x:f>
        <x:v>8</x:v>
      </x:c>
      <x:c r="I312" s="10" t="n">
        <x:f>MIN(F312,9)</x:f>
        <x:v>8</x:v>
      </x:c>
      <x:c r="J312" s="19" t="n">
        <x:v>0.2</x:v>
      </x:c>
      <x:c r="K312" s="2" t="n">
        <x:v>7</x:v>
      </x:c>
      <x:c r="L312" s="19" t="n">
        <x:v>0.2</x:v>
      </x:c>
      <x:c r="M312" s="19" t="n">
        <x:v>0.5</x:v>
      </x:c>
    </x:row>
    <x:row r="313" ht="23" customHeight="1">
      <x:c r="A313" s="2" t="str">
        <x:v>D020_T07_C020_G050</x:v>
      </x:c>
      <x:c r="B313" s="2" t="str">
        <x:v>A0206</x:v>
      </x:c>
      <x:c r="C313" s="2" t="str">
        <x:v>圈内</x:v>
      </x:c>
      <x:c r="D313" s="10" t="n">
        <x:v>1</x:v>
      </x:c>
      <x:c r="E313" s="10" t="n">
        <x:v>7</x:v>
      </x:c>
      <x:c r="F313" s="10" t="n">
        <x:v>6</x:v>
      </x:c>
      <x:c r="G313" s="10" t="n">
        <x:v>1</x:v>
      </x:c>
      <x:c r="H313" s="10" t="n">
        <x:f>IF(G313=1,E313-D313,"")</x:f>
        <x:v>6</x:v>
      </x:c>
      <x:c r="I313" s="10" t="n">
        <x:f>MIN(F313,9)</x:f>
        <x:v>6</x:v>
      </x:c>
      <x:c r="J313" s="19" t="n">
        <x:v>0.2</x:v>
      </x:c>
      <x:c r="K313" s="2" t="n">
        <x:v>7</x:v>
      </x:c>
      <x:c r="L313" s="19" t="n">
        <x:v>0.2</x:v>
      </x:c>
      <x:c r="M313" s="19" t="n">
        <x:v>0.5</x:v>
      </x:c>
    </x:row>
    <x:row r="314" ht="23" customHeight="1">
      <x:c r="A314" s="2" t="str">
        <x:v>D020_T07_C020_G075</x:v>
      </x:c>
      <x:c r="B314" s="2" t="str">
        <x:v>A0005</x:v>
      </x:c>
      <x:c r="C314" s="2" t="str">
        <x:v>圈内</x:v>
      </x:c>
      <x:c r="D314" s="10" t="n">
        <x:v>1</x:v>
      </x:c>
      <x:c r="E314" s="10"/>
      <x:c r="F314" s="10" t="n">
        <x:v>9</x:v>
      </x:c>
      <x:c r="G314" s="10" t="n">
        <x:v>0</x:v>
      </x:c>
      <x:c r="H314" s="10" t="str">
        <x:f>IF(G314=1,E314-D314,"")</x:f>
      </x:c>
      <x:c r="I314" s="10" t="n">
        <x:f>MIN(F314,9)</x:f>
        <x:v>9</x:v>
      </x:c>
      <x:c r="J314" s="19" t="n">
        <x:v>0.2</x:v>
      </x:c>
      <x:c r="K314" s="2" t="n">
        <x:v>7</x:v>
      </x:c>
      <x:c r="L314" s="19" t="n">
        <x:v>0.2</x:v>
      </x:c>
      <x:c r="M314" s="19" t="n">
        <x:v>0.75</x:v>
      </x:c>
    </x:row>
    <x:row r="315" ht="23" customHeight="1">
      <x:c r="A315" s="2" t="str">
        <x:v>D020_T07_C020_G075</x:v>
      </x:c>
      <x:c r="B315" s="2" t="str">
        <x:v>A0011</x:v>
      </x:c>
      <x:c r="C315" s="2" t="str">
        <x:v>圈内</x:v>
      </x:c>
      <x:c r="D315" s="10" t="n">
        <x:v>1</x:v>
      </x:c>
      <x:c r="E315" s="10" t="n">
        <x:v>7</x:v>
      </x:c>
      <x:c r="F315" s="10" t="n">
        <x:v>6</x:v>
      </x:c>
      <x:c r="G315" s="10" t="n">
        <x:v>1</x:v>
      </x:c>
      <x:c r="H315" s="10" t="n">
        <x:f>IF(G315=1,E315-D315,"")</x:f>
        <x:v>6</x:v>
      </x:c>
      <x:c r="I315" s="10" t="n">
        <x:f>MIN(F315,9)</x:f>
        <x:v>6</x:v>
      </x:c>
      <x:c r="J315" s="19" t="n">
        <x:v>0.2</x:v>
      </x:c>
      <x:c r="K315" s="2" t="n">
        <x:v>7</x:v>
      </x:c>
      <x:c r="L315" s="19" t="n">
        <x:v>0.2</x:v>
      </x:c>
      <x:c r="M315" s="19" t="n">
        <x:v>0.75</x:v>
      </x:c>
    </x:row>
    <x:row r="316" ht="23" customHeight="1">
      <x:c r="A316" s="2" t="str">
        <x:v>D020_T07_C020_G075</x:v>
      </x:c>
      <x:c r="B316" s="2" t="str">
        <x:v>A0012</x:v>
      </x:c>
      <x:c r="C316" s="2" t="str">
        <x:v>圈内</x:v>
      </x:c>
      <x:c r="D316" s="10" t="n">
        <x:v>1</x:v>
      </x:c>
      <x:c r="E316" s="10" t="n">
        <x:v>8</x:v>
      </x:c>
      <x:c r="F316" s="10" t="n">
        <x:v>7</x:v>
      </x:c>
      <x:c r="G316" s="10" t="n">
        <x:v>1</x:v>
      </x:c>
      <x:c r="H316" s="10" t="n">
        <x:f>IF(G316=1,E316-D316,"")</x:f>
        <x:v>7</x:v>
      </x:c>
      <x:c r="I316" s="10" t="n">
        <x:f>MIN(F316,9)</x:f>
        <x:v>7</x:v>
      </x:c>
      <x:c r="J316" s="19" t="n">
        <x:v>0.2</x:v>
      </x:c>
      <x:c r="K316" s="2" t="n">
        <x:v>7</x:v>
      </x:c>
      <x:c r="L316" s="19" t="n">
        <x:v>0.2</x:v>
      </x:c>
      <x:c r="M316" s="19" t="n">
        <x:v>0.75</x:v>
      </x:c>
    </x:row>
    <x:row r="317" ht="23" customHeight="1">
      <x:c r="A317" s="2" t="str">
        <x:v>D020_T07_C020_G075</x:v>
      </x:c>
      <x:c r="B317" s="2" t="str">
        <x:v>A0014</x:v>
      </x:c>
      <x:c r="C317" s="2" t="str">
        <x:v>圈内</x:v>
      </x:c>
      <x:c r="D317" s="10" t="n">
        <x:v>1</x:v>
      </x:c>
      <x:c r="E317" s="10" t="n">
        <x:v>7</x:v>
      </x:c>
      <x:c r="F317" s="10" t="n">
        <x:v>6</x:v>
      </x:c>
      <x:c r="G317" s="10" t="n">
        <x:v>1</x:v>
      </x:c>
      <x:c r="H317" s="10" t="n">
        <x:f>IF(G317=1,E317-D317,"")</x:f>
        <x:v>6</x:v>
      </x:c>
      <x:c r="I317" s="10" t="n">
        <x:f>MIN(F317,9)</x:f>
        <x:v>6</x:v>
      </x:c>
      <x:c r="J317" s="19" t="n">
        <x:v>0.2</x:v>
      </x:c>
      <x:c r="K317" s="2" t="n">
        <x:v>7</x:v>
      </x:c>
      <x:c r="L317" s="19" t="n">
        <x:v>0.2</x:v>
      </x:c>
      <x:c r="M317" s="19" t="n">
        <x:v>0.75</x:v>
      </x:c>
    </x:row>
    <x:row r="318" ht="23" customHeight="1">
      <x:c r="A318" s="2" t="str">
        <x:v>D020_T07_C020_G075</x:v>
      </x:c>
      <x:c r="B318" s="2" t="str">
        <x:v>A0016</x:v>
      </x:c>
      <x:c r="C318" s="2" t="str">
        <x:v>圈内</x:v>
      </x:c>
      <x:c r="D318" s="10" t="n">
        <x:v>1</x:v>
      </x:c>
      <x:c r="E318" s="10"/>
      <x:c r="F318" s="10" t="n">
        <x:v>9</x:v>
      </x:c>
      <x:c r="G318" s="10" t="n">
        <x:v>0</x:v>
      </x:c>
      <x:c r="H318" s="10" t="str">
        <x:f>IF(G318=1,E318-D318,"")</x:f>
      </x:c>
      <x:c r="I318" s="10" t="n">
        <x:f>MIN(F318,9)</x:f>
        <x:v>9</x:v>
      </x:c>
      <x:c r="J318" s="19" t="n">
        <x:v>0.2</x:v>
      </x:c>
      <x:c r="K318" s="2" t="n">
        <x:v>7</x:v>
      </x:c>
      <x:c r="L318" s="19" t="n">
        <x:v>0.2</x:v>
      </x:c>
      <x:c r="M318" s="19" t="n">
        <x:v>0.75</x:v>
      </x:c>
    </x:row>
    <x:row r="319" ht="23" customHeight="1">
      <x:c r="A319" s="2" t="str">
        <x:v>D020_T07_C020_G075</x:v>
      </x:c>
      <x:c r="B319" s="2" t="str">
        <x:v>A0017</x:v>
      </x:c>
      <x:c r="C319" s="2" t="str">
        <x:v>圈内</x:v>
      </x:c>
      <x:c r="D319" s="10" t="n">
        <x:v>1</x:v>
      </x:c>
      <x:c r="E319" s="10"/>
      <x:c r="F319" s="10" t="n">
        <x:v>9</x:v>
      </x:c>
      <x:c r="G319" s="10" t="n">
        <x:v>0</x:v>
      </x:c>
      <x:c r="H319" s="10" t="str">
        <x:f>IF(G319=1,E319-D319,"")</x:f>
      </x:c>
      <x:c r="I319" s="10" t="n">
        <x:f>MIN(F319,9)</x:f>
        <x:v>9</x:v>
      </x:c>
      <x:c r="J319" s="19" t="n">
        <x:v>0.2</x:v>
      </x:c>
      <x:c r="K319" s="2" t="n">
        <x:v>7</x:v>
      </x:c>
      <x:c r="L319" s="19" t="n">
        <x:v>0.2</x:v>
      </x:c>
      <x:c r="M319" s="19" t="n">
        <x:v>0.75</x:v>
      </x:c>
    </x:row>
    <x:row r="320" ht="23" customHeight="1">
      <x:c r="A320" s="2" t="str">
        <x:v>D020_T07_C020_G075</x:v>
      </x:c>
      <x:c r="B320" s="2" t="str">
        <x:v>A0018</x:v>
      </x:c>
      <x:c r="C320" s="2" t="str">
        <x:v>圈内</x:v>
      </x:c>
      <x:c r="D320" s="10" t="n">
        <x:v>1</x:v>
      </x:c>
      <x:c r="E320" s="10"/>
      <x:c r="F320" s="10" t="n">
        <x:v>9</x:v>
      </x:c>
      <x:c r="G320" s="10" t="n">
        <x:v>0</x:v>
      </x:c>
      <x:c r="H320" s="10" t="str">
        <x:f>IF(G320=1,E320-D320,"")</x:f>
      </x:c>
      <x:c r="I320" s="10" t="n">
        <x:f>MIN(F320,9)</x:f>
        <x:v>9</x:v>
      </x:c>
      <x:c r="J320" s="19" t="n">
        <x:v>0.2</x:v>
      </x:c>
      <x:c r="K320" s="2" t="n">
        <x:v>7</x:v>
      </x:c>
      <x:c r="L320" s="19" t="n">
        <x:v>0.2</x:v>
      </x:c>
      <x:c r="M320" s="19" t="n">
        <x:v>0.75</x:v>
      </x:c>
    </x:row>
    <x:row r="321" ht="23" customHeight="1">
      <x:c r="A321" s="2" t="str">
        <x:v>D020_T07_C020_G075</x:v>
      </x:c>
      <x:c r="B321" s="2" t="str">
        <x:v>A0023</x:v>
      </x:c>
      <x:c r="C321" s="2" t="str">
        <x:v>圈内</x:v>
      </x:c>
      <x:c r="D321" s="10" t="n">
        <x:v>1</x:v>
      </x:c>
      <x:c r="E321" s="10" t="n">
        <x:v>10</x:v>
      </x:c>
      <x:c r="F321" s="10" t="n">
        <x:v>9</x:v>
      </x:c>
      <x:c r="G321" s="10" t="n">
        <x:v>1</x:v>
      </x:c>
      <x:c r="H321" s="10" t="n">
        <x:f>IF(G321=1,E321-D321,"")</x:f>
        <x:v>9</x:v>
      </x:c>
      <x:c r="I321" s="10" t="n">
        <x:f>MIN(F321,9)</x:f>
        <x:v>9</x:v>
      </x:c>
      <x:c r="J321" s="19" t="n">
        <x:v>0.2</x:v>
      </x:c>
      <x:c r="K321" s="2" t="n">
        <x:v>7</x:v>
      </x:c>
      <x:c r="L321" s="19" t="n">
        <x:v>0.2</x:v>
      </x:c>
      <x:c r="M321" s="19" t="n">
        <x:v>0.75</x:v>
      </x:c>
    </x:row>
    <x:row r="322" ht="23" customHeight="1">
      <x:c r="A322" s="2" t="str">
        <x:v>D020_T07_C020_G075</x:v>
      </x:c>
      <x:c r="B322" s="2" t="str">
        <x:v>A0024</x:v>
      </x:c>
      <x:c r="C322" s="2" t="str">
        <x:v>圈内</x:v>
      </x:c>
      <x:c r="D322" s="10" t="n">
        <x:v>1</x:v>
      </x:c>
      <x:c r="E322" s="10" t="n">
        <x:v>8</x:v>
      </x:c>
      <x:c r="F322" s="10" t="n">
        <x:v>7</x:v>
      </x:c>
      <x:c r="G322" s="10" t="n">
        <x:v>1</x:v>
      </x:c>
      <x:c r="H322" s="10" t="n">
        <x:f>IF(G322=1,E322-D322,"")</x:f>
        <x:v>7</x:v>
      </x:c>
      <x:c r="I322" s="10" t="n">
        <x:f>MIN(F322,9)</x:f>
        <x:v>7</x:v>
      </x:c>
      <x:c r="J322" s="19" t="n">
        <x:v>0.2</x:v>
      </x:c>
      <x:c r="K322" s="2" t="n">
        <x:v>7</x:v>
      </x:c>
      <x:c r="L322" s="19" t="n">
        <x:v>0.2</x:v>
      </x:c>
      <x:c r="M322" s="19" t="n">
        <x:v>0.75</x:v>
      </x:c>
    </x:row>
    <x:row r="323" ht="23" customHeight="1">
      <x:c r="A323" s="2" t="str">
        <x:v>D020_T07_C020_G075</x:v>
      </x:c>
      <x:c r="B323" s="2" t="str">
        <x:v>A0025</x:v>
      </x:c>
      <x:c r="C323" s="2" t="str">
        <x:v>圈内</x:v>
      </x:c>
      <x:c r="D323" s="10" t="n">
        <x:v>1</x:v>
      </x:c>
      <x:c r="E323" s="10" t="n">
        <x:v>7</x:v>
      </x:c>
      <x:c r="F323" s="10" t="n">
        <x:v>6</x:v>
      </x:c>
      <x:c r="G323" s="10" t="n">
        <x:v>1</x:v>
      </x:c>
      <x:c r="H323" s="10" t="n">
        <x:f>IF(G323=1,E323-D323,"")</x:f>
        <x:v>6</x:v>
      </x:c>
      <x:c r="I323" s="10" t="n">
        <x:f>MIN(F323,9)</x:f>
        <x:v>6</x:v>
      </x:c>
      <x:c r="J323" s="19" t="n">
        <x:v>0.2</x:v>
      </x:c>
      <x:c r="K323" s="2" t="n">
        <x:v>7</x:v>
      </x:c>
      <x:c r="L323" s="19" t="n">
        <x:v>0.2</x:v>
      </x:c>
      <x:c r="M323" s="19" t="n">
        <x:v>0.75</x:v>
      </x:c>
    </x:row>
    <x:row r="324" ht="23" customHeight="1">
      <x:c r="A324" s="2" t="str">
        <x:v>D020_T07_C020_G075</x:v>
      </x:c>
      <x:c r="B324" s="2" t="str">
        <x:v>A0026</x:v>
      </x:c>
      <x:c r="C324" s="2" t="str">
        <x:v>圈内</x:v>
      </x:c>
      <x:c r="D324" s="10" t="n">
        <x:v>1</x:v>
      </x:c>
      <x:c r="E324" s="10" t="n">
        <x:v>7</x:v>
      </x:c>
      <x:c r="F324" s="10" t="n">
        <x:v>6</x:v>
      </x:c>
      <x:c r="G324" s="10" t="n">
        <x:v>1</x:v>
      </x:c>
      <x:c r="H324" s="10" t="n">
        <x:f>IF(G324=1,E324-D324,"")</x:f>
        <x:v>6</x:v>
      </x:c>
      <x:c r="I324" s="10" t="n">
        <x:f>MIN(F324,9)</x:f>
        <x:v>6</x:v>
      </x:c>
      <x:c r="J324" s="19" t="n">
        <x:v>0.2</x:v>
      </x:c>
      <x:c r="K324" s="2" t="n">
        <x:v>7</x:v>
      </x:c>
      <x:c r="L324" s="19" t="n">
        <x:v>0.2</x:v>
      </x:c>
      <x:c r="M324" s="19" t="n">
        <x:v>0.75</x:v>
      </x:c>
    </x:row>
    <x:row r="325" ht="23" customHeight="1">
      <x:c r="A325" s="2" t="str">
        <x:v>D020_T07_C020_G075</x:v>
      </x:c>
      <x:c r="B325" s="2" t="str">
        <x:v>A0027</x:v>
      </x:c>
      <x:c r="C325" s="2" t="str">
        <x:v>圈内</x:v>
      </x:c>
      <x:c r="D325" s="10" t="n">
        <x:v>1</x:v>
      </x:c>
      <x:c r="E325" s="10"/>
      <x:c r="F325" s="10" t="n">
        <x:v>9</x:v>
      </x:c>
      <x:c r="G325" s="10" t="n">
        <x:v>0</x:v>
      </x:c>
      <x:c r="H325" s="10" t="str">
        <x:f>IF(G325=1,E325-D325,"")</x:f>
      </x:c>
      <x:c r="I325" s="10" t="n">
        <x:f>MIN(F325,9)</x:f>
        <x:v>9</x:v>
      </x:c>
      <x:c r="J325" s="19" t="n">
        <x:v>0.2</x:v>
      </x:c>
      <x:c r="K325" s="2" t="n">
        <x:v>7</x:v>
      </x:c>
      <x:c r="L325" s="19" t="n">
        <x:v>0.2</x:v>
      </x:c>
      <x:c r="M325" s="19" t="n">
        <x:v>0.75</x:v>
      </x:c>
    </x:row>
    <x:row r="326" ht="23" customHeight="1">
      <x:c r="A326" s="2" t="str">
        <x:v>D020_T07_C020_G075</x:v>
      </x:c>
      <x:c r="B326" s="2" t="str">
        <x:v>A0030</x:v>
      </x:c>
      <x:c r="C326" s="2" t="str">
        <x:v>圈内</x:v>
      </x:c>
      <x:c r="D326" s="10" t="n">
        <x:v>1</x:v>
      </x:c>
      <x:c r="E326" s="10"/>
      <x:c r="F326" s="10" t="n">
        <x:v>9</x:v>
      </x:c>
      <x:c r="G326" s="10" t="n">
        <x:v>0</x:v>
      </x:c>
      <x:c r="H326" s="10" t="str">
        <x:f>IF(G326=1,E326-D326,"")</x:f>
      </x:c>
      <x:c r="I326" s="10" t="n">
        <x:f>MIN(F326,9)</x:f>
        <x:v>9</x:v>
      </x:c>
      <x:c r="J326" s="19" t="n">
        <x:v>0.2</x:v>
      </x:c>
      <x:c r="K326" s="2" t="n">
        <x:v>7</x:v>
      </x:c>
      <x:c r="L326" s="19" t="n">
        <x:v>0.2</x:v>
      </x:c>
      <x:c r="M326" s="19" t="n">
        <x:v>0.75</x:v>
      </x:c>
    </x:row>
    <x:row r="327" ht="23" customHeight="1">
      <x:c r="A327" s="2" t="str">
        <x:v>D020_T07_C020_G075</x:v>
      </x:c>
      <x:c r="B327" s="2" t="str">
        <x:v>A0032</x:v>
      </x:c>
      <x:c r="C327" s="2" t="str">
        <x:v>圈内</x:v>
      </x:c>
      <x:c r="D327" s="10" t="n">
        <x:v>1</x:v>
      </x:c>
      <x:c r="E327" s="10" t="n">
        <x:v>8</x:v>
      </x:c>
      <x:c r="F327" s="10" t="n">
        <x:v>7</x:v>
      </x:c>
      <x:c r="G327" s="10" t="n">
        <x:v>1</x:v>
      </x:c>
      <x:c r="H327" s="10" t="n">
        <x:f>IF(G327=1,E327-D327,"")</x:f>
        <x:v>7</x:v>
      </x:c>
      <x:c r="I327" s="10" t="n">
        <x:f>MIN(F327,9)</x:f>
        <x:v>7</x:v>
      </x:c>
      <x:c r="J327" s="19" t="n">
        <x:v>0.2</x:v>
      </x:c>
      <x:c r="K327" s="2" t="n">
        <x:v>7</x:v>
      </x:c>
      <x:c r="L327" s="19" t="n">
        <x:v>0.2</x:v>
      </x:c>
      <x:c r="M327" s="19" t="n">
        <x:v>0.75</x:v>
      </x:c>
    </x:row>
    <x:row r="328" ht="23" customHeight="1">
      <x:c r="A328" s="2" t="str">
        <x:v>D020_T07_C020_G075</x:v>
      </x:c>
      <x:c r="B328" s="2" t="str">
        <x:v>A0033</x:v>
      </x:c>
      <x:c r="C328" s="2" t="str">
        <x:v>圈内</x:v>
      </x:c>
      <x:c r="D328" s="10" t="n">
        <x:v>1</x:v>
      </x:c>
      <x:c r="E328" s="10" t="n">
        <x:v>10</x:v>
      </x:c>
      <x:c r="F328" s="10" t="n">
        <x:v>9</x:v>
      </x:c>
      <x:c r="G328" s="10" t="n">
        <x:v>1</x:v>
      </x:c>
      <x:c r="H328" s="10" t="n">
        <x:f>IF(G328=1,E328-D328,"")</x:f>
        <x:v>9</x:v>
      </x:c>
      <x:c r="I328" s="10" t="n">
        <x:f>MIN(F328,9)</x:f>
        <x:v>9</x:v>
      </x:c>
      <x:c r="J328" s="19" t="n">
        <x:v>0.2</x:v>
      </x:c>
      <x:c r="K328" s="2" t="n">
        <x:v>7</x:v>
      </x:c>
      <x:c r="L328" s="19" t="n">
        <x:v>0.2</x:v>
      </x:c>
      <x:c r="M328" s="19" t="n">
        <x:v>0.75</x:v>
      </x:c>
    </x:row>
    <x:row r="329" ht="23" customHeight="1">
      <x:c r="A329" s="2" t="str">
        <x:v>D020_T07_C020_G075</x:v>
      </x:c>
      <x:c r="B329" s="2" t="str">
        <x:v>A0036</x:v>
      </x:c>
      <x:c r="C329" s="2" t="str">
        <x:v>圈内</x:v>
      </x:c>
      <x:c r="D329" s="10" t="n">
        <x:v>1</x:v>
      </x:c>
      <x:c r="E329" s="10" t="n">
        <x:v>8</x:v>
      </x:c>
      <x:c r="F329" s="10" t="n">
        <x:v>7</x:v>
      </x:c>
      <x:c r="G329" s="10" t="n">
        <x:v>1</x:v>
      </x:c>
      <x:c r="H329" s="10" t="n">
        <x:f>IF(G329=1,E329-D329,"")</x:f>
        <x:v>7</x:v>
      </x:c>
      <x:c r="I329" s="10" t="n">
        <x:f>MIN(F329,9)</x:f>
        <x:v>7</x:v>
      </x:c>
      <x:c r="J329" s="19" t="n">
        <x:v>0.2</x:v>
      </x:c>
      <x:c r="K329" s="2" t="n">
        <x:v>7</x:v>
      </x:c>
      <x:c r="L329" s="19" t="n">
        <x:v>0.2</x:v>
      </x:c>
      <x:c r="M329" s="19" t="n">
        <x:v>0.75</x:v>
      </x:c>
    </x:row>
    <x:row r="330" ht="23" customHeight="1">
      <x:c r="A330" s="2" t="str">
        <x:v>D020_T07_C020_G075</x:v>
      </x:c>
      <x:c r="B330" s="2" t="str">
        <x:v>A0189</x:v>
      </x:c>
      <x:c r="C330" s="2" t="str">
        <x:v>圈内</x:v>
      </x:c>
      <x:c r="D330" s="10" t="n">
        <x:v>1</x:v>
      </x:c>
      <x:c r="E330" s="10" t="n">
        <x:v>8</x:v>
      </x:c>
      <x:c r="F330" s="10" t="n">
        <x:v>7</x:v>
      </x:c>
      <x:c r="G330" s="10" t="n">
        <x:v>1</x:v>
      </x:c>
      <x:c r="H330" s="10" t="n">
        <x:f>IF(G330=1,E330-D330,"")</x:f>
        <x:v>7</x:v>
      </x:c>
      <x:c r="I330" s="10" t="n">
        <x:f>MIN(F330,9)</x:f>
        <x:v>7</x:v>
      </x:c>
      <x:c r="J330" s="19" t="n">
        <x:v>0.2</x:v>
      </x:c>
      <x:c r="K330" s="2" t="n">
        <x:v>7</x:v>
      </x:c>
      <x:c r="L330" s="19" t="n">
        <x:v>0.2</x:v>
      </x:c>
      <x:c r="M330" s="19" t="n">
        <x:v>0.75</x:v>
      </x:c>
    </x:row>
    <x:row r="331" ht="23" customHeight="1">
      <x:c r="A331" s="2" t="str">
        <x:v>D020_T07_C080_G025</x:v>
      </x:c>
      <x:c r="B331" s="2" t="str">
        <x:v>A0002</x:v>
      </x:c>
      <x:c r="C331" s="2" t="str">
        <x:v>圈内</x:v>
      </x:c>
      <x:c r="D331" s="10" t="n">
        <x:v>1</x:v>
      </x:c>
      <x:c r="E331" s="10"/>
      <x:c r="F331" s="10" t="n">
        <x:v>9</x:v>
      </x:c>
      <x:c r="G331" s="10" t="n">
        <x:v>0</x:v>
      </x:c>
      <x:c r="H331" s="10" t="str">
        <x:f>IF(G331=1,E331-D331,"")</x:f>
      </x:c>
      <x:c r="I331" s="10" t="n">
        <x:f>MIN(F331,9)</x:f>
        <x:v>9</x:v>
      </x:c>
      <x:c r="J331" s="19" t="n">
        <x:v>0.2</x:v>
      </x:c>
      <x:c r="K331" s="2" t="n">
        <x:v>7</x:v>
      </x:c>
      <x:c r="L331" s="19" t="n">
        <x:v>0.8</x:v>
      </x:c>
      <x:c r="M331" s="19" t="n">
        <x:v>0.25</x:v>
      </x:c>
    </x:row>
    <x:row r="332" ht="23" customHeight="1">
      <x:c r="A332" s="2" t="str">
        <x:v>D020_T07_C080_G025</x:v>
      </x:c>
      <x:c r="B332" s="2" t="str">
        <x:v>A0005</x:v>
      </x:c>
      <x:c r="C332" s="2" t="str">
        <x:v>圈内</x:v>
      </x:c>
      <x:c r="D332" s="10" t="n">
        <x:v>1</x:v>
      </x:c>
      <x:c r="E332" s="10"/>
      <x:c r="F332" s="10" t="n">
        <x:v>9</x:v>
      </x:c>
      <x:c r="G332" s="10" t="n">
        <x:v>0</x:v>
      </x:c>
      <x:c r="H332" s="10" t="str">
        <x:f>IF(G332=1,E332-D332,"")</x:f>
      </x:c>
      <x:c r="I332" s="10" t="n">
        <x:f>MIN(F332,9)</x:f>
        <x:v>9</x:v>
      </x:c>
      <x:c r="J332" s="19" t="n">
        <x:v>0.2</x:v>
      </x:c>
      <x:c r="K332" s="2" t="n">
        <x:v>7</x:v>
      </x:c>
      <x:c r="L332" s="19" t="n">
        <x:v>0.8</x:v>
      </x:c>
      <x:c r="M332" s="19" t="n">
        <x:v>0.25</x:v>
      </x:c>
    </x:row>
    <x:row r="333" ht="23" customHeight="1">
      <x:c r="A333" s="2" t="str">
        <x:v>D020_T07_C080_G025</x:v>
      </x:c>
      <x:c r="B333" s="2" t="str">
        <x:v>A0011</x:v>
      </x:c>
      <x:c r="C333" s="2" t="str">
        <x:v>圈内</x:v>
      </x:c>
      <x:c r="D333" s="10" t="n">
        <x:v>1</x:v>
      </x:c>
      <x:c r="E333" s="10" t="n">
        <x:v>10</x:v>
      </x:c>
      <x:c r="F333" s="10" t="n">
        <x:v>9</x:v>
      </x:c>
      <x:c r="G333" s="10" t="n">
        <x:v>1</x:v>
      </x:c>
      <x:c r="H333" s="10" t="n">
        <x:f>IF(G333=1,E333-D333,"")</x:f>
        <x:v>9</x:v>
      </x:c>
      <x:c r="I333" s="10" t="n">
        <x:f>MIN(F333,9)</x:f>
        <x:v>9</x:v>
      </x:c>
      <x:c r="J333" s="19" t="n">
        <x:v>0.2</x:v>
      </x:c>
      <x:c r="K333" s="2" t="n">
        <x:v>7</x:v>
      </x:c>
      <x:c r="L333" s="19" t="n">
        <x:v>0.8</x:v>
      </x:c>
      <x:c r="M333" s="19" t="n">
        <x:v>0.25</x:v>
      </x:c>
    </x:row>
    <x:row r="334" ht="23" customHeight="1">
      <x:c r="A334" s="2" t="str">
        <x:v>D020_T07_C080_G025</x:v>
      </x:c>
      <x:c r="B334" s="2" t="str">
        <x:v>A0012</x:v>
      </x:c>
      <x:c r="C334" s="2" t="str">
        <x:v>圈内</x:v>
      </x:c>
      <x:c r="D334" s="10" t="n">
        <x:v>1</x:v>
      </x:c>
      <x:c r="E334" s="10"/>
      <x:c r="F334" s="10" t="n">
        <x:v>9</x:v>
      </x:c>
      <x:c r="G334" s="10" t="n">
        <x:v>0</x:v>
      </x:c>
      <x:c r="H334" s="10" t="str">
        <x:f>IF(G334=1,E334-D334,"")</x:f>
      </x:c>
      <x:c r="I334" s="10" t="n">
        <x:f>MIN(F334,9)</x:f>
        <x:v>9</x:v>
      </x:c>
      <x:c r="J334" s="19" t="n">
        <x:v>0.2</x:v>
      </x:c>
      <x:c r="K334" s="2" t="n">
        <x:v>7</x:v>
      </x:c>
      <x:c r="L334" s="19" t="n">
        <x:v>0.8</x:v>
      </x:c>
      <x:c r="M334" s="19" t="n">
        <x:v>0.25</x:v>
      </x:c>
    </x:row>
    <x:row r="335" ht="23" customHeight="1">
      <x:c r="A335" s="2" t="str">
        <x:v>D020_T07_C080_G025</x:v>
      </x:c>
      <x:c r="B335" s="2" t="str">
        <x:v>A0017</x:v>
      </x:c>
      <x:c r="C335" s="2" t="str">
        <x:v>圈内</x:v>
      </x:c>
      <x:c r="D335" s="10" t="n">
        <x:v>1</x:v>
      </x:c>
      <x:c r="E335" s="10"/>
      <x:c r="F335" s="10" t="n">
        <x:v>9</x:v>
      </x:c>
      <x:c r="G335" s="10" t="n">
        <x:v>0</x:v>
      </x:c>
      <x:c r="H335" s="10" t="str">
        <x:f>IF(G335=1,E335-D335,"")</x:f>
      </x:c>
      <x:c r="I335" s="10" t="n">
        <x:f>MIN(F335,9)</x:f>
        <x:v>9</x:v>
      </x:c>
      <x:c r="J335" s="19" t="n">
        <x:v>0.2</x:v>
      </x:c>
      <x:c r="K335" s="2" t="n">
        <x:v>7</x:v>
      </x:c>
      <x:c r="L335" s="19" t="n">
        <x:v>0.8</x:v>
      </x:c>
      <x:c r="M335" s="19" t="n">
        <x:v>0.25</x:v>
      </x:c>
    </x:row>
    <x:row r="336" ht="23" customHeight="1">
      <x:c r="A336" s="2" t="str">
        <x:v>D020_T07_C080_G025</x:v>
      </x:c>
      <x:c r="B336" s="2" t="str">
        <x:v>A0018</x:v>
      </x:c>
      <x:c r="C336" s="2" t="str">
        <x:v>圈内</x:v>
      </x:c>
      <x:c r="D336" s="10" t="n">
        <x:v>1</x:v>
      </x:c>
      <x:c r="E336" s="10" t="n">
        <x:v>10</x:v>
      </x:c>
      <x:c r="F336" s="10" t="n">
        <x:v>9</x:v>
      </x:c>
      <x:c r="G336" s="10" t="n">
        <x:v>1</x:v>
      </x:c>
      <x:c r="H336" s="10" t="n">
        <x:f>IF(G336=1,E336-D336,"")</x:f>
        <x:v>9</x:v>
      </x:c>
      <x:c r="I336" s="10" t="n">
        <x:f>MIN(F336,9)</x:f>
        <x:v>9</x:v>
      </x:c>
      <x:c r="J336" s="19" t="n">
        <x:v>0.2</x:v>
      </x:c>
      <x:c r="K336" s="2" t="n">
        <x:v>7</x:v>
      </x:c>
      <x:c r="L336" s="19" t="n">
        <x:v>0.8</x:v>
      </x:c>
      <x:c r="M336" s="19" t="n">
        <x:v>0.25</x:v>
      </x:c>
    </x:row>
    <x:row r="337" ht="23" customHeight="1">
      <x:c r="A337" s="2" t="str">
        <x:v>D020_T07_C080_G025</x:v>
      </x:c>
      <x:c r="B337" s="2" t="str">
        <x:v>A0019</x:v>
      </x:c>
      <x:c r="C337" s="2" t="str">
        <x:v>圈内</x:v>
      </x:c>
      <x:c r="D337" s="10" t="n">
        <x:v>1</x:v>
      </x:c>
      <x:c r="E337" s="10" t="n">
        <x:v>8</x:v>
      </x:c>
      <x:c r="F337" s="10" t="n">
        <x:v>7</x:v>
      </x:c>
      <x:c r="G337" s="10" t="n">
        <x:v>1</x:v>
      </x:c>
      <x:c r="H337" s="10" t="n">
        <x:f>IF(G337=1,E337-D337,"")</x:f>
        <x:v>7</x:v>
      </x:c>
      <x:c r="I337" s="10" t="n">
        <x:f>MIN(F337,9)</x:f>
        <x:v>7</x:v>
      </x:c>
      <x:c r="J337" s="19" t="n">
        <x:v>0.2</x:v>
      </x:c>
      <x:c r="K337" s="2" t="n">
        <x:v>7</x:v>
      </x:c>
      <x:c r="L337" s="19" t="n">
        <x:v>0.8</x:v>
      </x:c>
      <x:c r="M337" s="19" t="n">
        <x:v>0.25</x:v>
      </x:c>
    </x:row>
    <x:row r="338" ht="23" customHeight="1">
      <x:c r="A338" s="2" t="str">
        <x:v>D020_T07_C080_G025</x:v>
      </x:c>
      <x:c r="B338" s="2" t="str">
        <x:v>A0024</x:v>
      </x:c>
      <x:c r="C338" s="2" t="str">
        <x:v>圈内</x:v>
      </x:c>
      <x:c r="D338" s="10" t="n">
        <x:v>1</x:v>
      </x:c>
      <x:c r="E338" s="10"/>
      <x:c r="F338" s="10" t="n">
        <x:v>9</x:v>
      </x:c>
      <x:c r="G338" s="10" t="n">
        <x:v>0</x:v>
      </x:c>
      <x:c r="H338" s="10" t="str">
        <x:f>IF(G338=1,E338-D338,"")</x:f>
      </x:c>
      <x:c r="I338" s="10" t="n">
        <x:f>MIN(F338,9)</x:f>
        <x:v>9</x:v>
      </x:c>
      <x:c r="J338" s="19" t="n">
        <x:v>0.2</x:v>
      </x:c>
      <x:c r="K338" s="2" t="n">
        <x:v>7</x:v>
      </x:c>
      <x:c r="L338" s="19" t="n">
        <x:v>0.8</x:v>
      </x:c>
      <x:c r="M338" s="19" t="n">
        <x:v>0.25</x:v>
      </x:c>
    </x:row>
    <x:row r="339" ht="23" customHeight="1">
      <x:c r="A339" s="2" t="str">
        <x:v>D020_T07_C080_G025</x:v>
      </x:c>
      <x:c r="B339" s="2" t="str">
        <x:v>A0025</x:v>
      </x:c>
      <x:c r="C339" s="2" t="str">
        <x:v>圈内</x:v>
      </x:c>
      <x:c r="D339" s="10" t="n">
        <x:v>1</x:v>
      </x:c>
      <x:c r="E339" s="10"/>
      <x:c r="F339" s="10" t="n">
        <x:v>9</x:v>
      </x:c>
      <x:c r="G339" s="10" t="n">
        <x:v>0</x:v>
      </x:c>
      <x:c r="H339" s="10" t="str">
        <x:f>IF(G339=1,E339-D339,"")</x:f>
      </x:c>
      <x:c r="I339" s="10" t="n">
        <x:f>MIN(F339,9)</x:f>
        <x:v>9</x:v>
      </x:c>
      <x:c r="J339" s="19" t="n">
        <x:v>0.2</x:v>
      </x:c>
      <x:c r="K339" s="2" t="n">
        <x:v>7</x:v>
      </x:c>
      <x:c r="L339" s="19" t="n">
        <x:v>0.8</x:v>
      </x:c>
      <x:c r="M339" s="19" t="n">
        <x:v>0.25</x:v>
      </x:c>
    </x:row>
    <x:row r="340" ht="23" customHeight="1">
      <x:c r="A340" s="2" t="str">
        <x:v>D020_T07_C080_G025</x:v>
      </x:c>
      <x:c r="B340" s="2" t="str">
        <x:v>A0027</x:v>
      </x:c>
      <x:c r="C340" s="2" t="str">
        <x:v>圈内</x:v>
      </x:c>
      <x:c r="D340" s="10" t="n">
        <x:v>1</x:v>
      </x:c>
      <x:c r="E340" s="10"/>
      <x:c r="F340" s="10" t="n">
        <x:v>9</x:v>
      </x:c>
      <x:c r="G340" s="10" t="n">
        <x:v>0</x:v>
      </x:c>
      <x:c r="H340" s="10" t="str">
        <x:f>IF(G340=1,E340-D340,"")</x:f>
      </x:c>
      <x:c r="I340" s="10" t="n">
        <x:f>MIN(F340,9)</x:f>
        <x:v>9</x:v>
      </x:c>
      <x:c r="J340" s="19" t="n">
        <x:v>0.2</x:v>
      </x:c>
      <x:c r="K340" s="2" t="n">
        <x:v>7</x:v>
      </x:c>
      <x:c r="L340" s="19" t="n">
        <x:v>0.8</x:v>
      </x:c>
      <x:c r="M340" s="19" t="n">
        <x:v>0.25</x:v>
      </x:c>
    </x:row>
    <x:row r="341" ht="23" customHeight="1">
      <x:c r="A341" s="2" t="str">
        <x:v>D020_T07_C080_G025</x:v>
      </x:c>
      <x:c r="B341" s="2" t="str">
        <x:v>A0029</x:v>
      </x:c>
      <x:c r="C341" s="2" t="str">
        <x:v>圈内</x:v>
      </x:c>
      <x:c r="D341" s="10" t="n">
        <x:v>1</x:v>
      </x:c>
      <x:c r="E341" s="10"/>
      <x:c r="F341" s="10" t="n">
        <x:v>9</x:v>
      </x:c>
      <x:c r="G341" s="10" t="n">
        <x:v>0</x:v>
      </x:c>
      <x:c r="H341" s="10" t="str">
        <x:f>IF(G341=1,E341-D341,"")</x:f>
      </x:c>
      <x:c r="I341" s="10" t="n">
        <x:f>MIN(F341,9)</x:f>
        <x:v>9</x:v>
      </x:c>
      <x:c r="J341" s="19" t="n">
        <x:v>0.2</x:v>
      </x:c>
      <x:c r="K341" s="2" t="n">
        <x:v>7</x:v>
      </x:c>
      <x:c r="L341" s="19" t="n">
        <x:v>0.8</x:v>
      </x:c>
      <x:c r="M341" s="19" t="n">
        <x:v>0.25</x:v>
      </x:c>
    </x:row>
    <x:row r="342" ht="23" customHeight="1">
      <x:c r="A342" s="2" t="str">
        <x:v>D020_T07_C080_G025</x:v>
      </x:c>
      <x:c r="B342" s="2" t="str">
        <x:v>A0032</x:v>
      </x:c>
      <x:c r="C342" s="2" t="str">
        <x:v>圈内</x:v>
      </x:c>
      <x:c r="D342" s="10" t="n">
        <x:v>1</x:v>
      </x:c>
      <x:c r="E342" s="10"/>
      <x:c r="F342" s="10" t="n">
        <x:v>9</x:v>
      </x:c>
      <x:c r="G342" s="10" t="n">
        <x:v>0</x:v>
      </x:c>
      <x:c r="H342" s="10" t="str">
        <x:f>IF(G342=1,E342-D342,"")</x:f>
      </x:c>
      <x:c r="I342" s="10" t="n">
        <x:f>MIN(F342,9)</x:f>
        <x:v>9</x:v>
      </x:c>
      <x:c r="J342" s="19" t="n">
        <x:v>0.2</x:v>
      </x:c>
      <x:c r="K342" s="2" t="n">
        <x:v>7</x:v>
      </x:c>
      <x:c r="L342" s="19" t="n">
        <x:v>0.8</x:v>
      </x:c>
      <x:c r="M342" s="19" t="n">
        <x:v>0.25</x:v>
      </x:c>
    </x:row>
    <x:row r="343" ht="23" customHeight="1">
      <x:c r="A343" s="2" t="str">
        <x:v>D020_T07_C080_G025</x:v>
      </x:c>
      <x:c r="B343" s="2" t="str">
        <x:v>A0033</x:v>
      </x:c>
      <x:c r="C343" s="2" t="str">
        <x:v>圈内</x:v>
      </x:c>
      <x:c r="D343" s="10" t="n">
        <x:v>1</x:v>
      </x:c>
      <x:c r="E343" s="10" t="n">
        <x:v>7</x:v>
      </x:c>
      <x:c r="F343" s="10" t="n">
        <x:v>6</x:v>
      </x:c>
      <x:c r="G343" s="10" t="n">
        <x:v>1</x:v>
      </x:c>
      <x:c r="H343" s="10" t="n">
        <x:f>IF(G343=1,E343-D343,"")</x:f>
        <x:v>6</x:v>
      </x:c>
      <x:c r="I343" s="10" t="n">
        <x:f>MIN(F343,9)</x:f>
        <x:v>6</x:v>
      </x:c>
      <x:c r="J343" s="19" t="n">
        <x:v>0.2</x:v>
      </x:c>
      <x:c r="K343" s="2" t="n">
        <x:v>7</x:v>
      </x:c>
      <x:c r="L343" s="19" t="n">
        <x:v>0.8</x:v>
      </x:c>
      <x:c r="M343" s="19" t="n">
        <x:v>0.25</x:v>
      </x:c>
    </x:row>
    <x:row r="344" ht="23" customHeight="1">
      <x:c r="A344" s="2" t="str">
        <x:v>D020_T07_C080_G025</x:v>
      </x:c>
      <x:c r="B344" s="2" t="str">
        <x:v>A0036</x:v>
      </x:c>
      <x:c r="C344" s="2" t="str">
        <x:v>圈内</x:v>
      </x:c>
      <x:c r="D344" s="10" t="n">
        <x:v>1</x:v>
      </x:c>
      <x:c r="E344" s="10"/>
      <x:c r="F344" s="10" t="n">
        <x:v>9</x:v>
      </x:c>
      <x:c r="G344" s="10" t="n">
        <x:v>0</x:v>
      </x:c>
      <x:c r="H344" s="10" t="str">
        <x:f>IF(G344=1,E344-D344,"")</x:f>
      </x:c>
      <x:c r="I344" s="10" t="n">
        <x:f>MIN(F344,9)</x:f>
        <x:v>9</x:v>
      </x:c>
      <x:c r="J344" s="19" t="n">
        <x:v>0.2</x:v>
      </x:c>
      <x:c r="K344" s="2" t="n">
        <x:v>7</x:v>
      </x:c>
      <x:c r="L344" s="19" t="n">
        <x:v>0.8</x:v>
      </x:c>
      <x:c r="M344" s="19" t="n">
        <x:v>0.25</x:v>
      </x:c>
    </x:row>
    <x:row r="345" ht="23" customHeight="1">
      <x:c r="A345" s="2" t="str">
        <x:v>D020_T07_C080_G025</x:v>
      </x:c>
      <x:c r="B345" s="2" t="str">
        <x:v>A0037</x:v>
      </x:c>
      <x:c r="C345" s="2" t="str">
        <x:v>圈内</x:v>
      </x:c>
      <x:c r="D345" s="10" t="n">
        <x:v>1</x:v>
      </x:c>
      <x:c r="E345" s="10" t="n">
        <x:v>10</x:v>
      </x:c>
      <x:c r="F345" s="10" t="n">
        <x:v>9</x:v>
      </x:c>
      <x:c r="G345" s="10" t="n">
        <x:v>1</x:v>
      </x:c>
      <x:c r="H345" s="10" t="n">
        <x:f>IF(G345=1,E345-D345,"")</x:f>
        <x:v>9</x:v>
      </x:c>
      <x:c r="I345" s="10" t="n">
        <x:f>MIN(F345,9)</x:f>
        <x:v>9</x:v>
      </x:c>
      <x:c r="J345" s="19" t="n">
        <x:v>0.2</x:v>
      </x:c>
      <x:c r="K345" s="2" t="n">
        <x:v>7</x:v>
      </x:c>
      <x:c r="L345" s="19" t="n">
        <x:v>0.8</x:v>
      </x:c>
      <x:c r="M345" s="19" t="n">
        <x:v>0.25</x:v>
      </x:c>
    </x:row>
    <x:row r="346" ht="23" customHeight="1">
      <x:c r="A346" s="2" t="str">
        <x:v>D020_T07_C080_G025</x:v>
      </x:c>
      <x:c r="B346" s="2" t="str">
        <x:v>A0041</x:v>
      </x:c>
      <x:c r="C346" s="2" t="str">
        <x:v>圈内</x:v>
      </x:c>
      <x:c r="D346" s="10" t="n">
        <x:v>1</x:v>
      </x:c>
      <x:c r="E346" s="10" t="n">
        <x:v>10</x:v>
      </x:c>
      <x:c r="F346" s="10" t="n">
        <x:v>9</x:v>
      </x:c>
      <x:c r="G346" s="10" t="n">
        <x:v>1</x:v>
      </x:c>
      <x:c r="H346" s="10" t="n">
        <x:f>IF(G346=1,E346-D346,"")</x:f>
        <x:v>9</x:v>
      </x:c>
      <x:c r="I346" s="10" t="n">
        <x:f>MIN(F346,9)</x:f>
        <x:v>9</x:v>
      </x:c>
      <x:c r="J346" s="19" t="n">
        <x:v>0.2</x:v>
      </x:c>
      <x:c r="K346" s="2" t="n">
        <x:v>7</x:v>
      </x:c>
      <x:c r="L346" s="19" t="n">
        <x:v>0.8</x:v>
      </x:c>
      <x:c r="M346" s="19" t="n">
        <x:v>0.25</x:v>
      </x:c>
    </x:row>
    <x:row r="347" ht="23" customHeight="1">
      <x:c r="A347" s="2" t="str">
        <x:v>D020_T07_C080_G025</x:v>
      </x:c>
      <x:c r="B347" s="2" t="str">
        <x:v>A0071</x:v>
      </x:c>
      <x:c r="C347" s="2" t="str">
        <x:v>圈内</x:v>
      </x:c>
      <x:c r="D347" s="10" t="n">
        <x:v>1</x:v>
      </x:c>
      <x:c r="E347" s="10"/>
      <x:c r="F347" s="10" t="n">
        <x:v>9</x:v>
      </x:c>
      <x:c r="G347" s="10" t="n">
        <x:v>0</x:v>
      </x:c>
      <x:c r="H347" s="10" t="str">
        <x:f>IF(G347=1,E347-D347,"")</x:f>
      </x:c>
      <x:c r="I347" s="10" t="n">
        <x:f>MIN(F347,9)</x:f>
        <x:v>9</x:v>
      </x:c>
      <x:c r="J347" s="19" t="n">
        <x:v>0.2</x:v>
      </x:c>
      <x:c r="K347" s="2" t="n">
        <x:v>7</x:v>
      </x:c>
      <x:c r="L347" s="19" t="n">
        <x:v>0.8</x:v>
      </x:c>
      <x:c r="M347" s="19" t="n">
        <x:v>0.25</x:v>
      </x:c>
    </x:row>
    <x:row r="348" ht="23" customHeight="1">
      <x:c r="A348" s="2" t="str">
        <x:v>D020_T07_C080_G050</x:v>
      </x:c>
      <x:c r="B348" s="2" t="str">
        <x:v>A0005</x:v>
      </x:c>
      <x:c r="C348" s="2" t="str">
        <x:v>圈内</x:v>
      </x:c>
      <x:c r="D348" s="10" t="n">
        <x:v>1</x:v>
      </x:c>
      <x:c r="E348" s="10" t="n">
        <x:v>7</x:v>
      </x:c>
      <x:c r="F348" s="10" t="n">
        <x:v>6</x:v>
      </x:c>
      <x:c r="G348" s="10" t="n">
        <x:v>1</x:v>
      </x:c>
      <x:c r="H348" s="10" t="n">
        <x:f>IF(G348=1,E348-D348,"")</x:f>
        <x:v>6</x:v>
      </x:c>
      <x:c r="I348" s="10" t="n">
        <x:f>MIN(F348,9)</x:f>
        <x:v>6</x:v>
      </x:c>
      <x:c r="J348" s="19" t="n">
        <x:v>0.2</x:v>
      </x:c>
      <x:c r="K348" s="2" t="n">
        <x:v>7</x:v>
      </x:c>
      <x:c r="L348" s="19" t="n">
        <x:v>0.8</x:v>
      </x:c>
      <x:c r="M348" s="19" t="n">
        <x:v>0.5</x:v>
      </x:c>
    </x:row>
    <x:row r="349" ht="23" customHeight="1">
      <x:c r="A349" s="2" t="str">
        <x:v>D020_T07_C080_G050</x:v>
      </x:c>
      <x:c r="B349" s="2" t="str">
        <x:v>A0008</x:v>
      </x:c>
      <x:c r="C349" s="2" t="str">
        <x:v>圈内</x:v>
      </x:c>
      <x:c r="D349" s="10" t="n">
        <x:v>1</x:v>
      </x:c>
      <x:c r="E349" s="10" t="n">
        <x:v>8</x:v>
      </x:c>
      <x:c r="F349" s="10" t="n">
        <x:v>7</x:v>
      </x:c>
      <x:c r="G349" s="10" t="n">
        <x:v>1</x:v>
      </x:c>
      <x:c r="H349" s="10" t="n">
        <x:f>IF(G349=1,E349-D349,"")</x:f>
        <x:v>7</x:v>
      </x:c>
      <x:c r="I349" s="10" t="n">
        <x:f>MIN(F349,9)</x:f>
        <x:v>7</x:v>
      </x:c>
      <x:c r="J349" s="19" t="n">
        <x:v>0.2</x:v>
      </x:c>
      <x:c r="K349" s="2" t="n">
        <x:v>7</x:v>
      </x:c>
      <x:c r="L349" s="19" t="n">
        <x:v>0.8</x:v>
      </x:c>
      <x:c r="M349" s="19" t="n">
        <x:v>0.5</x:v>
      </x:c>
    </x:row>
    <x:row r="350" ht="23" customHeight="1">
      <x:c r="A350" s="2" t="str">
        <x:v>D020_T07_C080_G050</x:v>
      </x:c>
      <x:c r="B350" s="2" t="str">
        <x:v>A0011</x:v>
      </x:c>
      <x:c r="C350" s="2" t="str">
        <x:v>圈内</x:v>
      </x:c>
      <x:c r="D350" s="10" t="n">
        <x:v>1</x:v>
      </x:c>
      <x:c r="E350" s="10" t="n">
        <x:v>8</x:v>
      </x:c>
      <x:c r="F350" s="10" t="n">
        <x:v>7</x:v>
      </x:c>
      <x:c r="G350" s="10" t="n">
        <x:v>1</x:v>
      </x:c>
      <x:c r="H350" s="10" t="n">
        <x:f>IF(G350=1,E350-D350,"")</x:f>
        <x:v>7</x:v>
      </x:c>
      <x:c r="I350" s="10" t="n">
        <x:f>MIN(F350,9)</x:f>
        <x:v>7</x:v>
      </x:c>
      <x:c r="J350" s="19" t="n">
        <x:v>0.2</x:v>
      </x:c>
      <x:c r="K350" s="2" t="n">
        <x:v>7</x:v>
      </x:c>
      <x:c r="L350" s="19" t="n">
        <x:v>0.8</x:v>
      </x:c>
      <x:c r="M350" s="19" t="n">
        <x:v>0.5</x:v>
      </x:c>
    </x:row>
    <x:row r="351" ht="23" customHeight="1">
      <x:c r="A351" s="2" t="str">
        <x:v>D020_T07_C080_G050</x:v>
      </x:c>
      <x:c r="B351" s="2" t="str">
        <x:v>A0012</x:v>
      </x:c>
      <x:c r="C351" s="2" t="str">
        <x:v>圈内</x:v>
      </x:c>
      <x:c r="D351" s="10" t="n">
        <x:v>1</x:v>
      </x:c>
      <x:c r="E351" s="10"/>
      <x:c r="F351" s="10" t="n">
        <x:v>9</x:v>
      </x:c>
      <x:c r="G351" s="10" t="n">
        <x:v>0</x:v>
      </x:c>
      <x:c r="H351" s="10" t="str">
        <x:f>IF(G351=1,E351-D351,"")</x:f>
      </x:c>
      <x:c r="I351" s="10" t="n">
        <x:f>MIN(F351,9)</x:f>
        <x:v>9</x:v>
      </x:c>
      <x:c r="J351" s="19" t="n">
        <x:v>0.2</x:v>
      </x:c>
      <x:c r="K351" s="2" t="n">
        <x:v>7</x:v>
      </x:c>
      <x:c r="L351" s="19" t="n">
        <x:v>0.8</x:v>
      </x:c>
      <x:c r="M351" s="19" t="n">
        <x:v>0.5</x:v>
      </x:c>
    </x:row>
    <x:row r="352" ht="23" customHeight="1">
      <x:c r="A352" s="2" t="str">
        <x:v>D020_T07_C080_G050</x:v>
      </x:c>
      <x:c r="B352" s="2" t="str">
        <x:v>A0014</x:v>
      </x:c>
      <x:c r="C352" s="2" t="str">
        <x:v>圈内</x:v>
      </x:c>
      <x:c r="D352" s="10" t="n">
        <x:v>1</x:v>
      </x:c>
      <x:c r="E352" s="10" t="n">
        <x:v>7</x:v>
      </x:c>
      <x:c r="F352" s="10" t="n">
        <x:v>6</x:v>
      </x:c>
      <x:c r="G352" s="10" t="n">
        <x:v>1</x:v>
      </x:c>
      <x:c r="H352" s="10" t="n">
        <x:f>IF(G352=1,E352-D352,"")</x:f>
        <x:v>6</x:v>
      </x:c>
      <x:c r="I352" s="10" t="n">
        <x:f>MIN(F352,9)</x:f>
        <x:v>6</x:v>
      </x:c>
      <x:c r="J352" s="19" t="n">
        <x:v>0.2</x:v>
      </x:c>
      <x:c r="K352" s="2" t="n">
        <x:v>7</x:v>
      </x:c>
      <x:c r="L352" s="19" t="n">
        <x:v>0.8</x:v>
      </x:c>
      <x:c r="M352" s="19" t="n">
        <x:v>0.5</x:v>
      </x:c>
    </x:row>
    <x:row r="353" ht="23" customHeight="1">
      <x:c r="A353" s="2" t="str">
        <x:v>D020_T07_C080_G050</x:v>
      </x:c>
      <x:c r="B353" s="2" t="str">
        <x:v>A0015</x:v>
      </x:c>
      <x:c r="C353" s="2" t="str">
        <x:v>圈内</x:v>
      </x:c>
      <x:c r="D353" s="10" t="n">
        <x:v>1</x:v>
      </x:c>
      <x:c r="E353" s="10" t="n">
        <x:v>7</x:v>
      </x:c>
      <x:c r="F353" s="10" t="n">
        <x:v>6</x:v>
      </x:c>
      <x:c r="G353" s="10" t="n">
        <x:v>1</x:v>
      </x:c>
      <x:c r="H353" s="10" t="n">
        <x:f>IF(G353=1,E353-D353,"")</x:f>
        <x:v>6</x:v>
      </x:c>
      <x:c r="I353" s="10" t="n">
        <x:f>MIN(F353,9)</x:f>
        <x:v>6</x:v>
      </x:c>
      <x:c r="J353" s="19" t="n">
        <x:v>0.2</x:v>
      </x:c>
      <x:c r="K353" s="2" t="n">
        <x:v>7</x:v>
      </x:c>
      <x:c r="L353" s="19" t="n">
        <x:v>0.8</x:v>
      </x:c>
      <x:c r="M353" s="19" t="n">
        <x:v>0.5</x:v>
      </x:c>
    </x:row>
    <x:row r="354" ht="23" customHeight="1">
      <x:c r="A354" s="2" t="str">
        <x:v>D020_T07_C080_G050</x:v>
      </x:c>
      <x:c r="B354" s="2" t="str">
        <x:v>A0017</x:v>
      </x:c>
      <x:c r="C354" s="2" t="str">
        <x:v>圈内</x:v>
      </x:c>
      <x:c r="D354" s="10" t="n">
        <x:v>1</x:v>
      </x:c>
      <x:c r="E354" s="10" t="n">
        <x:v>10</x:v>
      </x:c>
      <x:c r="F354" s="10" t="n">
        <x:v>9</x:v>
      </x:c>
      <x:c r="G354" s="10" t="n">
        <x:v>1</x:v>
      </x:c>
      <x:c r="H354" s="10" t="n">
        <x:f>IF(G354=1,E354-D354,"")</x:f>
        <x:v>9</x:v>
      </x:c>
      <x:c r="I354" s="10" t="n">
        <x:f>MIN(F354,9)</x:f>
        <x:v>9</x:v>
      </x:c>
      <x:c r="J354" s="19" t="n">
        <x:v>0.2</x:v>
      </x:c>
      <x:c r="K354" s="2" t="n">
        <x:v>7</x:v>
      </x:c>
      <x:c r="L354" s="19" t="n">
        <x:v>0.8</x:v>
      </x:c>
      <x:c r="M354" s="19" t="n">
        <x:v>0.5</x:v>
      </x:c>
    </x:row>
    <x:row r="355" ht="23" customHeight="1">
      <x:c r="A355" s="2" t="str">
        <x:v>D020_T07_C080_G050</x:v>
      </x:c>
      <x:c r="B355" s="2" t="str">
        <x:v>A0018</x:v>
      </x:c>
      <x:c r="C355" s="2" t="str">
        <x:v>圈内</x:v>
      </x:c>
      <x:c r="D355" s="10" t="n">
        <x:v>1</x:v>
      </x:c>
      <x:c r="E355" s="10" t="n">
        <x:v>7</x:v>
      </x:c>
      <x:c r="F355" s="10" t="n">
        <x:v>6</x:v>
      </x:c>
      <x:c r="G355" s="10" t="n">
        <x:v>1</x:v>
      </x:c>
      <x:c r="H355" s="10" t="n">
        <x:f>IF(G355=1,E355-D355,"")</x:f>
        <x:v>6</x:v>
      </x:c>
      <x:c r="I355" s="10" t="n">
        <x:f>MIN(F355,9)</x:f>
        <x:v>6</x:v>
      </x:c>
      <x:c r="J355" s="19" t="n">
        <x:v>0.2</x:v>
      </x:c>
      <x:c r="K355" s="2" t="n">
        <x:v>7</x:v>
      </x:c>
      <x:c r="L355" s="19" t="n">
        <x:v>0.8</x:v>
      </x:c>
      <x:c r="M355" s="19" t="n">
        <x:v>0.5</x:v>
      </x:c>
    </x:row>
    <x:row r="356" ht="23" customHeight="1">
      <x:c r="A356" s="2" t="str">
        <x:v>D020_T07_C080_G050</x:v>
      </x:c>
      <x:c r="B356" s="2" t="str">
        <x:v>A0019</x:v>
      </x:c>
      <x:c r="C356" s="2" t="str">
        <x:v>圈内</x:v>
      </x:c>
      <x:c r="D356" s="10" t="n">
        <x:v>1</x:v>
      </x:c>
      <x:c r="E356" s="10" t="n">
        <x:v>7</x:v>
      </x:c>
      <x:c r="F356" s="10" t="n">
        <x:v>6</x:v>
      </x:c>
      <x:c r="G356" s="10" t="n">
        <x:v>1</x:v>
      </x:c>
      <x:c r="H356" s="10" t="n">
        <x:f>IF(G356=1,E356-D356,"")</x:f>
        <x:v>6</x:v>
      </x:c>
      <x:c r="I356" s="10" t="n">
        <x:f>MIN(F356,9)</x:f>
        <x:v>6</x:v>
      </x:c>
      <x:c r="J356" s="19" t="n">
        <x:v>0.2</x:v>
      </x:c>
      <x:c r="K356" s="2" t="n">
        <x:v>7</x:v>
      </x:c>
      <x:c r="L356" s="19" t="n">
        <x:v>0.8</x:v>
      </x:c>
      <x:c r="M356" s="19" t="n">
        <x:v>0.5</x:v>
      </x:c>
    </x:row>
    <x:row r="357" ht="23" customHeight="1">
      <x:c r="A357" s="2" t="str">
        <x:v>D020_T07_C080_G050</x:v>
      </x:c>
      <x:c r="B357" s="2" t="str">
        <x:v>A0025</x:v>
      </x:c>
      <x:c r="C357" s="2" t="str">
        <x:v>圈内</x:v>
      </x:c>
      <x:c r="D357" s="10" t="n">
        <x:v>1</x:v>
      </x:c>
      <x:c r="E357" s="10" t="n">
        <x:v>7</x:v>
      </x:c>
      <x:c r="F357" s="10" t="n">
        <x:v>6</x:v>
      </x:c>
      <x:c r="G357" s="10" t="n">
        <x:v>1</x:v>
      </x:c>
      <x:c r="H357" s="10" t="n">
        <x:f>IF(G357=1,E357-D357,"")</x:f>
        <x:v>6</x:v>
      </x:c>
      <x:c r="I357" s="10" t="n">
        <x:f>MIN(F357,9)</x:f>
        <x:v>6</x:v>
      </x:c>
      <x:c r="J357" s="19" t="n">
        <x:v>0.2</x:v>
      </x:c>
      <x:c r="K357" s="2" t="n">
        <x:v>7</x:v>
      </x:c>
      <x:c r="L357" s="19" t="n">
        <x:v>0.8</x:v>
      </x:c>
      <x:c r="M357" s="19" t="n">
        <x:v>0.5</x:v>
      </x:c>
    </x:row>
    <x:row r="358" ht="23" customHeight="1">
      <x:c r="A358" s="2" t="str">
        <x:v>D020_T07_C080_G050</x:v>
      </x:c>
      <x:c r="B358" s="2" t="str">
        <x:v>A0027</x:v>
      </x:c>
      <x:c r="C358" s="2" t="str">
        <x:v>圈内</x:v>
      </x:c>
      <x:c r="D358" s="10" t="n">
        <x:v>1</x:v>
      </x:c>
      <x:c r="E358" s="10" t="n">
        <x:v>8</x:v>
      </x:c>
      <x:c r="F358" s="10" t="n">
        <x:v>7</x:v>
      </x:c>
      <x:c r="G358" s="10" t="n">
        <x:v>1</x:v>
      </x:c>
      <x:c r="H358" s="10" t="n">
        <x:f>IF(G358=1,E358-D358,"")</x:f>
        <x:v>7</x:v>
      </x:c>
      <x:c r="I358" s="10" t="n">
        <x:f>MIN(F358,9)</x:f>
        <x:v>7</x:v>
      </x:c>
      <x:c r="J358" s="19" t="n">
        <x:v>0.2</x:v>
      </x:c>
      <x:c r="K358" s="2" t="n">
        <x:v>7</x:v>
      </x:c>
      <x:c r="L358" s="19" t="n">
        <x:v>0.8</x:v>
      </x:c>
      <x:c r="M358" s="19" t="n">
        <x:v>0.5</x:v>
      </x:c>
    </x:row>
    <x:row r="359" ht="23" customHeight="1">
      <x:c r="A359" s="2" t="str">
        <x:v>D020_T07_C080_G050</x:v>
      </x:c>
      <x:c r="B359" s="2" t="str">
        <x:v>A0030</x:v>
      </x:c>
      <x:c r="C359" s="2" t="str">
        <x:v>圈内</x:v>
      </x:c>
      <x:c r="D359" s="10" t="n">
        <x:v>1</x:v>
      </x:c>
      <x:c r="E359" s="10" t="n">
        <x:v>7</x:v>
      </x:c>
      <x:c r="F359" s="10" t="n">
        <x:v>6</x:v>
      </x:c>
      <x:c r="G359" s="10" t="n">
        <x:v>1</x:v>
      </x:c>
      <x:c r="H359" s="10" t="n">
        <x:f>IF(G359=1,E359-D359,"")</x:f>
        <x:v>6</x:v>
      </x:c>
      <x:c r="I359" s="10" t="n">
        <x:f>MIN(F359,9)</x:f>
        <x:v>6</x:v>
      </x:c>
      <x:c r="J359" s="19" t="n">
        <x:v>0.2</x:v>
      </x:c>
      <x:c r="K359" s="2" t="n">
        <x:v>7</x:v>
      </x:c>
      <x:c r="L359" s="19" t="n">
        <x:v>0.8</x:v>
      </x:c>
      <x:c r="M359" s="19" t="n">
        <x:v>0.5</x:v>
      </x:c>
    </x:row>
    <x:row r="360" ht="23" customHeight="1">
      <x:c r="A360" s="2" t="str">
        <x:v>D020_T07_C080_G050</x:v>
      </x:c>
      <x:c r="B360" s="2" t="str">
        <x:v>A0033</x:v>
      </x:c>
      <x:c r="C360" s="2" t="str">
        <x:v>圈内</x:v>
      </x:c>
      <x:c r="D360" s="10" t="n">
        <x:v>1</x:v>
      </x:c>
      <x:c r="E360" s="10" t="n">
        <x:v>7</x:v>
      </x:c>
      <x:c r="F360" s="10" t="n">
        <x:v>6</x:v>
      </x:c>
      <x:c r="G360" s="10" t="n">
        <x:v>1</x:v>
      </x:c>
      <x:c r="H360" s="10" t="n">
        <x:f>IF(G360=1,E360-D360,"")</x:f>
        <x:v>6</x:v>
      </x:c>
      <x:c r="I360" s="10" t="n">
        <x:f>MIN(F360,9)</x:f>
        <x:v>6</x:v>
      </x:c>
      <x:c r="J360" s="19" t="n">
        <x:v>0.2</x:v>
      </x:c>
      <x:c r="K360" s="2" t="n">
        <x:v>7</x:v>
      </x:c>
      <x:c r="L360" s="19" t="n">
        <x:v>0.8</x:v>
      </x:c>
      <x:c r="M360" s="19" t="n">
        <x:v>0.5</x:v>
      </x:c>
    </x:row>
    <x:row r="361" ht="23" customHeight="1">
      <x:c r="A361" s="2" t="str">
        <x:v>D020_T07_C080_G050</x:v>
      </x:c>
      <x:c r="B361" s="2" t="str">
        <x:v>A0036</x:v>
      </x:c>
      <x:c r="C361" s="2" t="str">
        <x:v>圈内</x:v>
      </x:c>
      <x:c r="D361" s="10" t="n">
        <x:v>1</x:v>
      </x:c>
      <x:c r="E361" s="10" t="n">
        <x:v>8</x:v>
      </x:c>
      <x:c r="F361" s="10" t="n">
        <x:v>7</x:v>
      </x:c>
      <x:c r="G361" s="10" t="n">
        <x:v>1</x:v>
      </x:c>
      <x:c r="H361" s="10" t="n">
        <x:f>IF(G361=1,E361-D361,"")</x:f>
        <x:v>7</x:v>
      </x:c>
      <x:c r="I361" s="10" t="n">
        <x:f>MIN(F361,9)</x:f>
        <x:v>7</x:v>
      </x:c>
      <x:c r="J361" s="19" t="n">
        <x:v>0.2</x:v>
      </x:c>
      <x:c r="K361" s="2" t="n">
        <x:v>7</x:v>
      </x:c>
      <x:c r="L361" s="19" t="n">
        <x:v>0.8</x:v>
      </x:c>
      <x:c r="M361" s="19" t="n">
        <x:v>0.5</x:v>
      </x:c>
    </x:row>
    <x:row r="362" ht="23" customHeight="1">
      <x:c r="A362" s="2" t="str">
        <x:v>D020_T07_C080_G050</x:v>
      </x:c>
      <x:c r="B362" s="2" t="str">
        <x:v>A0037</x:v>
      </x:c>
      <x:c r="C362" s="2" t="str">
        <x:v>圈内</x:v>
      </x:c>
      <x:c r="D362" s="10" t="n">
        <x:v>1</x:v>
      </x:c>
      <x:c r="E362" s="10" t="n">
        <x:v>7</x:v>
      </x:c>
      <x:c r="F362" s="10" t="n">
        <x:v>6</x:v>
      </x:c>
      <x:c r="G362" s="10" t="n">
        <x:v>1</x:v>
      </x:c>
      <x:c r="H362" s="10" t="n">
        <x:f>IF(G362=1,E362-D362,"")</x:f>
        <x:v>6</x:v>
      </x:c>
      <x:c r="I362" s="10" t="n">
        <x:f>MIN(F362,9)</x:f>
        <x:v>6</x:v>
      </x:c>
      <x:c r="J362" s="19" t="n">
        <x:v>0.2</x:v>
      </x:c>
      <x:c r="K362" s="2" t="n">
        <x:v>7</x:v>
      </x:c>
      <x:c r="L362" s="19" t="n">
        <x:v>0.8</x:v>
      </x:c>
      <x:c r="M362" s="19" t="n">
        <x:v>0.5</x:v>
      </x:c>
    </x:row>
    <x:row r="363" ht="23" customHeight="1">
      <x:c r="A363" s="2" t="str">
        <x:v>D020_T07_C080_G050</x:v>
      </x:c>
      <x:c r="B363" s="2" t="str">
        <x:v>A0040</x:v>
      </x:c>
      <x:c r="C363" s="2" t="str">
        <x:v>圈内</x:v>
      </x:c>
      <x:c r="D363" s="10" t="n">
        <x:v>1</x:v>
      </x:c>
      <x:c r="E363" s="10" t="n">
        <x:v>8</x:v>
      </x:c>
      <x:c r="F363" s="10" t="n">
        <x:v>7</x:v>
      </x:c>
      <x:c r="G363" s="10" t="n">
        <x:v>1</x:v>
      </x:c>
      <x:c r="H363" s="10" t="n">
        <x:f>IF(G363=1,E363-D363,"")</x:f>
        <x:v>7</x:v>
      </x:c>
      <x:c r="I363" s="10" t="n">
        <x:f>MIN(F363,9)</x:f>
        <x:v>7</x:v>
      </x:c>
      <x:c r="J363" s="19" t="n">
        <x:v>0.2</x:v>
      </x:c>
      <x:c r="K363" s="2" t="n">
        <x:v>7</x:v>
      </x:c>
      <x:c r="L363" s="19" t="n">
        <x:v>0.8</x:v>
      </x:c>
      <x:c r="M363" s="19" t="n">
        <x:v>0.5</x:v>
      </x:c>
    </x:row>
    <x:row r="364" ht="23" customHeight="1">
      <x:c r="A364" s="2" t="str">
        <x:v>D020_T07_C080_G050</x:v>
      </x:c>
      <x:c r="B364" s="2" t="str">
        <x:v>A0041</x:v>
      </x:c>
      <x:c r="C364" s="2" t="str">
        <x:v>圈内</x:v>
      </x:c>
      <x:c r="D364" s="10" t="n">
        <x:v>1</x:v>
      </x:c>
      <x:c r="E364" s="10" t="n">
        <x:v>7</x:v>
      </x:c>
      <x:c r="F364" s="10" t="n">
        <x:v>6</x:v>
      </x:c>
      <x:c r="G364" s="10" t="n">
        <x:v>1</x:v>
      </x:c>
      <x:c r="H364" s="10" t="n">
        <x:f>IF(G364=1,E364-D364,"")</x:f>
        <x:v>6</x:v>
      </x:c>
      <x:c r="I364" s="10" t="n">
        <x:f>MIN(F364,9)</x:f>
        <x:v>6</x:v>
      </x:c>
      <x:c r="J364" s="19" t="n">
        <x:v>0.2</x:v>
      </x:c>
      <x:c r="K364" s="2" t="n">
        <x:v>7</x:v>
      </x:c>
      <x:c r="L364" s="19" t="n">
        <x:v>0.8</x:v>
      </x:c>
      <x:c r="M364" s="19" t="n">
        <x:v>0.5</x:v>
      </x:c>
    </x:row>
    <x:row r="365" ht="23" customHeight="1">
      <x:c r="A365" s="2" t="str">
        <x:v>D020_T07_C080_G050</x:v>
      </x:c>
      <x:c r="B365" s="2" t="str">
        <x:v>A0071</x:v>
      </x:c>
      <x:c r="C365" s="2" t="str">
        <x:v>圈内</x:v>
      </x:c>
      <x:c r="D365" s="10" t="n">
        <x:v>1</x:v>
      </x:c>
      <x:c r="E365" s="10" t="n">
        <x:v>8</x:v>
      </x:c>
      <x:c r="F365" s="10" t="n">
        <x:v>7</x:v>
      </x:c>
      <x:c r="G365" s="10" t="n">
        <x:v>1</x:v>
      </x:c>
      <x:c r="H365" s="10" t="n">
        <x:f>IF(G365=1,E365-D365,"")</x:f>
        <x:v>7</x:v>
      </x:c>
      <x:c r="I365" s="10" t="n">
        <x:f>MIN(F365,9)</x:f>
        <x:v>7</x:v>
      </x:c>
      <x:c r="J365" s="19" t="n">
        <x:v>0.2</x:v>
      </x:c>
      <x:c r="K365" s="2" t="n">
        <x:v>7</x:v>
      </x:c>
      <x:c r="L365" s="19" t="n">
        <x:v>0.8</x:v>
      </x:c>
      <x:c r="M365" s="19" t="n">
        <x:v>0.5</x:v>
      </x:c>
    </x:row>
    <x:row r="366" ht="23" customHeight="1">
      <x:c r="A366" s="2" t="str">
        <x:v>D020_T07_C080_G050</x:v>
      </x:c>
      <x:c r="B366" s="2" t="str">
        <x:v>A0206</x:v>
      </x:c>
      <x:c r="C366" s="2" t="str">
        <x:v>圈内</x:v>
      </x:c>
      <x:c r="D366" s="10" t="n">
        <x:v>1</x:v>
      </x:c>
      <x:c r="E366" s="10" t="n">
        <x:v>7</x:v>
      </x:c>
      <x:c r="F366" s="10" t="n">
        <x:v>6</x:v>
      </x:c>
      <x:c r="G366" s="10" t="n">
        <x:v>1</x:v>
      </x:c>
      <x:c r="H366" s="10" t="n">
        <x:f>IF(G366=1,E366-D366,"")</x:f>
        <x:v>6</x:v>
      </x:c>
      <x:c r="I366" s="10" t="n">
        <x:f>MIN(F366,9)</x:f>
        <x:v>6</x:v>
      </x:c>
      <x:c r="J366" s="19" t="n">
        <x:v>0.2</x:v>
      </x:c>
      <x:c r="K366" s="2" t="n">
        <x:v>7</x:v>
      </x:c>
      <x:c r="L366" s="19" t="n">
        <x:v>0.8</x:v>
      </x:c>
      <x:c r="M366" s="19" t="n">
        <x:v>0.5</x:v>
      </x:c>
    </x:row>
    <x:row r="367" ht="23" customHeight="1">
      <x:c r="A367" s="2" t="str">
        <x:v>D020_T07_C080_G075</x:v>
      </x:c>
      <x:c r="B367" s="2" t="str">
        <x:v>A0006</x:v>
      </x:c>
      <x:c r="C367" s="2" t="str">
        <x:v>圈内</x:v>
      </x:c>
      <x:c r="D367" s="10" t="n">
        <x:v>1</x:v>
      </x:c>
      <x:c r="E367" s="10" t="n">
        <x:v>8</x:v>
      </x:c>
      <x:c r="F367" s="10" t="n">
        <x:v>7</x:v>
      </x:c>
      <x:c r="G367" s="10" t="n">
        <x:v>1</x:v>
      </x:c>
      <x:c r="H367" s="10" t="n">
        <x:f>IF(G367=1,E367-D367,"")</x:f>
        <x:v>7</x:v>
      </x:c>
      <x:c r="I367" s="10" t="n">
        <x:f>MIN(F367,9)</x:f>
        <x:v>7</x:v>
      </x:c>
      <x:c r="J367" s="19" t="n">
        <x:v>0.2</x:v>
      </x:c>
      <x:c r="K367" s="2" t="n">
        <x:v>7</x:v>
      </x:c>
      <x:c r="L367" s="19" t="n">
        <x:v>0.8</x:v>
      </x:c>
      <x:c r="M367" s="19" t="n">
        <x:v>0.75</x:v>
      </x:c>
    </x:row>
    <x:row r="368" ht="23" customHeight="1">
      <x:c r="A368" s="2" t="str">
        <x:v>D020_T07_C080_G075</x:v>
      </x:c>
      <x:c r="B368" s="2" t="str">
        <x:v>A0011</x:v>
      </x:c>
      <x:c r="C368" s="2" t="str">
        <x:v>圈内</x:v>
      </x:c>
      <x:c r="D368" s="10" t="n">
        <x:v>1</x:v>
      </x:c>
      <x:c r="E368" s="10" t="n">
        <x:v>8</x:v>
      </x:c>
      <x:c r="F368" s="10" t="n">
        <x:v>7</x:v>
      </x:c>
      <x:c r="G368" s="10" t="n">
        <x:v>1</x:v>
      </x:c>
      <x:c r="H368" s="10" t="n">
        <x:f>IF(G368=1,E368-D368,"")</x:f>
        <x:v>7</x:v>
      </x:c>
      <x:c r="I368" s="10" t="n">
        <x:f>MIN(F368,9)</x:f>
        <x:v>7</x:v>
      </x:c>
      <x:c r="J368" s="19" t="n">
        <x:v>0.2</x:v>
      </x:c>
      <x:c r="K368" s="2" t="n">
        <x:v>7</x:v>
      </x:c>
      <x:c r="L368" s="19" t="n">
        <x:v>0.8</x:v>
      </x:c>
      <x:c r="M368" s="19" t="n">
        <x:v>0.75</x:v>
      </x:c>
    </x:row>
    <x:row r="369" ht="23" customHeight="1">
      <x:c r="A369" s="2" t="str">
        <x:v>D020_T07_C080_G075</x:v>
      </x:c>
      <x:c r="B369" s="2" t="str">
        <x:v>A0012</x:v>
      </x:c>
      <x:c r="C369" s="2" t="str">
        <x:v>圈内</x:v>
      </x:c>
      <x:c r="D369" s="10" t="n">
        <x:v>1</x:v>
      </x:c>
      <x:c r="E369" s="10" t="n">
        <x:v>7</x:v>
      </x:c>
      <x:c r="F369" s="10" t="n">
        <x:v>6</x:v>
      </x:c>
      <x:c r="G369" s="10" t="n">
        <x:v>1</x:v>
      </x:c>
      <x:c r="H369" s="10" t="n">
        <x:f>IF(G369=1,E369-D369,"")</x:f>
        <x:v>6</x:v>
      </x:c>
      <x:c r="I369" s="10" t="n">
        <x:f>MIN(F369,9)</x:f>
        <x:v>6</x:v>
      </x:c>
      <x:c r="J369" s="19" t="n">
        <x:v>0.2</x:v>
      </x:c>
      <x:c r="K369" s="2" t="n">
        <x:v>7</x:v>
      </x:c>
      <x:c r="L369" s="19" t="n">
        <x:v>0.8</x:v>
      </x:c>
      <x:c r="M369" s="19" t="n">
        <x:v>0.75</x:v>
      </x:c>
    </x:row>
    <x:row r="370" ht="23" customHeight="1">
      <x:c r="A370" s="2" t="str">
        <x:v>D020_T07_C080_G075</x:v>
      </x:c>
      <x:c r="B370" s="2" t="str">
        <x:v>A0017</x:v>
      </x:c>
      <x:c r="C370" s="2" t="str">
        <x:v>圈内</x:v>
      </x:c>
      <x:c r="D370" s="10" t="n">
        <x:v>1</x:v>
      </x:c>
      <x:c r="E370" s="10" t="n">
        <x:v>8</x:v>
      </x:c>
      <x:c r="F370" s="10" t="n">
        <x:v>7</x:v>
      </x:c>
      <x:c r="G370" s="10" t="n">
        <x:v>1</x:v>
      </x:c>
      <x:c r="H370" s="10" t="n">
        <x:f>IF(G370=1,E370-D370,"")</x:f>
        <x:v>7</x:v>
      </x:c>
      <x:c r="I370" s="10" t="n">
        <x:f>MIN(F370,9)</x:f>
        <x:v>7</x:v>
      </x:c>
      <x:c r="J370" s="19" t="n">
        <x:v>0.2</x:v>
      </x:c>
      <x:c r="K370" s="2" t="n">
        <x:v>7</x:v>
      </x:c>
      <x:c r="L370" s="19" t="n">
        <x:v>0.8</x:v>
      </x:c>
      <x:c r="M370" s="19" t="n">
        <x:v>0.75</x:v>
      </x:c>
    </x:row>
    <x:row r="371" ht="23" customHeight="1">
      <x:c r="A371" s="2" t="str">
        <x:v>D020_T07_C080_G075</x:v>
      </x:c>
      <x:c r="B371" s="2" t="str">
        <x:v>A0018</x:v>
      </x:c>
      <x:c r="C371" s="2" t="str">
        <x:v>圈内</x:v>
      </x:c>
      <x:c r="D371" s="10" t="n">
        <x:v>1</x:v>
      </x:c>
      <x:c r="E371" s="10" t="n">
        <x:v>7</x:v>
      </x:c>
      <x:c r="F371" s="10" t="n">
        <x:v>6</x:v>
      </x:c>
      <x:c r="G371" s="10" t="n">
        <x:v>1</x:v>
      </x:c>
      <x:c r="H371" s="10" t="n">
        <x:f>IF(G371=1,E371-D371,"")</x:f>
        <x:v>6</x:v>
      </x:c>
      <x:c r="I371" s="10" t="n">
        <x:f>MIN(F371,9)</x:f>
        <x:v>6</x:v>
      </x:c>
      <x:c r="J371" s="19" t="n">
        <x:v>0.2</x:v>
      </x:c>
      <x:c r="K371" s="2" t="n">
        <x:v>7</x:v>
      </x:c>
      <x:c r="L371" s="19" t="n">
        <x:v>0.8</x:v>
      </x:c>
      <x:c r="M371" s="19" t="n">
        <x:v>0.75</x:v>
      </x:c>
    </x:row>
    <x:row r="372" ht="23" customHeight="1">
      <x:c r="A372" s="2" t="str">
        <x:v>D020_T07_C080_G075</x:v>
      </x:c>
      <x:c r="B372" s="2" t="str">
        <x:v>A0024</x:v>
      </x:c>
      <x:c r="C372" s="2" t="str">
        <x:v>圈内</x:v>
      </x:c>
      <x:c r="D372" s="10" t="n">
        <x:v>1</x:v>
      </x:c>
      <x:c r="E372" s="10" t="n">
        <x:v>7</x:v>
      </x:c>
      <x:c r="F372" s="10" t="n">
        <x:v>6</x:v>
      </x:c>
      <x:c r="G372" s="10" t="n">
        <x:v>1</x:v>
      </x:c>
      <x:c r="H372" s="10" t="n">
        <x:f>IF(G372=1,E372-D372,"")</x:f>
        <x:v>6</x:v>
      </x:c>
      <x:c r="I372" s="10" t="n">
        <x:f>MIN(F372,9)</x:f>
        <x:v>6</x:v>
      </x:c>
      <x:c r="J372" s="19" t="n">
        <x:v>0.2</x:v>
      </x:c>
      <x:c r="K372" s="2" t="n">
        <x:v>7</x:v>
      </x:c>
      <x:c r="L372" s="19" t="n">
        <x:v>0.8</x:v>
      </x:c>
      <x:c r="M372" s="19" t="n">
        <x:v>0.75</x:v>
      </x:c>
    </x:row>
    <x:row r="373" ht="23" customHeight="1">
      <x:c r="A373" s="2" t="str">
        <x:v>D020_T07_C080_G075</x:v>
      </x:c>
      <x:c r="B373" s="2" t="str">
        <x:v>A0027</x:v>
      </x:c>
      <x:c r="C373" s="2" t="str">
        <x:v>圈内</x:v>
      </x:c>
      <x:c r="D373" s="10" t="n">
        <x:v>1</x:v>
      </x:c>
      <x:c r="E373" s="10" t="n">
        <x:v>9</x:v>
      </x:c>
      <x:c r="F373" s="10" t="n">
        <x:v>8</x:v>
      </x:c>
      <x:c r="G373" s="10" t="n">
        <x:v>1</x:v>
      </x:c>
      <x:c r="H373" s="10" t="n">
        <x:f>IF(G373=1,E373-D373,"")</x:f>
        <x:v>8</x:v>
      </x:c>
      <x:c r="I373" s="10" t="n">
        <x:f>MIN(F373,9)</x:f>
        <x:v>8</x:v>
      </x:c>
      <x:c r="J373" s="19" t="n">
        <x:v>0.2</x:v>
      </x:c>
      <x:c r="K373" s="2" t="n">
        <x:v>7</x:v>
      </x:c>
      <x:c r="L373" s="19" t="n">
        <x:v>0.8</x:v>
      </x:c>
      <x:c r="M373" s="19" t="n">
        <x:v>0.75</x:v>
      </x:c>
    </x:row>
    <x:row r="374" ht="23" customHeight="1">
      <x:c r="A374" s="2" t="str">
        <x:v>D020_T07_C080_G075</x:v>
      </x:c>
      <x:c r="B374" s="2" t="str">
        <x:v>A0032</x:v>
      </x:c>
      <x:c r="C374" s="2" t="str">
        <x:v>圈内</x:v>
      </x:c>
      <x:c r="D374" s="10" t="n">
        <x:v>1</x:v>
      </x:c>
      <x:c r="E374" s="10" t="n">
        <x:v>9</x:v>
      </x:c>
      <x:c r="F374" s="10" t="n">
        <x:v>8</x:v>
      </x:c>
      <x:c r="G374" s="10" t="n">
        <x:v>1</x:v>
      </x:c>
      <x:c r="H374" s="10" t="n">
        <x:f>IF(G374=1,E374-D374,"")</x:f>
        <x:v>8</x:v>
      </x:c>
      <x:c r="I374" s="10" t="n">
        <x:f>MIN(F374,9)</x:f>
        <x:v>8</x:v>
      </x:c>
      <x:c r="J374" s="19" t="n">
        <x:v>0.2</x:v>
      </x:c>
      <x:c r="K374" s="2" t="n">
        <x:v>7</x:v>
      </x:c>
      <x:c r="L374" s="19" t="n">
        <x:v>0.8</x:v>
      </x:c>
      <x:c r="M374" s="19" t="n">
        <x:v>0.75</x:v>
      </x:c>
    </x:row>
    <x:row r="375" ht="23" customHeight="1">
      <x:c r="A375" s="2" t="str">
        <x:v>D020_T07_C080_G075</x:v>
      </x:c>
      <x:c r="B375" s="2" t="str">
        <x:v>A0033</x:v>
      </x:c>
      <x:c r="C375" s="2" t="str">
        <x:v>圈内</x:v>
      </x:c>
      <x:c r="D375" s="10" t="n">
        <x:v>1</x:v>
      </x:c>
      <x:c r="E375" s="10" t="n">
        <x:v>7</x:v>
      </x:c>
      <x:c r="F375" s="10" t="n">
        <x:v>6</x:v>
      </x:c>
      <x:c r="G375" s="10" t="n">
        <x:v>1</x:v>
      </x:c>
      <x:c r="H375" s="10" t="n">
        <x:f>IF(G375=1,E375-D375,"")</x:f>
        <x:v>6</x:v>
      </x:c>
      <x:c r="I375" s="10" t="n">
        <x:f>MIN(F375,9)</x:f>
        <x:v>6</x:v>
      </x:c>
      <x:c r="J375" s="19" t="n">
        <x:v>0.2</x:v>
      </x:c>
      <x:c r="K375" s="2" t="n">
        <x:v>7</x:v>
      </x:c>
      <x:c r="L375" s="19" t="n">
        <x:v>0.8</x:v>
      </x:c>
      <x:c r="M375" s="19" t="n">
        <x:v>0.75</x:v>
      </x:c>
    </x:row>
    <x:row r="376" ht="23" customHeight="1">
      <x:c r="A376" s="2" t="str">
        <x:v>D020_T07_C080_G075</x:v>
      </x:c>
      <x:c r="B376" s="2" t="str">
        <x:v>A0035</x:v>
      </x:c>
      <x:c r="C376" s="2" t="str">
        <x:v>圈内</x:v>
      </x:c>
      <x:c r="D376" s="10" t="n">
        <x:v>1</x:v>
      </x:c>
      <x:c r="E376" s="10" t="n">
        <x:v>7</x:v>
      </x:c>
      <x:c r="F376" s="10" t="n">
        <x:v>6</x:v>
      </x:c>
      <x:c r="G376" s="10" t="n">
        <x:v>1</x:v>
      </x:c>
      <x:c r="H376" s="10" t="n">
        <x:f>IF(G376=1,E376-D376,"")</x:f>
        <x:v>6</x:v>
      </x:c>
      <x:c r="I376" s="10" t="n">
        <x:f>MIN(F376,9)</x:f>
        <x:v>6</x:v>
      </x:c>
      <x:c r="J376" s="19" t="n">
        <x:v>0.2</x:v>
      </x:c>
      <x:c r="K376" s="2" t="n">
        <x:v>7</x:v>
      </x:c>
      <x:c r="L376" s="19" t="n">
        <x:v>0.8</x:v>
      </x:c>
      <x:c r="M376" s="19" t="n">
        <x:v>0.75</x:v>
      </x:c>
    </x:row>
    <x:row r="377" ht="23" customHeight="1">
      <x:c r="A377" s="2" t="str">
        <x:v>D020_T07_C080_G075</x:v>
      </x:c>
      <x:c r="B377" s="2" t="str">
        <x:v>A0036</x:v>
      </x:c>
      <x:c r="C377" s="2" t="str">
        <x:v>圈内</x:v>
      </x:c>
      <x:c r="D377" s="10" t="n">
        <x:v>1</x:v>
      </x:c>
      <x:c r="E377" s="10" t="n">
        <x:v>7</x:v>
      </x:c>
      <x:c r="F377" s="10" t="n">
        <x:v>6</x:v>
      </x:c>
      <x:c r="G377" s="10" t="n">
        <x:v>1</x:v>
      </x:c>
      <x:c r="H377" s="10" t="n">
        <x:f>IF(G377=1,E377-D377,"")</x:f>
        <x:v>6</x:v>
      </x:c>
      <x:c r="I377" s="10" t="n">
        <x:f>MIN(F377,9)</x:f>
        <x:v>6</x:v>
      </x:c>
      <x:c r="J377" s="19" t="n">
        <x:v>0.2</x:v>
      </x:c>
      <x:c r="K377" s="2" t="n">
        <x:v>7</x:v>
      </x:c>
      <x:c r="L377" s="19" t="n">
        <x:v>0.8</x:v>
      </x:c>
      <x:c r="M377" s="19" t="n">
        <x:v>0.75</x:v>
      </x:c>
    </x:row>
    <x:row r="378" ht="23" customHeight="1">
      <x:c r="A378" s="2" t="str">
        <x:v>D020_T07_C080_G075</x:v>
      </x:c>
      <x:c r="B378" s="2" t="str">
        <x:v>A0040</x:v>
      </x:c>
      <x:c r="C378" s="2" t="str">
        <x:v>圈内</x:v>
      </x:c>
      <x:c r="D378" s="10" t="n">
        <x:v>1</x:v>
      </x:c>
      <x:c r="E378" s="10" t="n">
        <x:v>7</x:v>
      </x:c>
      <x:c r="F378" s="10" t="n">
        <x:v>6</x:v>
      </x:c>
      <x:c r="G378" s="10" t="n">
        <x:v>1</x:v>
      </x:c>
      <x:c r="H378" s="10" t="n">
        <x:f>IF(G378=1,E378-D378,"")</x:f>
        <x:v>6</x:v>
      </x:c>
      <x:c r="I378" s="10" t="n">
        <x:f>MIN(F378,9)</x:f>
        <x:v>6</x:v>
      </x:c>
      <x:c r="J378" s="19" t="n">
        <x:v>0.2</x:v>
      </x:c>
      <x:c r="K378" s="2" t="n">
        <x:v>7</x:v>
      </x:c>
      <x:c r="L378" s="19" t="n">
        <x:v>0.8</x:v>
      </x:c>
      <x:c r="M378" s="19" t="n">
        <x:v>0.75</x:v>
      </x:c>
    </x:row>
    <x:row r="379" ht="23" customHeight="1">
      <x:c r="A379" s="2" t="str">
        <x:v>D020_T07_C080_G075</x:v>
      </x:c>
      <x:c r="B379" s="2" t="str">
        <x:v>A0041</x:v>
      </x:c>
      <x:c r="C379" s="2" t="str">
        <x:v>圈内</x:v>
      </x:c>
      <x:c r="D379" s="10" t="n">
        <x:v>1</x:v>
      </x:c>
      <x:c r="E379" s="10" t="n">
        <x:v>7</x:v>
      </x:c>
      <x:c r="F379" s="10" t="n">
        <x:v>6</x:v>
      </x:c>
      <x:c r="G379" s="10" t="n">
        <x:v>1</x:v>
      </x:c>
      <x:c r="H379" s="10" t="n">
        <x:f>IF(G379=1,E379-D379,"")</x:f>
        <x:v>6</x:v>
      </x:c>
      <x:c r="I379" s="10" t="n">
        <x:f>MIN(F379,9)</x:f>
        <x:v>6</x:v>
      </x:c>
      <x:c r="J379" s="19" t="n">
        <x:v>0.2</x:v>
      </x:c>
      <x:c r="K379" s="2" t="n">
        <x:v>7</x:v>
      </x:c>
      <x:c r="L379" s="19" t="n">
        <x:v>0.8</x:v>
      </x:c>
      <x:c r="M379" s="19" t="n">
        <x:v>0.75</x:v>
      </x:c>
    </x:row>
    <x:row r="380" ht="23" customHeight="1">
      <x:c r="A380" s="2" t="str">
        <x:v>D020_T07_C080_G075</x:v>
      </x:c>
      <x:c r="B380" s="2" t="str">
        <x:v>A0071</x:v>
      </x:c>
      <x:c r="C380" s="2" t="str">
        <x:v>圈内</x:v>
      </x:c>
      <x:c r="D380" s="10" t="n">
        <x:v>1</x:v>
      </x:c>
      <x:c r="E380" s="10" t="n">
        <x:v>7</x:v>
      </x:c>
      <x:c r="F380" s="10" t="n">
        <x:v>6</x:v>
      </x:c>
      <x:c r="G380" s="10" t="n">
        <x:v>1</x:v>
      </x:c>
      <x:c r="H380" s="10" t="n">
        <x:f>IF(G380=1,E380-D380,"")</x:f>
        <x:v>6</x:v>
      </x:c>
      <x:c r="I380" s="10" t="n">
        <x:f>MIN(F380,9)</x:f>
        <x:v>6</x:v>
      </x:c>
      <x:c r="J380" s="19" t="n">
        <x:v>0.2</x:v>
      </x:c>
      <x:c r="K380" s="2" t="n">
        <x:v>7</x:v>
      </x:c>
      <x:c r="L380" s="19" t="n">
        <x:v>0.8</x:v>
      </x:c>
      <x:c r="M380" s="19" t="n">
        <x:v>0.75</x:v>
      </x:c>
    </x:row>
    <x:row r="381" ht="23" customHeight="1">
      <x:c r="A381" s="2" t="str">
        <x:v>D020_T07_C080_G075</x:v>
      </x:c>
      <x:c r="B381" s="2" t="str">
        <x:v>A0189</x:v>
      </x:c>
      <x:c r="C381" s="2" t="str">
        <x:v>圈内</x:v>
      </x:c>
      <x:c r="D381" s="10" t="n">
        <x:v>1</x:v>
      </x:c>
      <x:c r="E381" s="10" t="n">
        <x:v>10</x:v>
      </x:c>
      <x:c r="F381" s="10" t="n">
        <x:v>9</x:v>
      </x:c>
      <x:c r="G381" s="10" t="n">
        <x:v>1</x:v>
      </x:c>
      <x:c r="H381" s="10" t="n">
        <x:f>IF(G381=1,E381-D381,"")</x:f>
        <x:v>9</x:v>
      </x:c>
      <x:c r="I381" s="10" t="n">
        <x:f>MIN(F381,9)</x:f>
        <x:v>9</x:v>
      </x:c>
      <x:c r="J381" s="19" t="n">
        <x:v>0.2</x:v>
      </x:c>
      <x:c r="K381" s="2" t="n">
        <x:v>7</x:v>
      </x:c>
      <x:c r="L381" s="19" t="n">
        <x:v>0.8</x:v>
      </x:c>
      <x:c r="M381" s="19" t="n">
        <x:v>0.75</x:v>
      </x:c>
    </x:row>
    <x:row r="382" ht="23" customHeight="1">
      <x:c r="A382" s="2" t="str">
        <x:v>D040_T02_C020_G025</x:v>
      </x:c>
      <x:c r="B382" s="2" t="str">
        <x:v>A0005</x:v>
      </x:c>
      <x:c r="C382" s="2" t="str">
        <x:v>圈内</x:v>
      </x:c>
      <x:c r="D382" s="10" t="n">
        <x:v>1</x:v>
      </x:c>
      <x:c r="E382" s="10" t="n">
        <x:v>5</x:v>
      </x:c>
      <x:c r="F382" s="10" t="n">
        <x:v>4</x:v>
      </x:c>
      <x:c r="G382" s="10" t="n">
        <x:v>1</x:v>
      </x:c>
      <x:c r="H382" s="10" t="n">
        <x:f>IF(G382=1,E382-D382,"")</x:f>
        <x:v>4</x:v>
      </x:c>
      <x:c r="I382" s="10" t="n">
        <x:f>MIN(F382,9)</x:f>
        <x:v>4</x:v>
      </x:c>
      <x:c r="J382" s="19" t="n">
        <x:v>0.4</x:v>
      </x:c>
      <x:c r="K382" s="2" t="n">
        <x:v>2</x:v>
      </x:c>
      <x:c r="L382" s="19" t="n">
        <x:v>0.2</x:v>
      </x:c>
      <x:c r="M382" s="19" t="n">
        <x:v>0.25</x:v>
      </x:c>
    </x:row>
    <x:row r="383" ht="23" customHeight="1">
      <x:c r="A383" s="2" t="str">
        <x:v>D040_T02_C020_G025</x:v>
      </x:c>
      <x:c r="B383" s="2" t="str">
        <x:v>A0008</x:v>
      </x:c>
      <x:c r="C383" s="2" t="str">
        <x:v>圈内</x:v>
      </x:c>
      <x:c r="D383" s="10" t="n">
        <x:v>1</x:v>
      </x:c>
      <x:c r="E383" s="10" t="n">
        <x:v>4</x:v>
      </x:c>
      <x:c r="F383" s="10" t="n">
        <x:v>3</x:v>
      </x:c>
      <x:c r="G383" s="10" t="n">
        <x:v>1</x:v>
      </x:c>
      <x:c r="H383" s="10" t="n">
        <x:f>IF(G383=1,E383-D383,"")</x:f>
        <x:v>3</x:v>
      </x:c>
      <x:c r="I383" s="10" t="n">
        <x:f>MIN(F383,9)</x:f>
        <x:v>3</x:v>
      </x:c>
      <x:c r="J383" s="19" t="n">
        <x:v>0.4</x:v>
      </x:c>
      <x:c r="K383" s="2" t="n">
        <x:v>2</x:v>
      </x:c>
      <x:c r="L383" s="19" t="n">
        <x:v>0.2</x:v>
      </x:c>
      <x:c r="M383" s="19" t="n">
        <x:v>0.25</x:v>
      </x:c>
    </x:row>
    <x:row r="384" ht="23" customHeight="1">
      <x:c r="A384" s="2" t="str">
        <x:v>D040_T02_C020_G025</x:v>
      </x:c>
      <x:c r="B384" s="2" t="str">
        <x:v>A0010</x:v>
      </x:c>
      <x:c r="C384" s="2" t="str">
        <x:v>圈内</x:v>
      </x:c>
      <x:c r="D384" s="10" t="n">
        <x:v>1</x:v>
      </x:c>
      <x:c r="E384" s="10" t="n">
        <x:v>4</x:v>
      </x:c>
      <x:c r="F384" s="10" t="n">
        <x:v>3</x:v>
      </x:c>
      <x:c r="G384" s="10" t="n">
        <x:v>1</x:v>
      </x:c>
      <x:c r="H384" s="10" t="n">
        <x:f>IF(G384=1,E384-D384,"")</x:f>
        <x:v>3</x:v>
      </x:c>
      <x:c r="I384" s="10" t="n">
        <x:f>MIN(F384,9)</x:f>
        <x:v>3</x:v>
      </x:c>
      <x:c r="J384" s="19" t="n">
        <x:v>0.4</x:v>
      </x:c>
      <x:c r="K384" s="2" t="n">
        <x:v>2</x:v>
      </x:c>
      <x:c r="L384" s="19" t="n">
        <x:v>0.2</x:v>
      </x:c>
      <x:c r="M384" s="19" t="n">
        <x:v>0.25</x:v>
      </x:c>
    </x:row>
    <x:row r="385" ht="23" customHeight="1">
      <x:c r="A385" s="2" t="str">
        <x:v>D040_T02_C020_G025</x:v>
      </x:c>
      <x:c r="B385" s="2" t="str">
        <x:v>A0011</x:v>
      </x:c>
      <x:c r="C385" s="2" t="str">
        <x:v>圈内</x:v>
      </x:c>
      <x:c r="D385" s="10" t="n">
        <x:v>1</x:v>
      </x:c>
      <x:c r="E385" s="10" t="n">
        <x:v>4</x:v>
      </x:c>
      <x:c r="F385" s="10" t="n">
        <x:v>3</x:v>
      </x:c>
      <x:c r="G385" s="10" t="n">
        <x:v>1</x:v>
      </x:c>
      <x:c r="H385" s="10" t="n">
        <x:f>IF(G385=1,E385-D385,"")</x:f>
        <x:v>3</x:v>
      </x:c>
      <x:c r="I385" s="10" t="n">
        <x:f>MIN(F385,9)</x:f>
        <x:v>3</x:v>
      </x:c>
      <x:c r="J385" s="19" t="n">
        <x:v>0.4</x:v>
      </x:c>
      <x:c r="K385" s="2" t="n">
        <x:v>2</x:v>
      </x:c>
      <x:c r="L385" s="19" t="n">
        <x:v>0.2</x:v>
      </x:c>
      <x:c r="M385" s="19" t="n">
        <x:v>0.25</x:v>
      </x:c>
    </x:row>
    <x:row r="386" ht="23" customHeight="1">
      <x:c r="A386" s="2" t="str">
        <x:v>D040_T02_C020_G025</x:v>
      </x:c>
      <x:c r="B386" s="2" t="str">
        <x:v>A0012</x:v>
      </x:c>
      <x:c r="C386" s="2" t="str">
        <x:v>圈内</x:v>
      </x:c>
      <x:c r="D386" s="10" t="n">
        <x:v>1</x:v>
      </x:c>
      <x:c r="E386" s="10"/>
      <x:c r="F386" s="10" t="n">
        <x:v>9</x:v>
      </x:c>
      <x:c r="G386" s="10" t="n">
        <x:v>0</x:v>
      </x:c>
      <x:c r="H386" s="10" t="str">
        <x:f>IF(G386=1,E386-D386,"")</x:f>
      </x:c>
      <x:c r="I386" s="10" t="n">
        <x:f>MIN(F386,9)</x:f>
        <x:v>9</x:v>
      </x:c>
      <x:c r="J386" s="19" t="n">
        <x:v>0.4</x:v>
      </x:c>
      <x:c r="K386" s="2" t="n">
        <x:v>2</x:v>
      </x:c>
      <x:c r="L386" s="19" t="n">
        <x:v>0.2</x:v>
      </x:c>
      <x:c r="M386" s="19" t="n">
        <x:v>0.25</x:v>
      </x:c>
    </x:row>
    <x:row r="387" ht="23" customHeight="1">
      <x:c r="A387" s="2" t="str">
        <x:v>D040_T02_C020_G025</x:v>
      </x:c>
      <x:c r="B387" s="2" t="str">
        <x:v>A0013</x:v>
      </x:c>
      <x:c r="C387" s="2" t="str">
        <x:v>圈内</x:v>
      </x:c>
      <x:c r="D387" s="10" t="n">
        <x:v>1</x:v>
      </x:c>
      <x:c r="E387" s="10" t="n">
        <x:v>9</x:v>
      </x:c>
      <x:c r="F387" s="10" t="n">
        <x:v>8</x:v>
      </x:c>
      <x:c r="G387" s="10" t="n">
        <x:v>1</x:v>
      </x:c>
      <x:c r="H387" s="10" t="n">
        <x:f>IF(G387=1,E387-D387,"")</x:f>
        <x:v>8</x:v>
      </x:c>
      <x:c r="I387" s="10" t="n">
        <x:f>MIN(F387,9)</x:f>
        <x:v>8</x:v>
      </x:c>
      <x:c r="J387" s="19" t="n">
        <x:v>0.4</x:v>
      </x:c>
      <x:c r="K387" s="2" t="n">
        <x:v>2</x:v>
      </x:c>
      <x:c r="L387" s="19" t="n">
        <x:v>0.2</x:v>
      </x:c>
      <x:c r="M387" s="19" t="n">
        <x:v>0.25</x:v>
      </x:c>
    </x:row>
    <x:row r="388" ht="23" customHeight="1">
      <x:c r="A388" s="2" t="str">
        <x:v>D040_T02_C020_G025</x:v>
      </x:c>
      <x:c r="B388" s="2" t="str">
        <x:v>A0014</x:v>
      </x:c>
      <x:c r="C388" s="2" t="str">
        <x:v>圈内</x:v>
      </x:c>
      <x:c r="D388" s="10" t="n">
        <x:v>1</x:v>
      </x:c>
      <x:c r="E388" s="10" t="n">
        <x:v>5</x:v>
      </x:c>
      <x:c r="F388" s="10" t="n">
        <x:v>4</x:v>
      </x:c>
      <x:c r="G388" s="10" t="n">
        <x:v>1</x:v>
      </x:c>
      <x:c r="H388" s="10" t="n">
        <x:f>IF(G388=1,E388-D388,"")</x:f>
        <x:v>4</x:v>
      </x:c>
      <x:c r="I388" s="10" t="n">
        <x:f>MIN(F388,9)</x:f>
        <x:v>4</x:v>
      </x:c>
      <x:c r="J388" s="19" t="n">
        <x:v>0.4</x:v>
      </x:c>
      <x:c r="K388" s="2" t="n">
        <x:v>2</x:v>
      </x:c>
      <x:c r="L388" s="19" t="n">
        <x:v>0.2</x:v>
      </x:c>
      <x:c r="M388" s="19" t="n">
        <x:v>0.25</x:v>
      </x:c>
    </x:row>
    <x:row r="389" ht="23" customHeight="1">
      <x:c r="A389" s="2" t="str">
        <x:v>D040_T02_C020_G025</x:v>
      </x:c>
      <x:c r="B389" s="2" t="str">
        <x:v>A0015</x:v>
      </x:c>
      <x:c r="C389" s="2" t="str">
        <x:v>圈内</x:v>
      </x:c>
      <x:c r="D389" s="10" t="n">
        <x:v>1</x:v>
      </x:c>
      <x:c r="E389" s="10" t="n">
        <x:v>4</x:v>
      </x:c>
      <x:c r="F389" s="10" t="n">
        <x:v>3</x:v>
      </x:c>
      <x:c r="G389" s="10" t="n">
        <x:v>1</x:v>
      </x:c>
      <x:c r="H389" s="10" t="n">
        <x:f>IF(G389=1,E389-D389,"")</x:f>
        <x:v>3</x:v>
      </x:c>
      <x:c r="I389" s="10" t="n">
        <x:f>MIN(F389,9)</x:f>
        <x:v>3</x:v>
      </x:c>
      <x:c r="J389" s="19" t="n">
        <x:v>0.4</x:v>
      </x:c>
      <x:c r="K389" s="2" t="n">
        <x:v>2</x:v>
      </x:c>
      <x:c r="L389" s="19" t="n">
        <x:v>0.2</x:v>
      </x:c>
      <x:c r="M389" s="19" t="n">
        <x:v>0.25</x:v>
      </x:c>
    </x:row>
    <x:row r="390" ht="23" customHeight="1">
      <x:c r="A390" s="2" t="str">
        <x:v>D040_T02_C020_G025</x:v>
      </x:c>
      <x:c r="B390" s="2" t="str">
        <x:v>A0016</x:v>
      </x:c>
      <x:c r="C390" s="2" t="str">
        <x:v>圈内</x:v>
      </x:c>
      <x:c r="D390" s="10" t="n">
        <x:v>1</x:v>
      </x:c>
      <x:c r="E390" s="10" t="n">
        <x:v>7</x:v>
      </x:c>
      <x:c r="F390" s="10" t="n">
        <x:v>6</x:v>
      </x:c>
      <x:c r="G390" s="10" t="n">
        <x:v>1</x:v>
      </x:c>
      <x:c r="H390" s="10" t="n">
        <x:f>IF(G390=1,E390-D390,"")</x:f>
        <x:v>6</x:v>
      </x:c>
      <x:c r="I390" s="10" t="n">
        <x:f>MIN(F390,9)</x:f>
        <x:v>6</x:v>
      </x:c>
      <x:c r="J390" s="19" t="n">
        <x:v>0.4</x:v>
      </x:c>
      <x:c r="K390" s="2" t="n">
        <x:v>2</x:v>
      </x:c>
      <x:c r="L390" s="19" t="n">
        <x:v>0.2</x:v>
      </x:c>
      <x:c r="M390" s="19" t="n">
        <x:v>0.25</x:v>
      </x:c>
    </x:row>
    <x:row r="391" ht="23" customHeight="1">
      <x:c r="A391" s="2" t="str">
        <x:v>D040_T02_C020_G025</x:v>
      </x:c>
      <x:c r="B391" s="2" t="str">
        <x:v>A0017</x:v>
      </x:c>
      <x:c r="C391" s="2" t="str">
        <x:v>圈内</x:v>
      </x:c>
      <x:c r="D391" s="10" t="n">
        <x:v>1</x:v>
      </x:c>
      <x:c r="E391" s="10"/>
      <x:c r="F391" s="10" t="n">
        <x:v>9</x:v>
      </x:c>
      <x:c r="G391" s="10" t="n">
        <x:v>0</x:v>
      </x:c>
      <x:c r="H391" s="10" t="str">
        <x:f>IF(G391=1,E391-D391,"")</x:f>
      </x:c>
      <x:c r="I391" s="10" t="n">
        <x:f>MIN(F391,9)</x:f>
        <x:v>9</x:v>
      </x:c>
      <x:c r="J391" s="19" t="n">
        <x:v>0.4</x:v>
      </x:c>
      <x:c r="K391" s="2" t="n">
        <x:v>2</x:v>
      </x:c>
      <x:c r="L391" s="19" t="n">
        <x:v>0.2</x:v>
      </x:c>
      <x:c r="M391" s="19" t="n">
        <x:v>0.25</x:v>
      </x:c>
    </x:row>
    <x:row r="392" ht="23" customHeight="1">
      <x:c r="A392" s="2" t="str">
        <x:v>D040_T02_C020_G025</x:v>
      </x:c>
      <x:c r="B392" s="2" t="str">
        <x:v>A0018</x:v>
      </x:c>
      <x:c r="C392" s="2" t="str">
        <x:v>圈内</x:v>
      </x:c>
      <x:c r="D392" s="10" t="n">
        <x:v>1</x:v>
      </x:c>
      <x:c r="E392" s="10"/>
      <x:c r="F392" s="10" t="n">
        <x:v>9</x:v>
      </x:c>
      <x:c r="G392" s="10" t="n">
        <x:v>0</x:v>
      </x:c>
      <x:c r="H392" s="10" t="str">
        <x:f>IF(G392=1,E392-D392,"")</x:f>
      </x:c>
      <x:c r="I392" s="10" t="n">
        <x:f>MIN(F392,9)</x:f>
        <x:v>9</x:v>
      </x:c>
      <x:c r="J392" s="19" t="n">
        <x:v>0.4</x:v>
      </x:c>
      <x:c r="K392" s="2" t="n">
        <x:v>2</x:v>
      </x:c>
      <x:c r="L392" s="19" t="n">
        <x:v>0.2</x:v>
      </x:c>
      <x:c r="M392" s="19" t="n">
        <x:v>0.25</x:v>
      </x:c>
    </x:row>
    <x:row r="393" ht="23" customHeight="1">
      <x:c r="A393" s="2" t="str">
        <x:v>D040_T02_C020_G025</x:v>
      </x:c>
      <x:c r="B393" s="2" t="str">
        <x:v>A0019</x:v>
      </x:c>
      <x:c r="C393" s="2" t="str">
        <x:v>圈内</x:v>
      </x:c>
      <x:c r="D393" s="10" t="n">
        <x:v>1</x:v>
      </x:c>
      <x:c r="E393" s="10" t="n">
        <x:v>7</x:v>
      </x:c>
      <x:c r="F393" s="10" t="n">
        <x:v>6</x:v>
      </x:c>
      <x:c r="G393" s="10" t="n">
        <x:v>1</x:v>
      </x:c>
      <x:c r="H393" s="10" t="n">
        <x:f>IF(G393=1,E393-D393,"")</x:f>
        <x:v>6</x:v>
      </x:c>
      <x:c r="I393" s="10" t="n">
        <x:f>MIN(F393,9)</x:f>
        <x:v>6</x:v>
      </x:c>
      <x:c r="J393" s="19" t="n">
        <x:v>0.4</x:v>
      </x:c>
      <x:c r="K393" s="2" t="n">
        <x:v>2</x:v>
      </x:c>
      <x:c r="L393" s="19" t="n">
        <x:v>0.2</x:v>
      </x:c>
      <x:c r="M393" s="19" t="n">
        <x:v>0.25</x:v>
      </x:c>
    </x:row>
    <x:row r="394" ht="23" customHeight="1">
      <x:c r="A394" s="2" t="str">
        <x:v>D040_T02_C020_G025</x:v>
      </x:c>
      <x:c r="B394" s="2" t="str">
        <x:v>A0020</x:v>
      </x:c>
      <x:c r="C394" s="2" t="str">
        <x:v>圈内</x:v>
      </x:c>
      <x:c r="D394" s="10" t="n">
        <x:v>1</x:v>
      </x:c>
      <x:c r="E394" s="10" t="n">
        <x:v>6</x:v>
      </x:c>
      <x:c r="F394" s="10" t="n">
        <x:v>5</x:v>
      </x:c>
      <x:c r="G394" s="10" t="n">
        <x:v>1</x:v>
      </x:c>
      <x:c r="H394" s="10" t="n">
        <x:f>IF(G394=1,E394-D394,"")</x:f>
        <x:v>5</x:v>
      </x:c>
      <x:c r="I394" s="10" t="n">
        <x:f>MIN(F394,9)</x:f>
        <x:v>5</x:v>
      </x:c>
      <x:c r="J394" s="19" t="n">
        <x:v>0.4</x:v>
      </x:c>
      <x:c r="K394" s="2" t="n">
        <x:v>2</x:v>
      </x:c>
      <x:c r="L394" s="19" t="n">
        <x:v>0.2</x:v>
      </x:c>
      <x:c r="M394" s="19" t="n">
        <x:v>0.25</x:v>
      </x:c>
    </x:row>
    <x:row r="395" ht="23" customHeight="1">
      <x:c r="A395" s="2" t="str">
        <x:v>D040_T02_C020_G025</x:v>
      </x:c>
      <x:c r="B395" s="2" t="str">
        <x:v>A0022</x:v>
      </x:c>
      <x:c r="C395" s="2" t="str">
        <x:v>圈内</x:v>
      </x:c>
      <x:c r="D395" s="10" t="n">
        <x:v>1</x:v>
      </x:c>
      <x:c r="E395" s="10" t="n">
        <x:v>4</x:v>
      </x:c>
      <x:c r="F395" s="10" t="n">
        <x:v>3</x:v>
      </x:c>
      <x:c r="G395" s="10" t="n">
        <x:v>1</x:v>
      </x:c>
      <x:c r="H395" s="10" t="n">
        <x:f>IF(G395=1,E395-D395,"")</x:f>
        <x:v>3</x:v>
      </x:c>
      <x:c r="I395" s="10" t="n">
        <x:f>MIN(F395,9)</x:f>
        <x:v>3</x:v>
      </x:c>
      <x:c r="J395" s="19" t="n">
        <x:v>0.4</x:v>
      </x:c>
      <x:c r="K395" s="2" t="n">
        <x:v>2</x:v>
      </x:c>
      <x:c r="L395" s="19" t="n">
        <x:v>0.2</x:v>
      </x:c>
      <x:c r="M395" s="19" t="n">
        <x:v>0.25</x:v>
      </x:c>
    </x:row>
    <x:row r="396" ht="23" customHeight="1">
      <x:c r="A396" s="2" t="str">
        <x:v>D040_T02_C020_G025</x:v>
      </x:c>
      <x:c r="B396" s="2" t="str">
        <x:v>A0023</x:v>
      </x:c>
      <x:c r="C396" s="2" t="str">
        <x:v>圈内</x:v>
      </x:c>
      <x:c r="D396" s="10" t="n">
        <x:v>1</x:v>
      </x:c>
      <x:c r="E396" s="10" t="n">
        <x:v>8</x:v>
      </x:c>
      <x:c r="F396" s="10" t="n">
        <x:v>7</x:v>
      </x:c>
      <x:c r="G396" s="10" t="n">
        <x:v>1</x:v>
      </x:c>
      <x:c r="H396" s="10" t="n">
        <x:f>IF(G396=1,E396-D396,"")</x:f>
        <x:v>7</x:v>
      </x:c>
      <x:c r="I396" s="10" t="n">
        <x:f>MIN(F396,9)</x:f>
        <x:v>7</x:v>
      </x:c>
      <x:c r="J396" s="19" t="n">
        <x:v>0.4</x:v>
      </x:c>
      <x:c r="K396" s="2" t="n">
        <x:v>2</x:v>
      </x:c>
      <x:c r="L396" s="19" t="n">
        <x:v>0.2</x:v>
      </x:c>
      <x:c r="M396" s="19" t="n">
        <x:v>0.25</x:v>
      </x:c>
    </x:row>
    <x:row r="397" ht="23" customHeight="1">
      <x:c r="A397" s="2" t="str">
        <x:v>D040_T02_C020_G025</x:v>
      </x:c>
      <x:c r="B397" s="2" t="str">
        <x:v>A0024</x:v>
      </x:c>
      <x:c r="C397" s="2" t="str">
        <x:v>圈内</x:v>
      </x:c>
      <x:c r="D397" s="10" t="n">
        <x:v>1</x:v>
      </x:c>
      <x:c r="E397" s="10" t="n">
        <x:v>7</x:v>
      </x:c>
      <x:c r="F397" s="10" t="n">
        <x:v>6</x:v>
      </x:c>
      <x:c r="G397" s="10" t="n">
        <x:v>1</x:v>
      </x:c>
      <x:c r="H397" s="10" t="n">
        <x:f>IF(G397=1,E397-D397,"")</x:f>
        <x:v>6</x:v>
      </x:c>
      <x:c r="I397" s="10" t="n">
        <x:f>MIN(F397,9)</x:f>
        <x:v>6</x:v>
      </x:c>
      <x:c r="J397" s="19" t="n">
        <x:v>0.4</x:v>
      </x:c>
      <x:c r="K397" s="2" t="n">
        <x:v>2</x:v>
      </x:c>
      <x:c r="L397" s="19" t="n">
        <x:v>0.2</x:v>
      </x:c>
      <x:c r="M397" s="19" t="n">
        <x:v>0.25</x:v>
      </x:c>
    </x:row>
    <x:row r="398" ht="23" customHeight="1">
      <x:c r="A398" s="2" t="str">
        <x:v>D040_T02_C020_G025</x:v>
      </x:c>
      <x:c r="B398" s="2" t="str">
        <x:v>A0025</x:v>
      </x:c>
      <x:c r="C398" s="2" t="str">
        <x:v>圈内</x:v>
      </x:c>
      <x:c r="D398" s="10" t="n">
        <x:v>1</x:v>
      </x:c>
      <x:c r="E398" s="10" t="n">
        <x:v>7</x:v>
      </x:c>
      <x:c r="F398" s="10" t="n">
        <x:v>6</x:v>
      </x:c>
      <x:c r="G398" s="10" t="n">
        <x:v>1</x:v>
      </x:c>
      <x:c r="H398" s="10" t="n">
        <x:f>IF(G398=1,E398-D398,"")</x:f>
        <x:v>6</x:v>
      </x:c>
      <x:c r="I398" s="10" t="n">
        <x:f>MIN(F398,9)</x:f>
        <x:v>6</x:v>
      </x:c>
      <x:c r="J398" s="19" t="n">
        <x:v>0.4</x:v>
      </x:c>
      <x:c r="K398" s="2" t="n">
        <x:v>2</x:v>
      </x:c>
      <x:c r="L398" s="19" t="n">
        <x:v>0.2</x:v>
      </x:c>
      <x:c r="M398" s="19" t="n">
        <x:v>0.25</x:v>
      </x:c>
    </x:row>
    <x:row r="399" ht="23" customHeight="1">
      <x:c r="A399" s="2" t="str">
        <x:v>D040_T02_C020_G025</x:v>
      </x:c>
      <x:c r="B399" s="2" t="str">
        <x:v>A0027</x:v>
      </x:c>
      <x:c r="C399" s="2" t="str">
        <x:v>圈内</x:v>
      </x:c>
      <x:c r="D399" s="10" t="n">
        <x:v>1</x:v>
      </x:c>
      <x:c r="E399" s="10" t="n">
        <x:v>6</x:v>
      </x:c>
      <x:c r="F399" s="10" t="n">
        <x:v>5</x:v>
      </x:c>
      <x:c r="G399" s="10" t="n">
        <x:v>1</x:v>
      </x:c>
      <x:c r="H399" s="10" t="n">
        <x:f>IF(G399=1,E399-D399,"")</x:f>
        <x:v>5</x:v>
      </x:c>
      <x:c r="I399" s="10" t="n">
        <x:f>MIN(F399,9)</x:f>
        <x:v>5</x:v>
      </x:c>
      <x:c r="J399" s="19" t="n">
        <x:v>0.4</x:v>
      </x:c>
      <x:c r="K399" s="2" t="n">
        <x:v>2</x:v>
      </x:c>
      <x:c r="L399" s="19" t="n">
        <x:v>0.2</x:v>
      </x:c>
      <x:c r="M399" s="19" t="n">
        <x:v>0.25</x:v>
      </x:c>
    </x:row>
    <x:row r="400" ht="23" customHeight="1">
      <x:c r="A400" s="2" t="str">
        <x:v>D040_T02_C020_G025</x:v>
      </x:c>
      <x:c r="B400" s="2" t="str">
        <x:v>A0029</x:v>
      </x:c>
      <x:c r="C400" s="2" t="str">
        <x:v>圈内</x:v>
      </x:c>
      <x:c r="D400" s="10" t="n">
        <x:v>1</x:v>
      </x:c>
      <x:c r="E400" s="10" t="n">
        <x:v>4</x:v>
      </x:c>
      <x:c r="F400" s="10" t="n">
        <x:v>3</x:v>
      </x:c>
      <x:c r="G400" s="10" t="n">
        <x:v>1</x:v>
      </x:c>
      <x:c r="H400" s="10" t="n">
        <x:f>IF(G400=1,E400-D400,"")</x:f>
        <x:v>3</x:v>
      </x:c>
      <x:c r="I400" s="10" t="n">
        <x:f>MIN(F400,9)</x:f>
        <x:v>3</x:v>
      </x:c>
      <x:c r="J400" s="19" t="n">
        <x:v>0.4</x:v>
      </x:c>
      <x:c r="K400" s="2" t="n">
        <x:v>2</x:v>
      </x:c>
      <x:c r="L400" s="19" t="n">
        <x:v>0.2</x:v>
      </x:c>
      <x:c r="M400" s="19" t="n">
        <x:v>0.25</x:v>
      </x:c>
    </x:row>
    <x:row r="401" ht="23" customHeight="1">
      <x:c r="A401" s="2" t="str">
        <x:v>D040_T02_C020_G025</x:v>
      </x:c>
      <x:c r="B401" s="2" t="str">
        <x:v>A0030</x:v>
      </x:c>
      <x:c r="C401" s="2" t="str">
        <x:v>圈内</x:v>
      </x:c>
      <x:c r="D401" s="10" t="n">
        <x:v>1</x:v>
      </x:c>
      <x:c r="E401" s="10" t="n">
        <x:v>6</x:v>
      </x:c>
      <x:c r="F401" s="10" t="n">
        <x:v>5</x:v>
      </x:c>
      <x:c r="G401" s="10" t="n">
        <x:v>1</x:v>
      </x:c>
      <x:c r="H401" s="10" t="n">
        <x:f>IF(G401=1,E401-D401,"")</x:f>
        <x:v>5</x:v>
      </x:c>
      <x:c r="I401" s="10" t="n">
        <x:f>MIN(F401,9)</x:f>
        <x:v>5</x:v>
      </x:c>
      <x:c r="J401" s="19" t="n">
        <x:v>0.4</x:v>
      </x:c>
      <x:c r="K401" s="2" t="n">
        <x:v>2</x:v>
      </x:c>
      <x:c r="L401" s="19" t="n">
        <x:v>0.2</x:v>
      </x:c>
      <x:c r="M401" s="19" t="n">
        <x:v>0.25</x:v>
      </x:c>
    </x:row>
    <x:row r="402" ht="23" customHeight="1">
      <x:c r="A402" s="2" t="str">
        <x:v>D040_T02_C020_G025</x:v>
      </x:c>
      <x:c r="B402" s="2" t="str">
        <x:v>A0032</x:v>
      </x:c>
      <x:c r="C402" s="2" t="str">
        <x:v>圈内</x:v>
      </x:c>
      <x:c r="D402" s="10" t="n">
        <x:v>1</x:v>
      </x:c>
      <x:c r="E402" s="10"/>
      <x:c r="F402" s="10" t="n">
        <x:v>9</x:v>
      </x:c>
      <x:c r="G402" s="10" t="n">
        <x:v>0</x:v>
      </x:c>
      <x:c r="H402" s="10" t="str">
        <x:f>IF(G402=1,E402-D402,"")</x:f>
      </x:c>
      <x:c r="I402" s="10" t="n">
        <x:f>MIN(F402,9)</x:f>
        <x:v>9</x:v>
      </x:c>
      <x:c r="J402" s="19" t="n">
        <x:v>0.4</x:v>
      </x:c>
      <x:c r="K402" s="2" t="n">
        <x:v>2</x:v>
      </x:c>
      <x:c r="L402" s="19" t="n">
        <x:v>0.2</x:v>
      </x:c>
      <x:c r="M402" s="19" t="n">
        <x:v>0.25</x:v>
      </x:c>
    </x:row>
    <x:row r="403" ht="23" customHeight="1">
      <x:c r="A403" s="2" t="str">
        <x:v>D040_T02_C020_G025</x:v>
      </x:c>
      <x:c r="B403" s="2" t="str">
        <x:v>A0033</x:v>
      </x:c>
      <x:c r="C403" s="2" t="str">
        <x:v>圈内</x:v>
      </x:c>
      <x:c r="D403" s="10" t="n">
        <x:v>1</x:v>
      </x:c>
      <x:c r="E403" s="10" t="n">
        <x:v>4</x:v>
      </x:c>
      <x:c r="F403" s="10" t="n">
        <x:v>3</x:v>
      </x:c>
      <x:c r="G403" s="10" t="n">
        <x:v>1</x:v>
      </x:c>
      <x:c r="H403" s="10" t="n">
        <x:f>IF(G403=1,E403-D403,"")</x:f>
        <x:v>3</x:v>
      </x:c>
      <x:c r="I403" s="10" t="n">
        <x:f>MIN(F403,9)</x:f>
        <x:v>3</x:v>
      </x:c>
      <x:c r="J403" s="19" t="n">
        <x:v>0.4</x:v>
      </x:c>
      <x:c r="K403" s="2" t="n">
        <x:v>2</x:v>
      </x:c>
      <x:c r="L403" s="19" t="n">
        <x:v>0.2</x:v>
      </x:c>
      <x:c r="M403" s="19" t="n">
        <x:v>0.25</x:v>
      </x:c>
    </x:row>
    <x:row r="404" ht="23" customHeight="1">
      <x:c r="A404" s="2" t="str">
        <x:v>D040_T02_C020_G025</x:v>
      </x:c>
      <x:c r="B404" s="2" t="str">
        <x:v>A0034</x:v>
      </x:c>
      <x:c r="C404" s="2" t="str">
        <x:v>圈内</x:v>
      </x:c>
      <x:c r="D404" s="10" t="n">
        <x:v>1</x:v>
      </x:c>
      <x:c r="E404" s="10" t="n">
        <x:v>8</x:v>
      </x:c>
      <x:c r="F404" s="10" t="n">
        <x:v>7</x:v>
      </x:c>
      <x:c r="G404" s="10" t="n">
        <x:v>1</x:v>
      </x:c>
      <x:c r="H404" s="10" t="n">
        <x:f>IF(G404=1,E404-D404,"")</x:f>
        <x:v>7</x:v>
      </x:c>
      <x:c r="I404" s="10" t="n">
        <x:f>MIN(F404,9)</x:f>
        <x:v>7</x:v>
      </x:c>
      <x:c r="J404" s="19" t="n">
        <x:v>0.4</x:v>
      </x:c>
      <x:c r="K404" s="2" t="n">
        <x:v>2</x:v>
      </x:c>
      <x:c r="L404" s="19" t="n">
        <x:v>0.2</x:v>
      </x:c>
      <x:c r="M404" s="19" t="n">
        <x:v>0.25</x:v>
      </x:c>
    </x:row>
    <x:row r="405" ht="23" customHeight="1">
      <x:c r="A405" s="2" t="str">
        <x:v>D040_T02_C020_G025</x:v>
      </x:c>
      <x:c r="B405" s="2" t="str">
        <x:v>A0035</x:v>
      </x:c>
      <x:c r="C405" s="2" t="str">
        <x:v>圈内</x:v>
      </x:c>
      <x:c r="D405" s="10" t="n">
        <x:v>1</x:v>
      </x:c>
      <x:c r="E405" s="10" t="n">
        <x:v>10</x:v>
      </x:c>
      <x:c r="F405" s="10" t="n">
        <x:v>9</x:v>
      </x:c>
      <x:c r="G405" s="10" t="n">
        <x:v>1</x:v>
      </x:c>
      <x:c r="H405" s="10" t="n">
        <x:f>IF(G405=1,E405-D405,"")</x:f>
        <x:v>9</x:v>
      </x:c>
      <x:c r="I405" s="10" t="n">
        <x:f>MIN(F405,9)</x:f>
        <x:v>9</x:v>
      </x:c>
      <x:c r="J405" s="19" t="n">
        <x:v>0.4</x:v>
      </x:c>
      <x:c r="K405" s="2" t="n">
        <x:v>2</x:v>
      </x:c>
      <x:c r="L405" s="19" t="n">
        <x:v>0.2</x:v>
      </x:c>
      <x:c r="M405" s="19" t="n">
        <x:v>0.25</x:v>
      </x:c>
    </x:row>
    <x:row r="406" ht="23" customHeight="1">
      <x:c r="A406" s="2" t="str">
        <x:v>D040_T02_C020_G025</x:v>
      </x:c>
      <x:c r="B406" s="2" t="str">
        <x:v>A0036</x:v>
      </x:c>
      <x:c r="C406" s="2" t="str">
        <x:v>圈内</x:v>
      </x:c>
      <x:c r="D406" s="10" t="n">
        <x:v>1</x:v>
      </x:c>
      <x:c r="E406" s="10"/>
      <x:c r="F406" s="10" t="n">
        <x:v>9</x:v>
      </x:c>
      <x:c r="G406" s="10" t="n">
        <x:v>0</x:v>
      </x:c>
      <x:c r="H406" s="10" t="str">
        <x:f>IF(G406=1,E406-D406,"")</x:f>
      </x:c>
      <x:c r="I406" s="10" t="n">
        <x:f>MIN(F406,9)</x:f>
        <x:v>9</x:v>
      </x:c>
      <x:c r="J406" s="19" t="n">
        <x:v>0.4</x:v>
      </x:c>
      <x:c r="K406" s="2" t="n">
        <x:v>2</x:v>
      </x:c>
      <x:c r="L406" s="19" t="n">
        <x:v>0.2</x:v>
      </x:c>
      <x:c r="M406" s="19" t="n">
        <x:v>0.25</x:v>
      </x:c>
    </x:row>
    <x:row r="407" ht="23" customHeight="1">
      <x:c r="A407" s="2" t="str">
        <x:v>D040_T02_C020_G025</x:v>
      </x:c>
      <x:c r="B407" s="2" t="str">
        <x:v>A0038</x:v>
      </x:c>
      <x:c r="C407" s="2" t="str">
        <x:v>圈内</x:v>
      </x:c>
      <x:c r="D407" s="10" t="n">
        <x:v>1</x:v>
      </x:c>
      <x:c r="E407" s="10" t="n">
        <x:v>8</x:v>
      </x:c>
      <x:c r="F407" s="10" t="n">
        <x:v>7</x:v>
      </x:c>
      <x:c r="G407" s="10" t="n">
        <x:v>1</x:v>
      </x:c>
      <x:c r="H407" s="10" t="n">
        <x:f>IF(G407=1,E407-D407,"")</x:f>
        <x:v>7</x:v>
      </x:c>
      <x:c r="I407" s="10" t="n">
        <x:f>MIN(F407,9)</x:f>
        <x:v>7</x:v>
      </x:c>
      <x:c r="J407" s="19" t="n">
        <x:v>0.4</x:v>
      </x:c>
      <x:c r="K407" s="2" t="n">
        <x:v>2</x:v>
      </x:c>
      <x:c r="L407" s="19" t="n">
        <x:v>0.2</x:v>
      </x:c>
      <x:c r="M407" s="19" t="n">
        <x:v>0.25</x:v>
      </x:c>
    </x:row>
    <x:row r="408" ht="23" customHeight="1">
      <x:c r="A408" s="2" t="str">
        <x:v>D040_T02_C020_G025</x:v>
      </x:c>
      <x:c r="B408" s="2" t="str">
        <x:v>A0039</x:v>
      </x:c>
      <x:c r="C408" s="2" t="str">
        <x:v>圈内</x:v>
      </x:c>
      <x:c r="D408" s="10" t="n">
        <x:v>1</x:v>
      </x:c>
      <x:c r="E408" s="10"/>
      <x:c r="F408" s="10" t="n">
        <x:v>9</x:v>
      </x:c>
      <x:c r="G408" s="10" t="n">
        <x:v>0</x:v>
      </x:c>
      <x:c r="H408" s="10" t="str">
        <x:f>IF(G408=1,E408-D408,"")</x:f>
      </x:c>
      <x:c r="I408" s="10" t="n">
        <x:f>MIN(F408,9)</x:f>
        <x:v>9</x:v>
      </x:c>
      <x:c r="J408" s="19" t="n">
        <x:v>0.4</x:v>
      </x:c>
      <x:c r="K408" s="2" t="n">
        <x:v>2</x:v>
      </x:c>
      <x:c r="L408" s="19" t="n">
        <x:v>0.2</x:v>
      </x:c>
      <x:c r="M408" s="19" t="n">
        <x:v>0.25</x:v>
      </x:c>
    </x:row>
    <x:row r="409" ht="23" customHeight="1">
      <x:c r="A409" s="2" t="str">
        <x:v>D040_T02_C020_G025</x:v>
      </x:c>
      <x:c r="B409" s="2" t="str">
        <x:v>A0040</x:v>
      </x:c>
      <x:c r="C409" s="2" t="str">
        <x:v>圈内</x:v>
      </x:c>
      <x:c r="D409" s="10" t="n">
        <x:v>1</x:v>
      </x:c>
      <x:c r="E409" s="10" t="n">
        <x:v>8</x:v>
      </x:c>
      <x:c r="F409" s="10" t="n">
        <x:v>7</x:v>
      </x:c>
      <x:c r="G409" s="10" t="n">
        <x:v>1</x:v>
      </x:c>
      <x:c r="H409" s="10" t="n">
        <x:f>IF(G409=1,E409-D409,"")</x:f>
        <x:v>7</x:v>
      </x:c>
      <x:c r="I409" s="10" t="n">
        <x:f>MIN(F409,9)</x:f>
        <x:v>7</x:v>
      </x:c>
      <x:c r="J409" s="19" t="n">
        <x:v>0.4</x:v>
      </x:c>
      <x:c r="K409" s="2" t="n">
        <x:v>2</x:v>
      </x:c>
      <x:c r="L409" s="19" t="n">
        <x:v>0.2</x:v>
      </x:c>
      <x:c r="M409" s="19" t="n">
        <x:v>0.25</x:v>
      </x:c>
    </x:row>
    <x:row r="410" ht="23" customHeight="1">
      <x:c r="A410" s="2" t="str">
        <x:v>D040_T02_C020_G025</x:v>
      </x:c>
      <x:c r="B410" s="2" t="str">
        <x:v>A0041</x:v>
      </x:c>
      <x:c r="C410" s="2" t="str">
        <x:v>圈内</x:v>
      </x:c>
      <x:c r="D410" s="10" t="n">
        <x:v>1</x:v>
      </x:c>
      <x:c r="E410" s="10" t="n">
        <x:v>9</x:v>
      </x:c>
      <x:c r="F410" s="10" t="n">
        <x:v>8</x:v>
      </x:c>
      <x:c r="G410" s="10" t="n">
        <x:v>1</x:v>
      </x:c>
      <x:c r="H410" s="10" t="n">
        <x:f>IF(G410=1,E410-D410,"")</x:f>
        <x:v>8</x:v>
      </x:c>
      <x:c r="I410" s="10" t="n">
        <x:f>MIN(F410,9)</x:f>
        <x:v>8</x:v>
      </x:c>
      <x:c r="J410" s="19" t="n">
        <x:v>0.4</x:v>
      </x:c>
      <x:c r="K410" s="2" t="n">
        <x:v>2</x:v>
      </x:c>
      <x:c r="L410" s="19" t="n">
        <x:v>0.2</x:v>
      </x:c>
      <x:c r="M410" s="19" t="n">
        <x:v>0.25</x:v>
      </x:c>
    </x:row>
    <x:row r="411" ht="23" customHeight="1">
      <x:c r="A411" s="2" t="str">
        <x:v>D040_T02_C020_G025</x:v>
      </x:c>
      <x:c r="B411" s="2" t="str">
        <x:v>A0071</x:v>
      </x:c>
      <x:c r="C411" s="2" t="str">
        <x:v>圈内</x:v>
      </x:c>
      <x:c r="D411" s="10" t="n">
        <x:v>1</x:v>
      </x:c>
      <x:c r="E411" s="10" t="n">
        <x:v>8</x:v>
      </x:c>
      <x:c r="F411" s="10" t="n">
        <x:v>7</x:v>
      </x:c>
      <x:c r="G411" s="10" t="n">
        <x:v>1</x:v>
      </x:c>
      <x:c r="H411" s="10" t="n">
        <x:f>IF(G411=1,E411-D411,"")</x:f>
        <x:v>7</x:v>
      </x:c>
      <x:c r="I411" s="10" t="n">
        <x:f>MIN(F411,9)</x:f>
        <x:v>7</x:v>
      </x:c>
      <x:c r="J411" s="19" t="n">
        <x:v>0.4</x:v>
      </x:c>
      <x:c r="K411" s="2" t="n">
        <x:v>2</x:v>
      </x:c>
      <x:c r="L411" s="19" t="n">
        <x:v>0.2</x:v>
      </x:c>
      <x:c r="M411" s="19" t="n">
        <x:v>0.25</x:v>
      </x:c>
    </x:row>
    <x:row r="412" ht="23" customHeight="1">
      <x:c r="A412" s="2" t="str">
        <x:v>D040_T02_C020_G025</x:v>
      </x:c>
      <x:c r="B412" s="2" t="str">
        <x:v>A0189</x:v>
      </x:c>
      <x:c r="C412" s="2" t="str">
        <x:v>圈内</x:v>
      </x:c>
      <x:c r="D412" s="10" t="n">
        <x:v>1</x:v>
      </x:c>
      <x:c r="E412" s="10" t="n">
        <x:v>8</x:v>
      </x:c>
      <x:c r="F412" s="10" t="n">
        <x:v>7</x:v>
      </x:c>
      <x:c r="G412" s="10" t="n">
        <x:v>1</x:v>
      </x:c>
      <x:c r="H412" s="10" t="n">
        <x:f>IF(G412=1,E412-D412,"")</x:f>
        <x:v>7</x:v>
      </x:c>
      <x:c r="I412" s="10" t="n">
        <x:f>MIN(F412,9)</x:f>
        <x:v>7</x:v>
      </x:c>
      <x:c r="J412" s="19" t="n">
        <x:v>0.4</x:v>
      </x:c>
      <x:c r="K412" s="2" t="n">
        <x:v>2</x:v>
      </x:c>
      <x:c r="L412" s="19" t="n">
        <x:v>0.2</x:v>
      </x:c>
      <x:c r="M412" s="19" t="n">
        <x:v>0.25</x:v>
      </x:c>
    </x:row>
    <x:row r="413" ht="23" customHeight="1">
      <x:c r="A413" s="2" t="str">
        <x:v>D040_T02_C020_G025</x:v>
      </x:c>
      <x:c r="B413" s="2" t="str">
        <x:v>A0206</x:v>
      </x:c>
      <x:c r="C413" s="2" t="str">
        <x:v>圈内</x:v>
      </x:c>
      <x:c r="D413" s="10" t="n">
        <x:v>1</x:v>
      </x:c>
      <x:c r="E413" s="10" t="n">
        <x:v>3</x:v>
      </x:c>
      <x:c r="F413" s="10" t="n">
        <x:v>2</x:v>
      </x:c>
      <x:c r="G413" s="10" t="n">
        <x:v>1</x:v>
      </x:c>
      <x:c r="H413" s="10" t="n">
        <x:f>IF(G413=1,E413-D413,"")</x:f>
        <x:v>2</x:v>
      </x:c>
      <x:c r="I413" s="10" t="n">
        <x:f>MIN(F413,9)</x:f>
        <x:v>2</x:v>
      </x:c>
      <x:c r="J413" s="19" t="n">
        <x:v>0.4</x:v>
      </x:c>
      <x:c r="K413" s="2" t="n">
        <x:v>2</x:v>
      </x:c>
      <x:c r="L413" s="19" t="n">
        <x:v>0.2</x:v>
      </x:c>
      <x:c r="M413" s="19" t="n">
        <x:v>0.25</x:v>
      </x:c>
    </x:row>
    <x:row r="414" ht="23" customHeight="1">
      <x:c r="A414" s="2" t="str">
        <x:v>D040_T02_C020_G050</x:v>
      </x:c>
      <x:c r="B414" s="2" t="str">
        <x:v>A0001</x:v>
      </x:c>
      <x:c r="C414" s="2" t="str">
        <x:v>圈内</x:v>
      </x:c>
      <x:c r="D414" s="10" t="n">
        <x:v>1</x:v>
      </x:c>
      <x:c r="E414" s="10" t="n">
        <x:v>4</x:v>
      </x:c>
      <x:c r="F414" s="10" t="n">
        <x:v>3</x:v>
      </x:c>
      <x:c r="G414" s="10" t="n">
        <x:v>1</x:v>
      </x:c>
      <x:c r="H414" s="10" t="n">
        <x:f>IF(G414=1,E414-D414,"")</x:f>
        <x:v>3</x:v>
      </x:c>
      <x:c r="I414" s="10" t="n">
        <x:f>MIN(F414,9)</x:f>
        <x:v>3</x:v>
      </x:c>
      <x:c r="J414" s="19" t="n">
        <x:v>0.4</x:v>
      </x:c>
      <x:c r="K414" s="2" t="n">
        <x:v>2</x:v>
      </x:c>
      <x:c r="L414" s="19" t="n">
        <x:v>0.2</x:v>
      </x:c>
      <x:c r="M414" s="19" t="n">
        <x:v>0.5</x:v>
      </x:c>
    </x:row>
    <x:row r="415" ht="23" customHeight="1">
      <x:c r="A415" s="2" t="str">
        <x:v>D040_T02_C020_G050</x:v>
      </x:c>
      <x:c r="B415" s="2" t="str">
        <x:v>A0005</x:v>
      </x:c>
      <x:c r="C415" s="2" t="str">
        <x:v>圈内</x:v>
      </x:c>
      <x:c r="D415" s="10" t="n">
        <x:v>1</x:v>
      </x:c>
      <x:c r="E415" s="10" t="n">
        <x:v>4</x:v>
      </x:c>
      <x:c r="F415" s="10" t="n">
        <x:v>3</x:v>
      </x:c>
      <x:c r="G415" s="10" t="n">
        <x:v>1</x:v>
      </x:c>
      <x:c r="H415" s="10" t="n">
        <x:f>IF(G415=1,E415-D415,"")</x:f>
        <x:v>3</x:v>
      </x:c>
      <x:c r="I415" s="10" t="n">
        <x:f>MIN(F415,9)</x:f>
        <x:v>3</x:v>
      </x:c>
      <x:c r="J415" s="19" t="n">
        <x:v>0.4</x:v>
      </x:c>
      <x:c r="K415" s="2" t="n">
        <x:v>2</x:v>
      </x:c>
      <x:c r="L415" s="19" t="n">
        <x:v>0.2</x:v>
      </x:c>
      <x:c r="M415" s="19" t="n">
        <x:v>0.5</x:v>
      </x:c>
    </x:row>
    <x:row r="416" ht="23" customHeight="1">
      <x:c r="A416" s="2" t="str">
        <x:v>D040_T02_C020_G050</x:v>
      </x:c>
      <x:c r="B416" s="2" t="str">
        <x:v>A0008</x:v>
      </x:c>
      <x:c r="C416" s="2" t="str">
        <x:v>圈内</x:v>
      </x:c>
      <x:c r="D416" s="10" t="n">
        <x:v>1</x:v>
      </x:c>
      <x:c r="E416" s="10" t="n">
        <x:v>4</x:v>
      </x:c>
      <x:c r="F416" s="10" t="n">
        <x:v>3</x:v>
      </x:c>
      <x:c r="G416" s="10" t="n">
        <x:v>1</x:v>
      </x:c>
      <x:c r="H416" s="10" t="n">
        <x:f>IF(G416=1,E416-D416,"")</x:f>
        <x:v>3</x:v>
      </x:c>
      <x:c r="I416" s="10" t="n">
        <x:f>MIN(F416,9)</x:f>
        <x:v>3</x:v>
      </x:c>
      <x:c r="J416" s="19" t="n">
        <x:v>0.4</x:v>
      </x:c>
      <x:c r="K416" s="2" t="n">
        <x:v>2</x:v>
      </x:c>
      <x:c r="L416" s="19" t="n">
        <x:v>0.2</x:v>
      </x:c>
      <x:c r="M416" s="19" t="n">
        <x:v>0.5</x:v>
      </x:c>
    </x:row>
    <x:row r="417" ht="23" customHeight="1">
      <x:c r="A417" s="2" t="str">
        <x:v>D040_T02_C020_G050</x:v>
      </x:c>
      <x:c r="B417" s="2" t="str">
        <x:v>A0009</x:v>
      </x:c>
      <x:c r="C417" s="2" t="str">
        <x:v>圈内</x:v>
      </x:c>
      <x:c r="D417" s="10" t="n">
        <x:v>1</x:v>
      </x:c>
      <x:c r="E417" s="10" t="n">
        <x:v>3</x:v>
      </x:c>
      <x:c r="F417" s="10" t="n">
        <x:v>2</x:v>
      </x:c>
      <x:c r="G417" s="10" t="n">
        <x:v>1</x:v>
      </x:c>
      <x:c r="H417" s="10" t="n">
        <x:f>IF(G417=1,E417-D417,"")</x:f>
        <x:v>2</x:v>
      </x:c>
      <x:c r="I417" s="10" t="n">
        <x:f>MIN(F417,9)</x:f>
        <x:v>2</x:v>
      </x:c>
      <x:c r="J417" s="19" t="n">
        <x:v>0.4</x:v>
      </x:c>
      <x:c r="K417" s="2" t="n">
        <x:v>2</x:v>
      </x:c>
      <x:c r="L417" s="19" t="n">
        <x:v>0.2</x:v>
      </x:c>
      <x:c r="M417" s="19" t="n">
        <x:v>0.5</x:v>
      </x:c>
    </x:row>
    <x:row r="418" ht="23" customHeight="1">
      <x:c r="A418" s="2" t="str">
        <x:v>D040_T02_C020_G050</x:v>
      </x:c>
      <x:c r="B418" s="2" t="str">
        <x:v>A0011</x:v>
      </x:c>
      <x:c r="C418" s="2" t="str">
        <x:v>圈内</x:v>
      </x:c>
      <x:c r="D418" s="10" t="n">
        <x:v>1</x:v>
      </x:c>
      <x:c r="E418" s="10" t="n">
        <x:v>4</x:v>
      </x:c>
      <x:c r="F418" s="10" t="n">
        <x:v>3</x:v>
      </x:c>
      <x:c r="G418" s="10" t="n">
        <x:v>1</x:v>
      </x:c>
      <x:c r="H418" s="10" t="n">
        <x:f>IF(G418=1,E418-D418,"")</x:f>
        <x:v>3</x:v>
      </x:c>
      <x:c r="I418" s="10" t="n">
        <x:f>MIN(F418,9)</x:f>
        <x:v>3</x:v>
      </x:c>
      <x:c r="J418" s="19" t="n">
        <x:v>0.4</x:v>
      </x:c>
      <x:c r="K418" s="2" t="n">
        <x:v>2</x:v>
      </x:c>
      <x:c r="L418" s="19" t="n">
        <x:v>0.2</x:v>
      </x:c>
      <x:c r="M418" s="19" t="n">
        <x:v>0.5</x:v>
      </x:c>
    </x:row>
    <x:row r="419" ht="23" customHeight="1">
      <x:c r="A419" s="2" t="str">
        <x:v>D040_T02_C020_G050</x:v>
      </x:c>
      <x:c r="B419" s="2" t="str">
        <x:v>A0012</x:v>
      </x:c>
      <x:c r="C419" s="2" t="str">
        <x:v>圈内</x:v>
      </x:c>
      <x:c r="D419" s="10" t="n">
        <x:v>1</x:v>
      </x:c>
      <x:c r="E419" s="10"/>
      <x:c r="F419" s="10" t="n">
        <x:v>9</x:v>
      </x:c>
      <x:c r="G419" s="10" t="n">
        <x:v>0</x:v>
      </x:c>
      <x:c r="H419" s="10" t="str">
        <x:f>IF(G419=1,E419-D419,"")</x:f>
      </x:c>
      <x:c r="I419" s="10" t="n">
        <x:f>MIN(F419,9)</x:f>
        <x:v>9</x:v>
      </x:c>
      <x:c r="J419" s="19" t="n">
        <x:v>0.4</x:v>
      </x:c>
      <x:c r="K419" s="2" t="n">
        <x:v>2</x:v>
      </x:c>
      <x:c r="L419" s="19" t="n">
        <x:v>0.2</x:v>
      </x:c>
      <x:c r="M419" s="19" t="n">
        <x:v>0.5</x:v>
      </x:c>
    </x:row>
    <x:row r="420" ht="23" customHeight="1">
      <x:c r="A420" s="2" t="str">
        <x:v>D040_T02_C020_G050</x:v>
      </x:c>
      <x:c r="B420" s="2" t="str">
        <x:v>A0014</x:v>
      </x:c>
      <x:c r="C420" s="2" t="str">
        <x:v>圈内</x:v>
      </x:c>
      <x:c r="D420" s="10" t="n">
        <x:v>1</x:v>
      </x:c>
      <x:c r="E420" s="10" t="n">
        <x:v>2</x:v>
      </x:c>
      <x:c r="F420" s="10" t="n">
        <x:v>1</x:v>
      </x:c>
      <x:c r="G420" s="10" t="n">
        <x:v>1</x:v>
      </x:c>
      <x:c r="H420" s="10" t="n">
        <x:f>IF(G420=1,E420-D420,"")</x:f>
        <x:v>1</x:v>
      </x:c>
      <x:c r="I420" s="10" t="n">
        <x:f>MIN(F420,9)</x:f>
        <x:v>1</x:v>
      </x:c>
      <x:c r="J420" s="19" t="n">
        <x:v>0.4</x:v>
      </x:c>
      <x:c r="K420" s="2" t="n">
        <x:v>2</x:v>
      </x:c>
      <x:c r="L420" s="19" t="n">
        <x:v>0.2</x:v>
      </x:c>
      <x:c r="M420" s="19" t="n">
        <x:v>0.5</x:v>
      </x:c>
    </x:row>
    <x:row r="421" ht="23" customHeight="1">
      <x:c r="A421" s="2" t="str">
        <x:v>D040_T02_C020_G050</x:v>
      </x:c>
      <x:c r="B421" s="2" t="str">
        <x:v>A0016</x:v>
      </x:c>
      <x:c r="C421" s="2" t="str">
        <x:v>圈内</x:v>
      </x:c>
      <x:c r="D421" s="10" t="n">
        <x:v>1</x:v>
      </x:c>
      <x:c r="E421" s="10" t="n">
        <x:v>4</x:v>
      </x:c>
      <x:c r="F421" s="10" t="n">
        <x:v>3</x:v>
      </x:c>
      <x:c r="G421" s="10" t="n">
        <x:v>1</x:v>
      </x:c>
      <x:c r="H421" s="10" t="n">
        <x:f>IF(G421=1,E421-D421,"")</x:f>
        <x:v>3</x:v>
      </x:c>
      <x:c r="I421" s="10" t="n">
        <x:f>MIN(F421,9)</x:f>
        <x:v>3</x:v>
      </x:c>
      <x:c r="J421" s="19" t="n">
        <x:v>0.4</x:v>
      </x:c>
      <x:c r="K421" s="2" t="n">
        <x:v>2</x:v>
      </x:c>
      <x:c r="L421" s="19" t="n">
        <x:v>0.2</x:v>
      </x:c>
      <x:c r="M421" s="19" t="n">
        <x:v>0.5</x:v>
      </x:c>
    </x:row>
    <x:row r="422" ht="23" customHeight="1">
      <x:c r="A422" s="2" t="str">
        <x:v>D040_T02_C020_G050</x:v>
      </x:c>
      <x:c r="B422" s="2" t="str">
        <x:v>A0017</x:v>
      </x:c>
      <x:c r="C422" s="2" t="str">
        <x:v>圈内</x:v>
      </x:c>
      <x:c r="D422" s="10" t="n">
        <x:v>1</x:v>
      </x:c>
      <x:c r="E422" s="10" t="n">
        <x:v>4</x:v>
      </x:c>
      <x:c r="F422" s="10" t="n">
        <x:v>3</x:v>
      </x:c>
      <x:c r="G422" s="10" t="n">
        <x:v>1</x:v>
      </x:c>
      <x:c r="H422" s="10" t="n">
        <x:f>IF(G422=1,E422-D422,"")</x:f>
        <x:v>3</x:v>
      </x:c>
      <x:c r="I422" s="10" t="n">
        <x:f>MIN(F422,9)</x:f>
        <x:v>3</x:v>
      </x:c>
      <x:c r="J422" s="19" t="n">
        <x:v>0.4</x:v>
      </x:c>
      <x:c r="K422" s="2" t="n">
        <x:v>2</x:v>
      </x:c>
      <x:c r="L422" s="19" t="n">
        <x:v>0.2</x:v>
      </x:c>
      <x:c r="M422" s="19" t="n">
        <x:v>0.5</x:v>
      </x:c>
    </x:row>
    <x:row r="423" ht="23" customHeight="1">
      <x:c r="A423" s="2" t="str">
        <x:v>D040_T02_C020_G050</x:v>
      </x:c>
      <x:c r="B423" s="2" t="str">
        <x:v>A0018</x:v>
      </x:c>
      <x:c r="C423" s="2" t="str">
        <x:v>圈内</x:v>
      </x:c>
      <x:c r="D423" s="10" t="n">
        <x:v>1</x:v>
      </x:c>
      <x:c r="E423" s="10" t="n">
        <x:v>4</x:v>
      </x:c>
      <x:c r="F423" s="10" t="n">
        <x:v>3</x:v>
      </x:c>
      <x:c r="G423" s="10" t="n">
        <x:v>1</x:v>
      </x:c>
      <x:c r="H423" s="10" t="n">
        <x:f>IF(G423=1,E423-D423,"")</x:f>
        <x:v>3</x:v>
      </x:c>
      <x:c r="I423" s="10" t="n">
        <x:f>MIN(F423,9)</x:f>
        <x:v>3</x:v>
      </x:c>
      <x:c r="J423" s="19" t="n">
        <x:v>0.4</x:v>
      </x:c>
      <x:c r="K423" s="2" t="n">
        <x:v>2</x:v>
      </x:c>
      <x:c r="L423" s="19" t="n">
        <x:v>0.2</x:v>
      </x:c>
      <x:c r="M423" s="19" t="n">
        <x:v>0.5</x:v>
      </x:c>
    </x:row>
    <x:row r="424" ht="23" customHeight="1">
      <x:c r="A424" s="2" t="str">
        <x:v>D040_T02_C020_G050</x:v>
      </x:c>
      <x:c r="B424" s="2" t="str">
        <x:v>A0020</x:v>
      </x:c>
      <x:c r="C424" s="2" t="str">
        <x:v>圈内</x:v>
      </x:c>
      <x:c r="D424" s="10" t="n">
        <x:v>1</x:v>
      </x:c>
      <x:c r="E424" s="10" t="n">
        <x:v>2</x:v>
      </x:c>
      <x:c r="F424" s="10" t="n">
        <x:v>1</x:v>
      </x:c>
      <x:c r="G424" s="10" t="n">
        <x:v>1</x:v>
      </x:c>
      <x:c r="H424" s="10" t="n">
        <x:f>IF(G424=1,E424-D424,"")</x:f>
        <x:v>1</x:v>
      </x:c>
      <x:c r="I424" s="10" t="n">
        <x:f>MIN(F424,9)</x:f>
        <x:v>1</x:v>
      </x:c>
      <x:c r="J424" s="19" t="n">
        <x:v>0.4</x:v>
      </x:c>
      <x:c r="K424" s="2" t="n">
        <x:v>2</x:v>
      </x:c>
      <x:c r="L424" s="19" t="n">
        <x:v>0.2</x:v>
      </x:c>
      <x:c r="M424" s="19" t="n">
        <x:v>0.5</x:v>
      </x:c>
    </x:row>
    <x:row r="425" ht="23" customHeight="1">
      <x:c r="A425" s="2" t="str">
        <x:v>D040_T02_C020_G050</x:v>
      </x:c>
      <x:c r="B425" s="2" t="str">
        <x:v>A0022</x:v>
      </x:c>
      <x:c r="C425" s="2" t="str">
        <x:v>圈内</x:v>
      </x:c>
      <x:c r="D425" s="10" t="n">
        <x:v>1</x:v>
      </x:c>
      <x:c r="E425" s="10" t="n">
        <x:v>4</x:v>
      </x:c>
      <x:c r="F425" s="10" t="n">
        <x:v>3</x:v>
      </x:c>
      <x:c r="G425" s="10" t="n">
        <x:v>1</x:v>
      </x:c>
      <x:c r="H425" s="10" t="n">
        <x:f>IF(G425=1,E425-D425,"")</x:f>
        <x:v>3</x:v>
      </x:c>
      <x:c r="I425" s="10" t="n">
        <x:f>MIN(F425,9)</x:f>
        <x:v>3</x:v>
      </x:c>
      <x:c r="J425" s="19" t="n">
        <x:v>0.4</x:v>
      </x:c>
      <x:c r="K425" s="2" t="n">
        <x:v>2</x:v>
      </x:c>
      <x:c r="L425" s="19" t="n">
        <x:v>0.2</x:v>
      </x:c>
      <x:c r="M425" s="19" t="n">
        <x:v>0.5</x:v>
      </x:c>
    </x:row>
    <x:row r="426" ht="23" customHeight="1">
      <x:c r="A426" s="2" t="str">
        <x:v>D040_T02_C020_G050</x:v>
      </x:c>
      <x:c r="B426" s="2" t="str">
        <x:v>A0024</x:v>
      </x:c>
      <x:c r="C426" s="2" t="str">
        <x:v>圈内</x:v>
      </x:c>
      <x:c r="D426" s="10" t="n">
        <x:v>1</x:v>
      </x:c>
      <x:c r="E426" s="10" t="n">
        <x:v>4</x:v>
      </x:c>
      <x:c r="F426" s="10" t="n">
        <x:v>3</x:v>
      </x:c>
      <x:c r="G426" s="10" t="n">
        <x:v>1</x:v>
      </x:c>
      <x:c r="H426" s="10" t="n">
        <x:f>IF(G426=1,E426-D426,"")</x:f>
        <x:v>3</x:v>
      </x:c>
      <x:c r="I426" s="10" t="n">
        <x:f>MIN(F426,9)</x:f>
        <x:v>3</x:v>
      </x:c>
      <x:c r="J426" s="19" t="n">
        <x:v>0.4</x:v>
      </x:c>
      <x:c r="K426" s="2" t="n">
        <x:v>2</x:v>
      </x:c>
      <x:c r="L426" s="19" t="n">
        <x:v>0.2</x:v>
      </x:c>
      <x:c r="M426" s="19" t="n">
        <x:v>0.5</x:v>
      </x:c>
    </x:row>
    <x:row r="427" ht="23" customHeight="1">
      <x:c r="A427" s="2" t="str">
        <x:v>D040_T02_C020_G050</x:v>
      </x:c>
      <x:c r="B427" s="2" t="str">
        <x:v>A0025</x:v>
      </x:c>
      <x:c r="C427" s="2" t="str">
        <x:v>圈内</x:v>
      </x:c>
      <x:c r="D427" s="10" t="n">
        <x:v>1</x:v>
      </x:c>
      <x:c r="E427" s="10" t="n">
        <x:v>2</x:v>
      </x:c>
      <x:c r="F427" s="10" t="n">
        <x:v>1</x:v>
      </x:c>
      <x:c r="G427" s="10" t="n">
        <x:v>1</x:v>
      </x:c>
      <x:c r="H427" s="10" t="n">
        <x:f>IF(G427=1,E427-D427,"")</x:f>
        <x:v>1</x:v>
      </x:c>
      <x:c r="I427" s="10" t="n">
        <x:f>MIN(F427,9)</x:f>
        <x:v>1</x:v>
      </x:c>
      <x:c r="J427" s="19" t="n">
        <x:v>0.4</x:v>
      </x:c>
      <x:c r="K427" s="2" t="n">
        <x:v>2</x:v>
      </x:c>
      <x:c r="L427" s="19" t="n">
        <x:v>0.2</x:v>
      </x:c>
      <x:c r="M427" s="19" t="n">
        <x:v>0.5</x:v>
      </x:c>
    </x:row>
    <x:row r="428" ht="23" customHeight="1">
      <x:c r="A428" s="2" t="str">
        <x:v>D040_T02_C020_G050</x:v>
      </x:c>
      <x:c r="B428" s="2" t="str">
        <x:v>A0026</x:v>
      </x:c>
      <x:c r="C428" s="2" t="str">
        <x:v>圈内</x:v>
      </x:c>
      <x:c r="D428" s="10" t="n">
        <x:v>1</x:v>
      </x:c>
      <x:c r="E428" s="10" t="n">
        <x:v>2</x:v>
      </x:c>
      <x:c r="F428" s="10" t="n">
        <x:v>1</x:v>
      </x:c>
      <x:c r="G428" s="10" t="n">
        <x:v>1</x:v>
      </x:c>
      <x:c r="H428" s="10" t="n">
        <x:f>IF(G428=1,E428-D428,"")</x:f>
        <x:v>1</x:v>
      </x:c>
      <x:c r="I428" s="10" t="n">
        <x:f>MIN(F428,9)</x:f>
        <x:v>1</x:v>
      </x:c>
      <x:c r="J428" s="19" t="n">
        <x:v>0.4</x:v>
      </x:c>
      <x:c r="K428" s="2" t="n">
        <x:v>2</x:v>
      </x:c>
      <x:c r="L428" s="19" t="n">
        <x:v>0.2</x:v>
      </x:c>
      <x:c r="M428" s="19" t="n">
        <x:v>0.5</x:v>
      </x:c>
    </x:row>
    <x:row r="429" ht="23" customHeight="1">
      <x:c r="A429" s="2" t="str">
        <x:v>D040_T02_C020_G050</x:v>
      </x:c>
      <x:c r="B429" s="2" t="str">
        <x:v>A0027</x:v>
      </x:c>
      <x:c r="C429" s="2" t="str">
        <x:v>圈内</x:v>
      </x:c>
      <x:c r="D429" s="10" t="n">
        <x:v>1</x:v>
      </x:c>
      <x:c r="E429" s="10" t="n">
        <x:v>4</x:v>
      </x:c>
      <x:c r="F429" s="10" t="n">
        <x:v>3</x:v>
      </x:c>
      <x:c r="G429" s="10" t="n">
        <x:v>1</x:v>
      </x:c>
      <x:c r="H429" s="10" t="n">
        <x:f>IF(G429=1,E429-D429,"")</x:f>
        <x:v>3</x:v>
      </x:c>
      <x:c r="I429" s="10" t="n">
        <x:f>MIN(F429,9)</x:f>
        <x:v>3</x:v>
      </x:c>
      <x:c r="J429" s="19" t="n">
        <x:v>0.4</x:v>
      </x:c>
      <x:c r="K429" s="2" t="n">
        <x:v>2</x:v>
      </x:c>
      <x:c r="L429" s="19" t="n">
        <x:v>0.2</x:v>
      </x:c>
      <x:c r="M429" s="19" t="n">
        <x:v>0.5</x:v>
      </x:c>
    </x:row>
    <x:row r="430" ht="23" customHeight="1">
      <x:c r="A430" s="2" t="str">
        <x:v>D040_T02_C020_G050</x:v>
      </x:c>
      <x:c r="B430" s="2" t="str">
        <x:v>A0029</x:v>
      </x:c>
      <x:c r="C430" s="2" t="str">
        <x:v>圈内</x:v>
      </x:c>
      <x:c r="D430" s="10" t="n">
        <x:v>1</x:v>
      </x:c>
      <x:c r="E430" s="10" t="n">
        <x:v>4</x:v>
      </x:c>
      <x:c r="F430" s="10" t="n">
        <x:v>3</x:v>
      </x:c>
      <x:c r="G430" s="10" t="n">
        <x:v>1</x:v>
      </x:c>
      <x:c r="H430" s="10" t="n">
        <x:f>IF(G430=1,E430-D430,"")</x:f>
        <x:v>3</x:v>
      </x:c>
      <x:c r="I430" s="10" t="n">
        <x:f>MIN(F430,9)</x:f>
        <x:v>3</x:v>
      </x:c>
      <x:c r="J430" s="19" t="n">
        <x:v>0.4</x:v>
      </x:c>
      <x:c r="K430" s="2" t="n">
        <x:v>2</x:v>
      </x:c>
      <x:c r="L430" s="19" t="n">
        <x:v>0.2</x:v>
      </x:c>
      <x:c r="M430" s="19" t="n">
        <x:v>0.5</x:v>
      </x:c>
    </x:row>
    <x:row r="431" ht="23" customHeight="1">
      <x:c r="A431" s="2" t="str">
        <x:v>D040_T02_C020_G050</x:v>
      </x:c>
      <x:c r="B431" s="2" t="str">
        <x:v>A0030</x:v>
      </x:c>
      <x:c r="C431" s="2" t="str">
        <x:v>圈内</x:v>
      </x:c>
      <x:c r="D431" s="10" t="n">
        <x:v>1</x:v>
      </x:c>
      <x:c r="E431" s="10" t="n">
        <x:v>4</x:v>
      </x:c>
      <x:c r="F431" s="10" t="n">
        <x:v>3</x:v>
      </x:c>
      <x:c r="G431" s="10" t="n">
        <x:v>1</x:v>
      </x:c>
      <x:c r="H431" s="10" t="n">
        <x:f>IF(G431=1,E431-D431,"")</x:f>
        <x:v>3</x:v>
      </x:c>
      <x:c r="I431" s="10" t="n">
        <x:f>MIN(F431,9)</x:f>
        <x:v>3</x:v>
      </x:c>
      <x:c r="J431" s="19" t="n">
        <x:v>0.4</x:v>
      </x:c>
      <x:c r="K431" s="2" t="n">
        <x:v>2</x:v>
      </x:c>
      <x:c r="L431" s="19" t="n">
        <x:v>0.2</x:v>
      </x:c>
      <x:c r="M431" s="19" t="n">
        <x:v>0.5</x:v>
      </x:c>
    </x:row>
    <x:row r="432" ht="23" customHeight="1">
      <x:c r="A432" s="2" t="str">
        <x:v>D040_T02_C020_G050</x:v>
      </x:c>
      <x:c r="B432" s="2" t="str">
        <x:v>A0032</x:v>
      </x:c>
      <x:c r="C432" s="2" t="str">
        <x:v>圈内</x:v>
      </x:c>
      <x:c r="D432" s="10" t="n">
        <x:v>1</x:v>
      </x:c>
      <x:c r="E432" s="10" t="n">
        <x:v>2</x:v>
      </x:c>
      <x:c r="F432" s="10" t="n">
        <x:v>1</x:v>
      </x:c>
      <x:c r="G432" s="10" t="n">
        <x:v>1</x:v>
      </x:c>
      <x:c r="H432" s="10" t="n">
        <x:f>IF(G432=1,E432-D432,"")</x:f>
        <x:v>1</x:v>
      </x:c>
      <x:c r="I432" s="10" t="n">
        <x:f>MIN(F432,9)</x:f>
        <x:v>1</x:v>
      </x:c>
      <x:c r="J432" s="19" t="n">
        <x:v>0.4</x:v>
      </x:c>
      <x:c r="K432" s="2" t="n">
        <x:v>2</x:v>
      </x:c>
      <x:c r="L432" s="19" t="n">
        <x:v>0.2</x:v>
      </x:c>
      <x:c r="M432" s="19" t="n">
        <x:v>0.5</x:v>
      </x:c>
    </x:row>
    <x:row r="433" ht="23" customHeight="1">
      <x:c r="A433" s="2" t="str">
        <x:v>D040_T02_C020_G050</x:v>
      </x:c>
      <x:c r="B433" s="2" t="str">
        <x:v>A0033</x:v>
      </x:c>
      <x:c r="C433" s="2" t="str">
        <x:v>圈内</x:v>
      </x:c>
      <x:c r="D433" s="10" t="n">
        <x:v>1</x:v>
      </x:c>
      <x:c r="E433" s="10" t="n">
        <x:v>3</x:v>
      </x:c>
      <x:c r="F433" s="10" t="n">
        <x:v>2</x:v>
      </x:c>
      <x:c r="G433" s="10" t="n">
        <x:v>1</x:v>
      </x:c>
      <x:c r="H433" s="10" t="n">
        <x:f>IF(G433=1,E433-D433,"")</x:f>
        <x:v>2</x:v>
      </x:c>
      <x:c r="I433" s="10" t="n">
        <x:f>MIN(F433,9)</x:f>
        <x:v>2</x:v>
      </x:c>
      <x:c r="J433" s="19" t="n">
        <x:v>0.4</x:v>
      </x:c>
      <x:c r="K433" s="2" t="n">
        <x:v>2</x:v>
      </x:c>
      <x:c r="L433" s="19" t="n">
        <x:v>0.2</x:v>
      </x:c>
      <x:c r="M433" s="19" t="n">
        <x:v>0.5</x:v>
      </x:c>
    </x:row>
    <x:row r="434" ht="23" customHeight="1">
      <x:c r="A434" s="2" t="str">
        <x:v>D040_T02_C020_G050</x:v>
      </x:c>
      <x:c r="B434" s="2" t="str">
        <x:v>A0035</x:v>
      </x:c>
      <x:c r="C434" s="2" t="str">
        <x:v>圈内</x:v>
      </x:c>
      <x:c r="D434" s="10" t="n">
        <x:v>1</x:v>
      </x:c>
      <x:c r="E434" s="10" t="n">
        <x:v>3</x:v>
      </x:c>
      <x:c r="F434" s="10" t="n">
        <x:v>2</x:v>
      </x:c>
      <x:c r="G434" s="10" t="n">
        <x:v>1</x:v>
      </x:c>
      <x:c r="H434" s="10" t="n">
        <x:f>IF(G434=1,E434-D434,"")</x:f>
        <x:v>2</x:v>
      </x:c>
      <x:c r="I434" s="10" t="n">
        <x:f>MIN(F434,9)</x:f>
        <x:v>2</x:v>
      </x:c>
      <x:c r="J434" s="19" t="n">
        <x:v>0.4</x:v>
      </x:c>
      <x:c r="K434" s="2" t="n">
        <x:v>2</x:v>
      </x:c>
      <x:c r="L434" s="19" t="n">
        <x:v>0.2</x:v>
      </x:c>
      <x:c r="M434" s="19" t="n">
        <x:v>0.5</x:v>
      </x:c>
    </x:row>
    <x:row r="435" ht="23" customHeight="1">
      <x:c r="A435" s="2" t="str">
        <x:v>D040_T02_C020_G050</x:v>
      </x:c>
      <x:c r="B435" s="2" t="str">
        <x:v>A0036</x:v>
      </x:c>
      <x:c r="C435" s="2" t="str">
        <x:v>圈内</x:v>
      </x:c>
      <x:c r="D435" s="10" t="n">
        <x:v>1</x:v>
      </x:c>
      <x:c r="E435" s="10" t="n">
        <x:v>3</x:v>
      </x:c>
      <x:c r="F435" s="10" t="n">
        <x:v>2</x:v>
      </x:c>
      <x:c r="G435" s="10" t="n">
        <x:v>1</x:v>
      </x:c>
      <x:c r="H435" s="10" t="n">
        <x:f>IF(G435=1,E435-D435,"")</x:f>
        <x:v>2</x:v>
      </x:c>
      <x:c r="I435" s="10" t="n">
        <x:f>MIN(F435,9)</x:f>
        <x:v>2</x:v>
      </x:c>
      <x:c r="J435" s="19" t="n">
        <x:v>0.4</x:v>
      </x:c>
      <x:c r="K435" s="2" t="n">
        <x:v>2</x:v>
      </x:c>
      <x:c r="L435" s="19" t="n">
        <x:v>0.2</x:v>
      </x:c>
      <x:c r="M435" s="19" t="n">
        <x:v>0.5</x:v>
      </x:c>
    </x:row>
    <x:row r="436" ht="23" customHeight="1">
      <x:c r="A436" s="2" t="str">
        <x:v>D040_T02_C020_G050</x:v>
      </x:c>
      <x:c r="B436" s="2" t="str">
        <x:v>A0037</x:v>
      </x:c>
      <x:c r="C436" s="2" t="str">
        <x:v>圈内</x:v>
      </x:c>
      <x:c r="D436" s="10" t="n">
        <x:v>1</x:v>
      </x:c>
      <x:c r="E436" s="10" t="n">
        <x:v>4</x:v>
      </x:c>
      <x:c r="F436" s="10" t="n">
        <x:v>3</x:v>
      </x:c>
      <x:c r="G436" s="10" t="n">
        <x:v>1</x:v>
      </x:c>
      <x:c r="H436" s="10" t="n">
        <x:f>IF(G436=1,E436-D436,"")</x:f>
        <x:v>3</x:v>
      </x:c>
      <x:c r="I436" s="10" t="n">
        <x:f>MIN(F436,9)</x:f>
        <x:v>3</x:v>
      </x:c>
      <x:c r="J436" s="19" t="n">
        <x:v>0.4</x:v>
      </x:c>
      <x:c r="K436" s="2" t="n">
        <x:v>2</x:v>
      </x:c>
      <x:c r="L436" s="19" t="n">
        <x:v>0.2</x:v>
      </x:c>
      <x:c r="M436" s="19" t="n">
        <x:v>0.5</x:v>
      </x:c>
    </x:row>
    <x:row r="437" ht="23" customHeight="1">
      <x:c r="A437" s="2" t="str">
        <x:v>D040_T02_C020_G050</x:v>
      </x:c>
      <x:c r="B437" s="2" t="str">
        <x:v>A0040</x:v>
      </x:c>
      <x:c r="C437" s="2" t="str">
        <x:v>圈内</x:v>
      </x:c>
      <x:c r="D437" s="10" t="n">
        <x:v>1</x:v>
      </x:c>
      <x:c r="E437" s="10" t="n">
        <x:v>4</x:v>
      </x:c>
      <x:c r="F437" s="10" t="n">
        <x:v>3</x:v>
      </x:c>
      <x:c r="G437" s="10" t="n">
        <x:v>1</x:v>
      </x:c>
      <x:c r="H437" s="10" t="n">
        <x:f>IF(G437=1,E437-D437,"")</x:f>
        <x:v>3</x:v>
      </x:c>
      <x:c r="I437" s="10" t="n">
        <x:f>MIN(F437,9)</x:f>
        <x:v>3</x:v>
      </x:c>
      <x:c r="J437" s="19" t="n">
        <x:v>0.4</x:v>
      </x:c>
      <x:c r="K437" s="2" t="n">
        <x:v>2</x:v>
      </x:c>
      <x:c r="L437" s="19" t="n">
        <x:v>0.2</x:v>
      </x:c>
      <x:c r="M437" s="19" t="n">
        <x:v>0.5</x:v>
      </x:c>
    </x:row>
    <x:row r="438" ht="23" customHeight="1">
      <x:c r="A438" s="2" t="str">
        <x:v>D040_T02_C020_G050</x:v>
      </x:c>
      <x:c r="B438" s="2" t="str">
        <x:v>A0041</x:v>
      </x:c>
      <x:c r="C438" s="2" t="str">
        <x:v>圈内</x:v>
      </x:c>
      <x:c r="D438" s="10" t="n">
        <x:v>1</x:v>
      </x:c>
      <x:c r="E438" s="10" t="n">
        <x:v>5</x:v>
      </x:c>
      <x:c r="F438" s="10" t="n">
        <x:v>4</x:v>
      </x:c>
      <x:c r="G438" s="10" t="n">
        <x:v>1</x:v>
      </x:c>
      <x:c r="H438" s="10" t="n">
        <x:f>IF(G438=1,E438-D438,"")</x:f>
        <x:v>4</x:v>
      </x:c>
      <x:c r="I438" s="10" t="n">
        <x:f>MIN(F438,9)</x:f>
        <x:v>4</x:v>
      </x:c>
      <x:c r="J438" s="19" t="n">
        <x:v>0.4</x:v>
      </x:c>
      <x:c r="K438" s="2" t="n">
        <x:v>2</x:v>
      </x:c>
      <x:c r="L438" s="19" t="n">
        <x:v>0.2</x:v>
      </x:c>
      <x:c r="M438" s="19" t="n">
        <x:v>0.5</x:v>
      </x:c>
    </x:row>
    <x:row r="439" ht="23" customHeight="1">
      <x:c r="A439" s="2" t="str">
        <x:v>D040_T02_C020_G050</x:v>
      </x:c>
      <x:c r="B439" s="2" t="str">
        <x:v>A0071</x:v>
      </x:c>
      <x:c r="C439" s="2" t="str">
        <x:v>圈内</x:v>
      </x:c>
      <x:c r="D439" s="10" t="n">
        <x:v>1</x:v>
      </x:c>
      <x:c r="E439" s="10" t="n">
        <x:v>4</x:v>
      </x:c>
      <x:c r="F439" s="10" t="n">
        <x:v>3</x:v>
      </x:c>
      <x:c r="G439" s="10" t="n">
        <x:v>1</x:v>
      </x:c>
      <x:c r="H439" s="10" t="n">
        <x:f>IF(G439=1,E439-D439,"")</x:f>
        <x:v>3</x:v>
      </x:c>
      <x:c r="I439" s="10" t="n">
        <x:f>MIN(F439,9)</x:f>
        <x:v>3</x:v>
      </x:c>
      <x:c r="J439" s="19" t="n">
        <x:v>0.4</x:v>
      </x:c>
      <x:c r="K439" s="2" t="n">
        <x:v>2</x:v>
      </x:c>
      <x:c r="L439" s="19" t="n">
        <x:v>0.2</x:v>
      </x:c>
      <x:c r="M439" s="19" t="n">
        <x:v>0.5</x:v>
      </x:c>
    </x:row>
    <x:row r="440" ht="23" customHeight="1">
      <x:c r="A440" s="2" t="str">
        <x:v>D040_T02_C020_G050</x:v>
      </x:c>
      <x:c r="B440" s="2" t="str">
        <x:v>A0090</x:v>
      </x:c>
      <x:c r="C440" s="2" t="str">
        <x:v>圈内</x:v>
      </x:c>
      <x:c r="D440" s="10" t="n">
        <x:v>1</x:v>
      </x:c>
      <x:c r="E440" s="10" t="n">
        <x:v>3</x:v>
      </x:c>
      <x:c r="F440" s="10" t="n">
        <x:v>2</x:v>
      </x:c>
      <x:c r="G440" s="10" t="n">
        <x:v>1</x:v>
      </x:c>
      <x:c r="H440" s="10" t="n">
        <x:f>IF(G440=1,E440-D440,"")</x:f>
        <x:v>2</x:v>
      </x:c>
      <x:c r="I440" s="10" t="n">
        <x:f>MIN(F440,9)</x:f>
        <x:v>2</x:v>
      </x:c>
      <x:c r="J440" s="19" t="n">
        <x:v>0.4</x:v>
      </x:c>
      <x:c r="K440" s="2" t="n">
        <x:v>2</x:v>
      </x:c>
      <x:c r="L440" s="19" t="n">
        <x:v>0.2</x:v>
      </x:c>
      <x:c r="M440" s="19" t="n">
        <x:v>0.5</x:v>
      </x:c>
    </x:row>
    <x:row r="441" ht="23" customHeight="1">
      <x:c r="A441" s="2" t="str">
        <x:v>D040_T02_C020_G050</x:v>
      </x:c>
      <x:c r="B441" s="2" t="str">
        <x:v>A0189</x:v>
      </x:c>
      <x:c r="C441" s="2" t="str">
        <x:v>圈内</x:v>
      </x:c>
      <x:c r="D441" s="10" t="n">
        <x:v>1</x:v>
      </x:c>
      <x:c r="E441" s="10" t="n">
        <x:v>5</x:v>
      </x:c>
      <x:c r="F441" s="10" t="n">
        <x:v>4</x:v>
      </x:c>
      <x:c r="G441" s="10" t="n">
        <x:v>1</x:v>
      </x:c>
      <x:c r="H441" s="10" t="n">
        <x:f>IF(G441=1,E441-D441,"")</x:f>
        <x:v>4</x:v>
      </x:c>
      <x:c r="I441" s="10" t="n">
        <x:f>MIN(F441,9)</x:f>
        <x:v>4</x:v>
      </x:c>
      <x:c r="J441" s="19" t="n">
        <x:v>0.4</x:v>
      </x:c>
      <x:c r="K441" s="2" t="n">
        <x:v>2</x:v>
      </x:c>
      <x:c r="L441" s="19" t="n">
        <x:v>0.2</x:v>
      </x:c>
      <x:c r="M441" s="19" t="n">
        <x:v>0.5</x:v>
      </x:c>
    </x:row>
    <x:row r="442" ht="23" customHeight="1">
      <x:c r="A442" s="2" t="str">
        <x:v>D040_T02_C020_G050</x:v>
      </x:c>
      <x:c r="B442" s="2" t="str">
        <x:v>A0206</x:v>
      </x:c>
      <x:c r="C442" s="2" t="str">
        <x:v>圈内</x:v>
      </x:c>
      <x:c r="D442" s="10" t="n">
        <x:v>1</x:v>
      </x:c>
      <x:c r="E442" s="10" t="n">
        <x:v>2</x:v>
      </x:c>
      <x:c r="F442" s="10" t="n">
        <x:v>1</x:v>
      </x:c>
      <x:c r="G442" s="10" t="n">
        <x:v>1</x:v>
      </x:c>
      <x:c r="H442" s="10" t="n">
        <x:f>IF(G442=1,E442-D442,"")</x:f>
        <x:v>1</x:v>
      </x:c>
      <x:c r="I442" s="10" t="n">
        <x:f>MIN(F442,9)</x:f>
        <x:v>1</x:v>
      </x:c>
      <x:c r="J442" s="19" t="n">
        <x:v>0.4</x:v>
      </x:c>
      <x:c r="K442" s="2" t="n">
        <x:v>2</x:v>
      </x:c>
      <x:c r="L442" s="19" t="n">
        <x:v>0.2</x:v>
      </x:c>
      <x:c r="M442" s="19" t="n">
        <x:v>0.5</x:v>
      </x:c>
    </x:row>
    <x:row r="443" ht="23" customHeight="1">
      <x:c r="A443" s="2" t="str">
        <x:v>D040_T02_C020_G075</x:v>
      </x:c>
      <x:c r="B443" s="2" t="str">
        <x:v>A0005</x:v>
      </x:c>
      <x:c r="C443" s="2" t="str">
        <x:v>圈内</x:v>
      </x:c>
      <x:c r="D443" s="10" t="n">
        <x:v>1</x:v>
      </x:c>
      <x:c r="E443" s="10" t="n">
        <x:v>4</x:v>
      </x:c>
      <x:c r="F443" s="10" t="n">
        <x:v>3</x:v>
      </x:c>
      <x:c r="G443" s="10" t="n">
        <x:v>1</x:v>
      </x:c>
      <x:c r="H443" s="10" t="n">
        <x:f>IF(G443=1,E443-D443,"")</x:f>
        <x:v>3</x:v>
      </x:c>
      <x:c r="I443" s="10" t="n">
        <x:f>MIN(F443,9)</x:f>
        <x:v>3</x:v>
      </x:c>
      <x:c r="J443" s="19" t="n">
        <x:v>0.4</x:v>
      </x:c>
      <x:c r="K443" s="2" t="n">
        <x:v>2</x:v>
      </x:c>
      <x:c r="L443" s="19" t="n">
        <x:v>0.2</x:v>
      </x:c>
      <x:c r="M443" s="19" t="n">
        <x:v>0.75</x:v>
      </x:c>
    </x:row>
    <x:row r="444" ht="23" customHeight="1">
      <x:c r="A444" s="2" t="str">
        <x:v>D040_T02_C020_G075</x:v>
      </x:c>
      <x:c r="B444" s="2" t="str">
        <x:v>A0008</x:v>
      </x:c>
      <x:c r="C444" s="2" t="str">
        <x:v>圈内</x:v>
      </x:c>
      <x:c r="D444" s="10" t="n">
        <x:v>1</x:v>
      </x:c>
      <x:c r="E444" s="10" t="n">
        <x:v>4</x:v>
      </x:c>
      <x:c r="F444" s="10" t="n">
        <x:v>3</x:v>
      </x:c>
      <x:c r="G444" s="10" t="n">
        <x:v>1</x:v>
      </x:c>
      <x:c r="H444" s="10" t="n">
        <x:f>IF(G444=1,E444-D444,"")</x:f>
        <x:v>3</x:v>
      </x:c>
      <x:c r="I444" s="10" t="n">
        <x:f>MIN(F444,9)</x:f>
        <x:v>3</x:v>
      </x:c>
      <x:c r="J444" s="19" t="n">
        <x:v>0.4</x:v>
      </x:c>
      <x:c r="K444" s="2" t="n">
        <x:v>2</x:v>
      </x:c>
      <x:c r="L444" s="19" t="n">
        <x:v>0.2</x:v>
      </x:c>
      <x:c r="M444" s="19" t="n">
        <x:v>0.75</x:v>
      </x:c>
    </x:row>
    <x:row r="445" ht="23" customHeight="1">
      <x:c r="A445" s="2" t="str">
        <x:v>D040_T02_C020_G075</x:v>
      </x:c>
      <x:c r="B445" s="2" t="str">
        <x:v>A0011</x:v>
      </x:c>
      <x:c r="C445" s="2" t="str">
        <x:v>圈内</x:v>
      </x:c>
      <x:c r="D445" s="10" t="n">
        <x:v>1</x:v>
      </x:c>
      <x:c r="E445" s="10" t="n">
        <x:v>2</x:v>
      </x:c>
      <x:c r="F445" s="10" t="n">
        <x:v>1</x:v>
      </x:c>
      <x:c r="G445" s="10" t="n">
        <x:v>1</x:v>
      </x:c>
      <x:c r="H445" s="10" t="n">
        <x:f>IF(G445=1,E445-D445,"")</x:f>
        <x:v>1</x:v>
      </x:c>
      <x:c r="I445" s="10" t="n">
        <x:f>MIN(F445,9)</x:f>
        <x:v>1</x:v>
      </x:c>
      <x:c r="J445" s="19" t="n">
        <x:v>0.4</x:v>
      </x:c>
      <x:c r="K445" s="2" t="n">
        <x:v>2</x:v>
      </x:c>
      <x:c r="L445" s="19" t="n">
        <x:v>0.2</x:v>
      </x:c>
      <x:c r="M445" s="19" t="n">
        <x:v>0.75</x:v>
      </x:c>
    </x:row>
    <x:row r="446" ht="23" customHeight="1">
      <x:c r="A446" s="2" t="str">
        <x:v>D040_T02_C020_G075</x:v>
      </x:c>
      <x:c r="B446" s="2" t="str">
        <x:v>A0012</x:v>
      </x:c>
      <x:c r="C446" s="2" t="str">
        <x:v>圈内</x:v>
      </x:c>
      <x:c r="D446" s="10" t="n">
        <x:v>1</x:v>
      </x:c>
      <x:c r="E446" s="10" t="n">
        <x:v>4</x:v>
      </x:c>
      <x:c r="F446" s="10" t="n">
        <x:v>3</x:v>
      </x:c>
      <x:c r="G446" s="10" t="n">
        <x:v>1</x:v>
      </x:c>
      <x:c r="H446" s="10" t="n">
        <x:f>IF(G446=1,E446-D446,"")</x:f>
        <x:v>3</x:v>
      </x:c>
      <x:c r="I446" s="10" t="n">
        <x:f>MIN(F446,9)</x:f>
        <x:v>3</x:v>
      </x:c>
      <x:c r="J446" s="19" t="n">
        <x:v>0.4</x:v>
      </x:c>
      <x:c r="K446" s="2" t="n">
        <x:v>2</x:v>
      </x:c>
      <x:c r="L446" s="19" t="n">
        <x:v>0.2</x:v>
      </x:c>
      <x:c r="M446" s="19" t="n">
        <x:v>0.75</x:v>
      </x:c>
    </x:row>
    <x:row r="447" ht="23" customHeight="1">
      <x:c r="A447" s="2" t="str">
        <x:v>D040_T02_C020_G075</x:v>
      </x:c>
      <x:c r="B447" s="2" t="str">
        <x:v>A0014</x:v>
      </x:c>
      <x:c r="C447" s="2" t="str">
        <x:v>圈内</x:v>
      </x:c>
      <x:c r="D447" s="10" t="n">
        <x:v>1</x:v>
      </x:c>
      <x:c r="E447" s="10" t="n">
        <x:v>2</x:v>
      </x:c>
      <x:c r="F447" s="10" t="n">
        <x:v>1</x:v>
      </x:c>
      <x:c r="G447" s="10" t="n">
        <x:v>1</x:v>
      </x:c>
      <x:c r="H447" s="10" t="n">
        <x:f>IF(G447=1,E447-D447,"")</x:f>
        <x:v>1</x:v>
      </x:c>
      <x:c r="I447" s="10" t="n">
        <x:f>MIN(F447,9)</x:f>
        <x:v>1</x:v>
      </x:c>
      <x:c r="J447" s="19" t="n">
        <x:v>0.4</x:v>
      </x:c>
      <x:c r="K447" s="2" t="n">
        <x:v>2</x:v>
      </x:c>
      <x:c r="L447" s="19" t="n">
        <x:v>0.2</x:v>
      </x:c>
      <x:c r="M447" s="19" t="n">
        <x:v>0.75</x:v>
      </x:c>
    </x:row>
    <x:row r="448" ht="23" customHeight="1">
      <x:c r="A448" s="2" t="str">
        <x:v>D040_T02_C020_G075</x:v>
      </x:c>
      <x:c r="B448" s="2" t="str">
        <x:v>A0015</x:v>
      </x:c>
      <x:c r="C448" s="2" t="str">
        <x:v>圈内</x:v>
      </x:c>
      <x:c r="D448" s="10" t="n">
        <x:v>1</x:v>
      </x:c>
      <x:c r="E448" s="10" t="n">
        <x:v>5</x:v>
      </x:c>
      <x:c r="F448" s="10" t="n">
        <x:v>4</x:v>
      </x:c>
      <x:c r="G448" s="10" t="n">
        <x:v>1</x:v>
      </x:c>
      <x:c r="H448" s="10" t="n">
        <x:f>IF(G448=1,E448-D448,"")</x:f>
        <x:v>4</x:v>
      </x:c>
      <x:c r="I448" s="10" t="n">
        <x:f>MIN(F448,9)</x:f>
        <x:v>4</x:v>
      </x:c>
      <x:c r="J448" s="19" t="n">
        <x:v>0.4</x:v>
      </x:c>
      <x:c r="K448" s="2" t="n">
        <x:v>2</x:v>
      </x:c>
      <x:c r="L448" s="19" t="n">
        <x:v>0.2</x:v>
      </x:c>
      <x:c r="M448" s="19" t="n">
        <x:v>0.75</x:v>
      </x:c>
    </x:row>
    <x:row r="449" ht="23" customHeight="1">
      <x:c r="A449" s="2" t="str">
        <x:v>D040_T02_C020_G075</x:v>
      </x:c>
      <x:c r="B449" s="2" t="str">
        <x:v>A0016</x:v>
      </x:c>
      <x:c r="C449" s="2" t="str">
        <x:v>圈内</x:v>
      </x:c>
      <x:c r="D449" s="10" t="n">
        <x:v>1</x:v>
      </x:c>
      <x:c r="E449" s="10" t="n">
        <x:v>3</x:v>
      </x:c>
      <x:c r="F449" s="10" t="n">
        <x:v>2</x:v>
      </x:c>
      <x:c r="G449" s="10" t="n">
        <x:v>1</x:v>
      </x:c>
      <x:c r="H449" s="10" t="n">
        <x:f>IF(G449=1,E449-D449,"")</x:f>
        <x:v>2</x:v>
      </x:c>
      <x:c r="I449" s="10" t="n">
        <x:f>MIN(F449,9)</x:f>
        <x:v>2</x:v>
      </x:c>
      <x:c r="J449" s="19" t="n">
        <x:v>0.4</x:v>
      </x:c>
      <x:c r="K449" s="2" t="n">
        <x:v>2</x:v>
      </x:c>
      <x:c r="L449" s="19" t="n">
        <x:v>0.2</x:v>
      </x:c>
      <x:c r="M449" s="19" t="n">
        <x:v>0.75</x:v>
      </x:c>
    </x:row>
    <x:row r="450" ht="23" customHeight="1">
      <x:c r="A450" s="2" t="str">
        <x:v>D040_T02_C020_G075</x:v>
      </x:c>
      <x:c r="B450" s="2" t="str">
        <x:v>A0017</x:v>
      </x:c>
      <x:c r="C450" s="2" t="str">
        <x:v>圈内</x:v>
      </x:c>
      <x:c r="D450" s="10" t="n">
        <x:v>1</x:v>
      </x:c>
      <x:c r="E450" s="10" t="n">
        <x:v>4</x:v>
      </x:c>
      <x:c r="F450" s="10" t="n">
        <x:v>3</x:v>
      </x:c>
      <x:c r="G450" s="10" t="n">
        <x:v>1</x:v>
      </x:c>
      <x:c r="H450" s="10" t="n">
        <x:f>IF(G450=1,E450-D450,"")</x:f>
        <x:v>3</x:v>
      </x:c>
      <x:c r="I450" s="10" t="n">
        <x:f>MIN(F450,9)</x:f>
        <x:v>3</x:v>
      </x:c>
      <x:c r="J450" s="19" t="n">
        <x:v>0.4</x:v>
      </x:c>
      <x:c r="K450" s="2" t="n">
        <x:v>2</x:v>
      </x:c>
      <x:c r="L450" s="19" t="n">
        <x:v>0.2</x:v>
      </x:c>
      <x:c r="M450" s="19" t="n">
        <x:v>0.75</x:v>
      </x:c>
    </x:row>
    <x:row r="451" ht="23" customHeight="1">
      <x:c r="A451" s="2" t="str">
        <x:v>D040_T02_C020_G075</x:v>
      </x:c>
      <x:c r="B451" s="2" t="str">
        <x:v>A0018</x:v>
      </x:c>
      <x:c r="C451" s="2" t="str">
        <x:v>圈内</x:v>
      </x:c>
      <x:c r="D451" s="10" t="n">
        <x:v>1</x:v>
      </x:c>
      <x:c r="E451" s="10" t="n">
        <x:v>4</x:v>
      </x:c>
      <x:c r="F451" s="10" t="n">
        <x:v>3</x:v>
      </x:c>
      <x:c r="G451" s="10" t="n">
        <x:v>1</x:v>
      </x:c>
      <x:c r="H451" s="10" t="n">
        <x:f>IF(G451=1,E451-D451,"")</x:f>
        <x:v>3</x:v>
      </x:c>
      <x:c r="I451" s="10" t="n">
        <x:f>MIN(F451,9)</x:f>
        <x:v>3</x:v>
      </x:c>
      <x:c r="J451" s="19" t="n">
        <x:v>0.4</x:v>
      </x:c>
      <x:c r="K451" s="2" t="n">
        <x:v>2</x:v>
      </x:c>
      <x:c r="L451" s="19" t="n">
        <x:v>0.2</x:v>
      </x:c>
      <x:c r="M451" s="19" t="n">
        <x:v>0.75</x:v>
      </x:c>
    </x:row>
    <x:row r="452" ht="23" customHeight="1">
      <x:c r="A452" s="2" t="str">
        <x:v>D040_T02_C020_G075</x:v>
      </x:c>
      <x:c r="B452" s="2" t="str">
        <x:v>A0019</x:v>
      </x:c>
      <x:c r="C452" s="2" t="str">
        <x:v>圈内</x:v>
      </x:c>
      <x:c r="D452" s="10" t="n">
        <x:v>1</x:v>
      </x:c>
      <x:c r="E452" s="10" t="n">
        <x:v>4</x:v>
      </x:c>
      <x:c r="F452" s="10" t="n">
        <x:v>3</x:v>
      </x:c>
      <x:c r="G452" s="10" t="n">
        <x:v>1</x:v>
      </x:c>
      <x:c r="H452" s="10" t="n">
        <x:f>IF(G452=1,E452-D452,"")</x:f>
        <x:v>3</x:v>
      </x:c>
      <x:c r="I452" s="10" t="n">
        <x:f>MIN(F452,9)</x:f>
        <x:v>3</x:v>
      </x:c>
      <x:c r="J452" s="19" t="n">
        <x:v>0.4</x:v>
      </x:c>
      <x:c r="K452" s="2" t="n">
        <x:v>2</x:v>
      </x:c>
      <x:c r="L452" s="19" t="n">
        <x:v>0.2</x:v>
      </x:c>
      <x:c r="M452" s="19" t="n">
        <x:v>0.75</x:v>
      </x:c>
    </x:row>
    <x:row r="453" ht="23" customHeight="1">
      <x:c r="A453" s="2" t="str">
        <x:v>D040_T02_C020_G075</x:v>
      </x:c>
      <x:c r="B453" s="2" t="str">
        <x:v>A0020</x:v>
      </x:c>
      <x:c r="C453" s="2" t="str">
        <x:v>圈内</x:v>
      </x:c>
      <x:c r="D453" s="10" t="n">
        <x:v>1</x:v>
      </x:c>
      <x:c r="E453" s="10" t="n">
        <x:v>2</x:v>
      </x:c>
      <x:c r="F453" s="10" t="n">
        <x:v>1</x:v>
      </x:c>
      <x:c r="G453" s="10" t="n">
        <x:v>1</x:v>
      </x:c>
      <x:c r="H453" s="10" t="n">
        <x:f>IF(G453=1,E453-D453,"")</x:f>
        <x:v>1</x:v>
      </x:c>
      <x:c r="I453" s="10" t="n">
        <x:f>MIN(F453,9)</x:f>
        <x:v>1</x:v>
      </x:c>
      <x:c r="J453" s="19" t="n">
        <x:v>0.4</x:v>
      </x:c>
      <x:c r="K453" s="2" t="n">
        <x:v>2</x:v>
      </x:c>
      <x:c r="L453" s="19" t="n">
        <x:v>0.2</x:v>
      </x:c>
      <x:c r="M453" s="19" t="n">
        <x:v>0.75</x:v>
      </x:c>
    </x:row>
    <x:row r="454" ht="23" customHeight="1">
      <x:c r="A454" s="2" t="str">
        <x:v>D040_T02_C020_G075</x:v>
      </x:c>
      <x:c r="B454" s="2" t="str">
        <x:v>A0023</x:v>
      </x:c>
      <x:c r="C454" s="2" t="str">
        <x:v>圈内</x:v>
      </x:c>
      <x:c r="D454" s="10" t="n">
        <x:v>1</x:v>
      </x:c>
      <x:c r="E454" s="10" t="n">
        <x:v>4</x:v>
      </x:c>
      <x:c r="F454" s="10" t="n">
        <x:v>3</x:v>
      </x:c>
      <x:c r="G454" s="10" t="n">
        <x:v>1</x:v>
      </x:c>
      <x:c r="H454" s="10" t="n">
        <x:f>IF(G454=1,E454-D454,"")</x:f>
        <x:v>3</x:v>
      </x:c>
      <x:c r="I454" s="10" t="n">
        <x:f>MIN(F454,9)</x:f>
        <x:v>3</x:v>
      </x:c>
      <x:c r="J454" s="19" t="n">
        <x:v>0.4</x:v>
      </x:c>
      <x:c r="K454" s="2" t="n">
        <x:v>2</x:v>
      </x:c>
      <x:c r="L454" s="19" t="n">
        <x:v>0.2</x:v>
      </x:c>
      <x:c r="M454" s="19" t="n">
        <x:v>0.75</x:v>
      </x:c>
    </x:row>
    <x:row r="455" ht="23" customHeight="1">
      <x:c r="A455" s="2" t="str">
        <x:v>D040_T02_C020_G075</x:v>
      </x:c>
      <x:c r="B455" s="2" t="str">
        <x:v>A0024</x:v>
      </x:c>
      <x:c r="C455" s="2" t="str">
        <x:v>圈内</x:v>
      </x:c>
      <x:c r="D455" s="10" t="n">
        <x:v>1</x:v>
      </x:c>
      <x:c r="E455" s="10" t="n">
        <x:v>5</x:v>
      </x:c>
      <x:c r="F455" s="10" t="n">
        <x:v>4</x:v>
      </x:c>
      <x:c r="G455" s="10" t="n">
        <x:v>1</x:v>
      </x:c>
      <x:c r="H455" s="10" t="n">
        <x:f>IF(G455=1,E455-D455,"")</x:f>
        <x:v>4</x:v>
      </x:c>
      <x:c r="I455" s="10" t="n">
        <x:f>MIN(F455,9)</x:f>
        <x:v>4</x:v>
      </x:c>
      <x:c r="J455" s="19" t="n">
        <x:v>0.4</x:v>
      </x:c>
      <x:c r="K455" s="2" t="n">
        <x:v>2</x:v>
      </x:c>
      <x:c r="L455" s="19" t="n">
        <x:v>0.2</x:v>
      </x:c>
      <x:c r="M455" s="19" t="n">
        <x:v>0.75</x:v>
      </x:c>
    </x:row>
    <x:row r="456" ht="23" customHeight="1">
      <x:c r="A456" s="2" t="str">
        <x:v>D040_T02_C020_G075</x:v>
      </x:c>
      <x:c r="B456" s="2" t="str">
        <x:v>A0025</x:v>
      </x:c>
      <x:c r="C456" s="2" t="str">
        <x:v>圈内</x:v>
      </x:c>
      <x:c r="D456" s="10" t="n">
        <x:v>1</x:v>
      </x:c>
      <x:c r="E456" s="10" t="n">
        <x:v>2</x:v>
      </x:c>
      <x:c r="F456" s="10" t="n">
        <x:v>1</x:v>
      </x:c>
      <x:c r="G456" s="10" t="n">
        <x:v>1</x:v>
      </x:c>
      <x:c r="H456" s="10" t="n">
        <x:f>IF(G456=1,E456-D456,"")</x:f>
        <x:v>1</x:v>
      </x:c>
      <x:c r="I456" s="10" t="n">
        <x:f>MIN(F456,9)</x:f>
        <x:v>1</x:v>
      </x:c>
      <x:c r="J456" s="19" t="n">
        <x:v>0.4</x:v>
      </x:c>
      <x:c r="K456" s="2" t="n">
        <x:v>2</x:v>
      </x:c>
      <x:c r="L456" s="19" t="n">
        <x:v>0.2</x:v>
      </x:c>
      <x:c r="M456" s="19" t="n">
        <x:v>0.75</x:v>
      </x:c>
    </x:row>
    <x:row r="457" ht="23" customHeight="1">
      <x:c r="A457" s="2" t="str">
        <x:v>D040_T02_C020_G075</x:v>
      </x:c>
      <x:c r="B457" s="2" t="str">
        <x:v>A0027</x:v>
      </x:c>
      <x:c r="C457" s="2" t="str">
        <x:v>圈内</x:v>
      </x:c>
      <x:c r="D457" s="10" t="n">
        <x:v>1</x:v>
      </x:c>
      <x:c r="E457" s="10" t="n">
        <x:v>3</x:v>
      </x:c>
      <x:c r="F457" s="10" t="n">
        <x:v>2</x:v>
      </x:c>
      <x:c r="G457" s="10" t="n">
        <x:v>1</x:v>
      </x:c>
      <x:c r="H457" s="10" t="n">
        <x:f>IF(G457=1,E457-D457,"")</x:f>
        <x:v>2</x:v>
      </x:c>
      <x:c r="I457" s="10" t="n">
        <x:f>MIN(F457,9)</x:f>
        <x:v>2</x:v>
      </x:c>
      <x:c r="J457" s="19" t="n">
        <x:v>0.4</x:v>
      </x:c>
      <x:c r="K457" s="2" t="n">
        <x:v>2</x:v>
      </x:c>
      <x:c r="L457" s="19" t="n">
        <x:v>0.2</x:v>
      </x:c>
      <x:c r="M457" s="19" t="n">
        <x:v>0.75</x:v>
      </x:c>
    </x:row>
    <x:row r="458" ht="23" customHeight="1">
      <x:c r="A458" s="2" t="str">
        <x:v>D040_T02_C020_G075</x:v>
      </x:c>
      <x:c r="B458" s="2" t="str">
        <x:v>A0029</x:v>
      </x:c>
      <x:c r="C458" s="2" t="str">
        <x:v>圈内</x:v>
      </x:c>
      <x:c r="D458" s="10" t="n">
        <x:v>1</x:v>
      </x:c>
      <x:c r="E458" s="10" t="n">
        <x:v>3</x:v>
      </x:c>
      <x:c r="F458" s="10" t="n">
        <x:v>2</x:v>
      </x:c>
      <x:c r="G458" s="10" t="n">
        <x:v>1</x:v>
      </x:c>
      <x:c r="H458" s="10" t="n">
        <x:f>IF(G458=1,E458-D458,"")</x:f>
        <x:v>2</x:v>
      </x:c>
      <x:c r="I458" s="10" t="n">
        <x:f>MIN(F458,9)</x:f>
        <x:v>2</x:v>
      </x:c>
      <x:c r="J458" s="19" t="n">
        <x:v>0.4</x:v>
      </x:c>
      <x:c r="K458" s="2" t="n">
        <x:v>2</x:v>
      </x:c>
      <x:c r="L458" s="19" t="n">
        <x:v>0.2</x:v>
      </x:c>
      <x:c r="M458" s="19" t="n">
        <x:v>0.75</x:v>
      </x:c>
    </x:row>
    <x:row r="459" ht="23" customHeight="1">
      <x:c r="A459" s="2" t="str">
        <x:v>D040_T02_C020_G075</x:v>
      </x:c>
      <x:c r="B459" s="2" t="str">
        <x:v>A0030</x:v>
      </x:c>
      <x:c r="C459" s="2" t="str">
        <x:v>圈内</x:v>
      </x:c>
      <x:c r="D459" s="10" t="n">
        <x:v>1</x:v>
      </x:c>
      <x:c r="E459" s="10" t="n">
        <x:v>4</x:v>
      </x:c>
      <x:c r="F459" s="10" t="n">
        <x:v>3</x:v>
      </x:c>
      <x:c r="G459" s="10" t="n">
        <x:v>1</x:v>
      </x:c>
      <x:c r="H459" s="10" t="n">
        <x:f>IF(G459=1,E459-D459,"")</x:f>
        <x:v>3</x:v>
      </x:c>
      <x:c r="I459" s="10" t="n">
        <x:f>MIN(F459,9)</x:f>
        <x:v>3</x:v>
      </x:c>
      <x:c r="J459" s="19" t="n">
        <x:v>0.4</x:v>
      </x:c>
      <x:c r="K459" s="2" t="n">
        <x:v>2</x:v>
      </x:c>
      <x:c r="L459" s="19" t="n">
        <x:v>0.2</x:v>
      </x:c>
      <x:c r="M459" s="19" t="n">
        <x:v>0.75</x:v>
      </x:c>
    </x:row>
    <x:row r="460" ht="23" customHeight="1">
      <x:c r="A460" s="2" t="str">
        <x:v>D040_T02_C020_G075</x:v>
      </x:c>
      <x:c r="B460" s="2" t="str">
        <x:v>A0031</x:v>
      </x:c>
      <x:c r="C460" s="2" t="str">
        <x:v>圈内</x:v>
      </x:c>
      <x:c r="D460" s="10" t="n">
        <x:v>1</x:v>
      </x:c>
      <x:c r="E460" s="10" t="n">
        <x:v>3</x:v>
      </x:c>
      <x:c r="F460" s="10" t="n">
        <x:v>2</x:v>
      </x:c>
      <x:c r="G460" s="10" t="n">
        <x:v>1</x:v>
      </x:c>
      <x:c r="H460" s="10" t="n">
        <x:f>IF(G460=1,E460-D460,"")</x:f>
        <x:v>2</x:v>
      </x:c>
      <x:c r="I460" s="10" t="n">
        <x:f>MIN(F460,9)</x:f>
        <x:v>2</x:v>
      </x:c>
      <x:c r="J460" s="19" t="n">
        <x:v>0.4</x:v>
      </x:c>
      <x:c r="K460" s="2" t="n">
        <x:v>2</x:v>
      </x:c>
      <x:c r="L460" s="19" t="n">
        <x:v>0.2</x:v>
      </x:c>
      <x:c r="M460" s="19" t="n">
        <x:v>0.75</x:v>
      </x:c>
    </x:row>
    <x:row r="461" ht="23" customHeight="1">
      <x:c r="A461" s="2" t="str">
        <x:v>D040_T02_C020_G075</x:v>
      </x:c>
      <x:c r="B461" s="2" t="str">
        <x:v>A0032</x:v>
      </x:c>
      <x:c r="C461" s="2" t="str">
        <x:v>圈内</x:v>
      </x:c>
      <x:c r="D461" s="10" t="n">
        <x:v>1</x:v>
      </x:c>
      <x:c r="E461" s="10" t="n">
        <x:v>2</x:v>
      </x:c>
      <x:c r="F461" s="10" t="n">
        <x:v>1</x:v>
      </x:c>
      <x:c r="G461" s="10" t="n">
        <x:v>1</x:v>
      </x:c>
      <x:c r="H461" s="10" t="n">
        <x:f>IF(G461=1,E461-D461,"")</x:f>
        <x:v>1</x:v>
      </x:c>
      <x:c r="I461" s="10" t="n">
        <x:f>MIN(F461,9)</x:f>
        <x:v>1</x:v>
      </x:c>
      <x:c r="J461" s="19" t="n">
        <x:v>0.4</x:v>
      </x:c>
      <x:c r="K461" s="2" t="n">
        <x:v>2</x:v>
      </x:c>
      <x:c r="L461" s="19" t="n">
        <x:v>0.2</x:v>
      </x:c>
      <x:c r="M461" s="19" t="n">
        <x:v>0.75</x:v>
      </x:c>
    </x:row>
    <x:row r="462" ht="23" customHeight="1">
      <x:c r="A462" s="2" t="str">
        <x:v>D040_T02_C020_G075</x:v>
      </x:c>
      <x:c r="B462" s="2" t="str">
        <x:v>A0033</x:v>
      </x:c>
      <x:c r="C462" s="2" t="str">
        <x:v>圈内</x:v>
      </x:c>
      <x:c r="D462" s="10" t="n">
        <x:v>1</x:v>
      </x:c>
      <x:c r="E462" s="10" t="n">
        <x:v>3</x:v>
      </x:c>
      <x:c r="F462" s="10" t="n">
        <x:v>2</x:v>
      </x:c>
      <x:c r="G462" s="10" t="n">
        <x:v>1</x:v>
      </x:c>
      <x:c r="H462" s="10" t="n">
        <x:f>IF(G462=1,E462-D462,"")</x:f>
        <x:v>2</x:v>
      </x:c>
      <x:c r="I462" s="10" t="n">
        <x:f>MIN(F462,9)</x:f>
        <x:v>2</x:v>
      </x:c>
      <x:c r="J462" s="19" t="n">
        <x:v>0.4</x:v>
      </x:c>
      <x:c r="K462" s="2" t="n">
        <x:v>2</x:v>
      </x:c>
      <x:c r="L462" s="19" t="n">
        <x:v>0.2</x:v>
      </x:c>
      <x:c r="M462" s="19" t="n">
        <x:v>0.75</x:v>
      </x:c>
    </x:row>
    <x:row r="463" ht="23" customHeight="1">
      <x:c r="A463" s="2" t="str">
        <x:v>D040_T02_C020_G075</x:v>
      </x:c>
      <x:c r="B463" s="2" t="str">
        <x:v>A0034</x:v>
      </x:c>
      <x:c r="C463" s="2" t="str">
        <x:v>圈内</x:v>
      </x:c>
      <x:c r="D463" s="10" t="n">
        <x:v>1</x:v>
      </x:c>
      <x:c r="E463" s="10" t="n">
        <x:v>5</x:v>
      </x:c>
      <x:c r="F463" s="10" t="n">
        <x:v>4</x:v>
      </x:c>
      <x:c r="G463" s="10" t="n">
        <x:v>1</x:v>
      </x:c>
      <x:c r="H463" s="10" t="n">
        <x:f>IF(G463=1,E463-D463,"")</x:f>
        <x:v>4</x:v>
      </x:c>
      <x:c r="I463" s="10" t="n">
        <x:f>MIN(F463,9)</x:f>
        <x:v>4</x:v>
      </x:c>
      <x:c r="J463" s="19" t="n">
        <x:v>0.4</x:v>
      </x:c>
      <x:c r="K463" s="2" t="n">
        <x:v>2</x:v>
      </x:c>
      <x:c r="L463" s="19" t="n">
        <x:v>0.2</x:v>
      </x:c>
      <x:c r="M463" s="19" t="n">
        <x:v>0.75</x:v>
      </x:c>
    </x:row>
    <x:row r="464" ht="23" customHeight="1">
      <x:c r="A464" s="2" t="str">
        <x:v>D040_T02_C020_G075</x:v>
      </x:c>
      <x:c r="B464" s="2" t="str">
        <x:v>A0035</x:v>
      </x:c>
      <x:c r="C464" s="2" t="str">
        <x:v>圈内</x:v>
      </x:c>
      <x:c r="D464" s="10" t="n">
        <x:v>1</x:v>
      </x:c>
      <x:c r="E464" s="10" t="n">
        <x:v>4</x:v>
      </x:c>
      <x:c r="F464" s="10" t="n">
        <x:v>3</x:v>
      </x:c>
      <x:c r="G464" s="10" t="n">
        <x:v>1</x:v>
      </x:c>
      <x:c r="H464" s="10" t="n">
        <x:f>IF(G464=1,E464-D464,"")</x:f>
        <x:v>3</x:v>
      </x:c>
      <x:c r="I464" s="10" t="n">
        <x:f>MIN(F464,9)</x:f>
        <x:v>3</x:v>
      </x:c>
      <x:c r="J464" s="19" t="n">
        <x:v>0.4</x:v>
      </x:c>
      <x:c r="K464" s="2" t="n">
        <x:v>2</x:v>
      </x:c>
      <x:c r="L464" s="19" t="n">
        <x:v>0.2</x:v>
      </x:c>
      <x:c r="M464" s="19" t="n">
        <x:v>0.75</x:v>
      </x:c>
    </x:row>
    <x:row r="465" ht="23" customHeight="1">
      <x:c r="A465" s="2" t="str">
        <x:v>D040_T02_C020_G075</x:v>
      </x:c>
      <x:c r="B465" s="2" t="str">
        <x:v>A0036</x:v>
      </x:c>
      <x:c r="C465" s="2" t="str">
        <x:v>圈内</x:v>
      </x:c>
      <x:c r="D465" s="10" t="n">
        <x:v>1</x:v>
      </x:c>
      <x:c r="E465" s="10" t="n">
        <x:v>3</x:v>
      </x:c>
      <x:c r="F465" s="10" t="n">
        <x:v>2</x:v>
      </x:c>
      <x:c r="G465" s="10" t="n">
        <x:v>1</x:v>
      </x:c>
      <x:c r="H465" s="10" t="n">
        <x:f>IF(G465=1,E465-D465,"")</x:f>
        <x:v>2</x:v>
      </x:c>
      <x:c r="I465" s="10" t="n">
        <x:f>MIN(F465,9)</x:f>
        <x:v>2</x:v>
      </x:c>
      <x:c r="J465" s="19" t="n">
        <x:v>0.4</x:v>
      </x:c>
      <x:c r="K465" s="2" t="n">
        <x:v>2</x:v>
      </x:c>
      <x:c r="L465" s="19" t="n">
        <x:v>0.2</x:v>
      </x:c>
      <x:c r="M465" s="19" t="n">
        <x:v>0.75</x:v>
      </x:c>
    </x:row>
    <x:row r="466" ht="23" customHeight="1">
      <x:c r="A466" s="2" t="str">
        <x:v>D040_T02_C020_G075</x:v>
      </x:c>
      <x:c r="B466" s="2" t="str">
        <x:v>A0037</x:v>
      </x:c>
      <x:c r="C466" s="2" t="str">
        <x:v>圈内</x:v>
      </x:c>
      <x:c r="D466" s="10" t="n">
        <x:v>1</x:v>
      </x:c>
      <x:c r="E466" s="10" t="n">
        <x:v>3</x:v>
      </x:c>
      <x:c r="F466" s="10" t="n">
        <x:v>2</x:v>
      </x:c>
      <x:c r="G466" s="10" t="n">
        <x:v>1</x:v>
      </x:c>
      <x:c r="H466" s="10" t="n">
        <x:f>IF(G466=1,E466-D466,"")</x:f>
        <x:v>2</x:v>
      </x:c>
      <x:c r="I466" s="10" t="n">
        <x:f>MIN(F466,9)</x:f>
        <x:v>2</x:v>
      </x:c>
      <x:c r="J466" s="19" t="n">
        <x:v>0.4</x:v>
      </x:c>
      <x:c r="K466" s="2" t="n">
        <x:v>2</x:v>
      </x:c>
      <x:c r="L466" s="19" t="n">
        <x:v>0.2</x:v>
      </x:c>
      <x:c r="M466" s="19" t="n">
        <x:v>0.75</x:v>
      </x:c>
    </x:row>
    <x:row r="467" ht="23" customHeight="1">
      <x:c r="A467" s="2" t="str">
        <x:v>D040_T02_C020_G075</x:v>
      </x:c>
      <x:c r="B467" s="2" t="str">
        <x:v>A0038</x:v>
      </x:c>
      <x:c r="C467" s="2" t="str">
        <x:v>圈内</x:v>
      </x:c>
      <x:c r="D467" s="10" t="n">
        <x:v>1</x:v>
      </x:c>
      <x:c r="E467" s="10" t="n">
        <x:v>4</x:v>
      </x:c>
      <x:c r="F467" s="10" t="n">
        <x:v>3</x:v>
      </x:c>
      <x:c r="G467" s="10" t="n">
        <x:v>1</x:v>
      </x:c>
      <x:c r="H467" s="10" t="n">
        <x:f>IF(G467=1,E467-D467,"")</x:f>
        <x:v>3</x:v>
      </x:c>
      <x:c r="I467" s="10" t="n">
        <x:f>MIN(F467,9)</x:f>
        <x:v>3</x:v>
      </x:c>
      <x:c r="J467" s="19" t="n">
        <x:v>0.4</x:v>
      </x:c>
      <x:c r="K467" s="2" t="n">
        <x:v>2</x:v>
      </x:c>
      <x:c r="L467" s="19" t="n">
        <x:v>0.2</x:v>
      </x:c>
      <x:c r="M467" s="19" t="n">
        <x:v>0.75</x:v>
      </x:c>
    </x:row>
    <x:row r="468" ht="23" customHeight="1">
      <x:c r="A468" s="2" t="str">
        <x:v>D040_T02_C020_G075</x:v>
      </x:c>
      <x:c r="B468" s="2" t="str">
        <x:v>A0040</x:v>
      </x:c>
      <x:c r="C468" s="2" t="str">
        <x:v>圈内</x:v>
      </x:c>
      <x:c r="D468" s="10" t="n">
        <x:v>1</x:v>
      </x:c>
      <x:c r="E468" s="10" t="n">
        <x:v>4</x:v>
      </x:c>
      <x:c r="F468" s="10" t="n">
        <x:v>3</x:v>
      </x:c>
      <x:c r="G468" s="10" t="n">
        <x:v>1</x:v>
      </x:c>
      <x:c r="H468" s="10" t="n">
        <x:f>IF(G468=1,E468-D468,"")</x:f>
        <x:v>3</x:v>
      </x:c>
      <x:c r="I468" s="10" t="n">
        <x:f>MIN(F468,9)</x:f>
        <x:v>3</x:v>
      </x:c>
      <x:c r="J468" s="19" t="n">
        <x:v>0.4</x:v>
      </x:c>
      <x:c r="K468" s="2" t="n">
        <x:v>2</x:v>
      </x:c>
      <x:c r="L468" s="19" t="n">
        <x:v>0.2</x:v>
      </x:c>
      <x:c r="M468" s="19" t="n">
        <x:v>0.75</x:v>
      </x:c>
    </x:row>
    <x:row r="469" ht="23" customHeight="1">
      <x:c r="A469" s="2" t="str">
        <x:v>D040_T02_C020_G075</x:v>
      </x:c>
      <x:c r="B469" s="2" t="str">
        <x:v>A0041</x:v>
      </x:c>
      <x:c r="C469" s="2" t="str">
        <x:v>圈内</x:v>
      </x:c>
      <x:c r="D469" s="10" t="n">
        <x:v>1</x:v>
      </x:c>
      <x:c r="E469" s="10" t="n">
        <x:v>3</x:v>
      </x:c>
      <x:c r="F469" s="10" t="n">
        <x:v>2</x:v>
      </x:c>
      <x:c r="G469" s="10" t="n">
        <x:v>1</x:v>
      </x:c>
      <x:c r="H469" s="10" t="n">
        <x:f>IF(G469=1,E469-D469,"")</x:f>
        <x:v>2</x:v>
      </x:c>
      <x:c r="I469" s="10" t="n">
        <x:f>MIN(F469,9)</x:f>
        <x:v>2</x:v>
      </x:c>
      <x:c r="J469" s="19" t="n">
        <x:v>0.4</x:v>
      </x:c>
      <x:c r="K469" s="2" t="n">
        <x:v>2</x:v>
      </x:c>
      <x:c r="L469" s="19" t="n">
        <x:v>0.2</x:v>
      </x:c>
      <x:c r="M469" s="19" t="n">
        <x:v>0.75</x:v>
      </x:c>
    </x:row>
    <x:row r="470" ht="23" customHeight="1">
      <x:c r="A470" s="2" t="str">
        <x:v>D040_T02_C020_G075</x:v>
      </x:c>
      <x:c r="B470" s="2" t="str">
        <x:v>A0042</x:v>
      </x:c>
      <x:c r="C470" s="2" t="str">
        <x:v>圈内</x:v>
      </x:c>
      <x:c r="D470" s="10" t="n">
        <x:v>1</x:v>
      </x:c>
      <x:c r="E470" s="10" t="n">
        <x:v>3</x:v>
      </x:c>
      <x:c r="F470" s="10" t="n">
        <x:v>2</x:v>
      </x:c>
      <x:c r="G470" s="10" t="n">
        <x:v>1</x:v>
      </x:c>
      <x:c r="H470" s="10" t="n">
        <x:f>IF(G470=1,E470-D470,"")</x:f>
        <x:v>2</x:v>
      </x:c>
      <x:c r="I470" s="10" t="n">
        <x:f>MIN(F470,9)</x:f>
        <x:v>2</x:v>
      </x:c>
      <x:c r="J470" s="19" t="n">
        <x:v>0.4</x:v>
      </x:c>
      <x:c r="K470" s="2" t="n">
        <x:v>2</x:v>
      </x:c>
      <x:c r="L470" s="19" t="n">
        <x:v>0.2</x:v>
      </x:c>
      <x:c r="M470" s="19" t="n">
        <x:v>0.75</x:v>
      </x:c>
    </x:row>
    <x:row r="471" ht="23" customHeight="1">
      <x:c r="A471" s="2" t="str">
        <x:v>D040_T02_C020_G075</x:v>
      </x:c>
      <x:c r="B471" s="2" t="str">
        <x:v>A0071</x:v>
      </x:c>
      <x:c r="C471" s="2" t="str">
        <x:v>圈内</x:v>
      </x:c>
      <x:c r="D471" s="10" t="n">
        <x:v>1</x:v>
      </x:c>
      <x:c r="E471" s="10" t="n">
        <x:v>3</x:v>
      </x:c>
      <x:c r="F471" s="10" t="n">
        <x:v>2</x:v>
      </x:c>
      <x:c r="G471" s="10" t="n">
        <x:v>1</x:v>
      </x:c>
      <x:c r="H471" s="10" t="n">
        <x:f>IF(G471=1,E471-D471,"")</x:f>
        <x:v>2</x:v>
      </x:c>
      <x:c r="I471" s="10" t="n">
        <x:f>MIN(F471,9)</x:f>
        <x:v>2</x:v>
      </x:c>
      <x:c r="J471" s="19" t="n">
        <x:v>0.4</x:v>
      </x:c>
      <x:c r="K471" s="2" t="n">
        <x:v>2</x:v>
      </x:c>
      <x:c r="L471" s="19" t="n">
        <x:v>0.2</x:v>
      </x:c>
      <x:c r="M471" s="19" t="n">
        <x:v>0.75</x:v>
      </x:c>
    </x:row>
    <x:row r="472" ht="23" customHeight="1">
      <x:c r="A472" s="2" t="str">
        <x:v>D040_T02_C020_G075</x:v>
      </x:c>
      <x:c r="B472" s="2" t="str">
        <x:v>A0189</x:v>
      </x:c>
      <x:c r="C472" s="2" t="str">
        <x:v>圈内</x:v>
      </x:c>
      <x:c r="D472" s="10" t="n">
        <x:v>1</x:v>
      </x:c>
      <x:c r="E472" s="10" t="n">
        <x:v>3</x:v>
      </x:c>
      <x:c r="F472" s="10" t="n">
        <x:v>2</x:v>
      </x:c>
      <x:c r="G472" s="10" t="n">
        <x:v>1</x:v>
      </x:c>
      <x:c r="H472" s="10" t="n">
        <x:f>IF(G472=1,E472-D472,"")</x:f>
        <x:v>2</x:v>
      </x:c>
      <x:c r="I472" s="10" t="n">
        <x:f>MIN(F472,9)</x:f>
        <x:v>2</x:v>
      </x:c>
      <x:c r="J472" s="19" t="n">
        <x:v>0.4</x:v>
      </x:c>
      <x:c r="K472" s="2" t="n">
        <x:v>2</x:v>
      </x:c>
      <x:c r="L472" s="19" t="n">
        <x:v>0.2</x:v>
      </x:c>
      <x:c r="M472" s="19" t="n">
        <x:v>0.75</x:v>
      </x:c>
    </x:row>
    <x:row r="473" ht="23" customHeight="1">
      <x:c r="A473" s="2" t="str">
        <x:v>D040_T02_C020_G075</x:v>
      </x:c>
      <x:c r="B473" s="2" t="str">
        <x:v>A0206</x:v>
      </x:c>
      <x:c r="C473" s="2" t="str">
        <x:v>圈内</x:v>
      </x:c>
      <x:c r="D473" s="10" t="n">
        <x:v>1</x:v>
      </x:c>
      <x:c r="E473" s="10" t="n">
        <x:v>2</x:v>
      </x:c>
      <x:c r="F473" s="10" t="n">
        <x:v>1</x:v>
      </x:c>
      <x:c r="G473" s="10" t="n">
        <x:v>1</x:v>
      </x:c>
      <x:c r="H473" s="10" t="n">
        <x:f>IF(G473=1,E473-D473,"")</x:f>
        <x:v>1</x:v>
      </x:c>
      <x:c r="I473" s="10" t="n">
        <x:f>MIN(F473,9)</x:f>
        <x:v>1</x:v>
      </x:c>
      <x:c r="J473" s="19" t="n">
        <x:v>0.4</x:v>
      </x:c>
      <x:c r="K473" s="2" t="n">
        <x:v>2</x:v>
      </x:c>
      <x:c r="L473" s="19" t="n">
        <x:v>0.2</x:v>
      </x:c>
      <x:c r="M473" s="19" t="n">
        <x:v>0.75</x:v>
      </x:c>
    </x:row>
    <x:row r="474" ht="23" customHeight="1">
      <x:c r="A474" s="2" t="str">
        <x:v>D040_T02_C080_G025</x:v>
      </x:c>
      <x:c r="B474" s="2" t="str">
        <x:v>A0001</x:v>
      </x:c>
      <x:c r="C474" s="2" t="str">
        <x:v>圈内</x:v>
      </x:c>
      <x:c r="D474" s="10" t="n">
        <x:v>1</x:v>
      </x:c>
      <x:c r="E474" s="10" t="n">
        <x:v>2</x:v>
      </x:c>
      <x:c r="F474" s="10" t="n">
        <x:v>1</x:v>
      </x:c>
      <x:c r="G474" s="10" t="n">
        <x:v>1</x:v>
      </x:c>
      <x:c r="H474" s="10" t="n">
        <x:f>IF(G474=1,E474-D474,"")</x:f>
        <x:v>1</x:v>
      </x:c>
      <x:c r="I474" s="10" t="n">
        <x:f>MIN(F474,9)</x:f>
        <x:v>1</x:v>
      </x:c>
      <x:c r="J474" s="19" t="n">
        <x:v>0.4</x:v>
      </x:c>
      <x:c r="K474" s="2" t="n">
        <x:v>2</x:v>
      </x:c>
      <x:c r="L474" s="19" t="n">
        <x:v>0.8</x:v>
      </x:c>
      <x:c r="M474" s="19" t="n">
        <x:v>0.25</x:v>
      </x:c>
    </x:row>
    <x:row r="475" ht="23" customHeight="1">
      <x:c r="A475" s="2" t="str">
        <x:v>D040_T02_C080_G025</x:v>
      </x:c>
      <x:c r="B475" s="2" t="str">
        <x:v>A0002</x:v>
      </x:c>
      <x:c r="C475" s="2" t="str">
        <x:v>圈内</x:v>
      </x:c>
      <x:c r="D475" s="10" t="n">
        <x:v>1</x:v>
      </x:c>
      <x:c r="E475" s="10" t="n">
        <x:v>5</x:v>
      </x:c>
      <x:c r="F475" s="10" t="n">
        <x:v>4</x:v>
      </x:c>
      <x:c r="G475" s="10" t="n">
        <x:v>1</x:v>
      </x:c>
      <x:c r="H475" s="10" t="n">
        <x:f>IF(G475=1,E475-D475,"")</x:f>
        <x:v>4</x:v>
      </x:c>
      <x:c r="I475" s="10" t="n">
        <x:f>MIN(F475,9)</x:f>
        <x:v>4</x:v>
      </x:c>
      <x:c r="J475" s="19" t="n">
        <x:v>0.4</x:v>
      </x:c>
      <x:c r="K475" s="2" t="n">
        <x:v>2</x:v>
      </x:c>
      <x:c r="L475" s="19" t="n">
        <x:v>0.8</x:v>
      </x:c>
      <x:c r="M475" s="19" t="n">
        <x:v>0.25</x:v>
      </x:c>
    </x:row>
    <x:row r="476" ht="23" customHeight="1">
      <x:c r="A476" s="2" t="str">
        <x:v>D040_T02_C080_G025</x:v>
      </x:c>
      <x:c r="B476" s="2" t="str">
        <x:v>A0003</x:v>
      </x:c>
      <x:c r="C476" s="2" t="str">
        <x:v>圈内</x:v>
      </x:c>
      <x:c r="D476" s="10" t="n">
        <x:v>1</x:v>
      </x:c>
      <x:c r="E476" s="10" t="n">
        <x:v>2</x:v>
      </x:c>
      <x:c r="F476" s="10" t="n">
        <x:v>1</x:v>
      </x:c>
      <x:c r="G476" s="10" t="n">
        <x:v>1</x:v>
      </x:c>
      <x:c r="H476" s="10" t="n">
        <x:f>IF(G476=1,E476-D476,"")</x:f>
        <x:v>1</x:v>
      </x:c>
      <x:c r="I476" s="10" t="n">
        <x:f>MIN(F476,9)</x:f>
        <x:v>1</x:v>
      </x:c>
      <x:c r="J476" s="19" t="n">
        <x:v>0.4</x:v>
      </x:c>
      <x:c r="K476" s="2" t="n">
        <x:v>2</x:v>
      </x:c>
      <x:c r="L476" s="19" t="n">
        <x:v>0.8</x:v>
      </x:c>
      <x:c r="M476" s="19" t="n">
        <x:v>0.25</x:v>
      </x:c>
    </x:row>
    <x:row r="477" ht="23" customHeight="1">
      <x:c r="A477" s="2" t="str">
        <x:v>D040_T02_C080_G025</x:v>
      </x:c>
      <x:c r="B477" s="2" t="str">
        <x:v>A0005</x:v>
      </x:c>
      <x:c r="C477" s="2" t="str">
        <x:v>圈内</x:v>
      </x:c>
      <x:c r="D477" s="10" t="n">
        <x:v>1</x:v>
      </x:c>
      <x:c r="E477" s="10"/>
      <x:c r="F477" s="10" t="n">
        <x:v>9</x:v>
      </x:c>
      <x:c r="G477" s="10" t="n">
        <x:v>0</x:v>
      </x:c>
      <x:c r="H477" s="10" t="str">
        <x:f>IF(G477=1,E477-D477,"")</x:f>
      </x:c>
      <x:c r="I477" s="10" t="n">
        <x:f>MIN(F477,9)</x:f>
        <x:v>9</x:v>
      </x:c>
      <x:c r="J477" s="19" t="n">
        <x:v>0.4</x:v>
      </x:c>
      <x:c r="K477" s="2" t="n">
        <x:v>2</x:v>
      </x:c>
      <x:c r="L477" s="19" t="n">
        <x:v>0.8</x:v>
      </x:c>
      <x:c r="M477" s="19" t="n">
        <x:v>0.25</x:v>
      </x:c>
    </x:row>
    <x:row r="478" ht="23" customHeight="1">
      <x:c r="A478" s="2" t="str">
        <x:v>D040_T02_C080_G025</x:v>
      </x:c>
      <x:c r="B478" s="2" t="str">
        <x:v>A0009</x:v>
      </x:c>
      <x:c r="C478" s="2" t="str">
        <x:v>圈内</x:v>
      </x:c>
      <x:c r="D478" s="10" t="n">
        <x:v>1</x:v>
      </x:c>
      <x:c r="E478" s="10" t="n">
        <x:v>3</x:v>
      </x:c>
      <x:c r="F478" s="10" t="n">
        <x:v>2</x:v>
      </x:c>
      <x:c r="G478" s="10" t="n">
        <x:v>1</x:v>
      </x:c>
      <x:c r="H478" s="10" t="n">
        <x:f>IF(G478=1,E478-D478,"")</x:f>
        <x:v>2</x:v>
      </x:c>
      <x:c r="I478" s="10" t="n">
        <x:f>MIN(F478,9)</x:f>
        <x:v>2</x:v>
      </x:c>
      <x:c r="J478" s="19" t="n">
        <x:v>0.4</x:v>
      </x:c>
      <x:c r="K478" s="2" t="n">
        <x:v>2</x:v>
      </x:c>
      <x:c r="L478" s="19" t="n">
        <x:v>0.8</x:v>
      </x:c>
      <x:c r="M478" s="19" t="n">
        <x:v>0.25</x:v>
      </x:c>
    </x:row>
    <x:row r="479" ht="23" customHeight="1">
      <x:c r="A479" s="2" t="str">
        <x:v>D040_T02_C080_G025</x:v>
      </x:c>
      <x:c r="B479" s="2" t="str">
        <x:v>A0011</x:v>
      </x:c>
      <x:c r="C479" s="2" t="str">
        <x:v>圈内</x:v>
      </x:c>
      <x:c r="D479" s="10" t="n">
        <x:v>1</x:v>
      </x:c>
      <x:c r="E479" s="10" t="n">
        <x:v>5</x:v>
      </x:c>
      <x:c r="F479" s="10" t="n">
        <x:v>4</x:v>
      </x:c>
      <x:c r="G479" s="10" t="n">
        <x:v>1</x:v>
      </x:c>
      <x:c r="H479" s="10" t="n">
        <x:f>IF(G479=1,E479-D479,"")</x:f>
        <x:v>4</x:v>
      </x:c>
      <x:c r="I479" s="10" t="n">
        <x:f>MIN(F479,9)</x:f>
        <x:v>4</x:v>
      </x:c>
      <x:c r="J479" s="19" t="n">
        <x:v>0.4</x:v>
      </x:c>
      <x:c r="K479" s="2" t="n">
        <x:v>2</x:v>
      </x:c>
      <x:c r="L479" s="19" t="n">
        <x:v>0.8</x:v>
      </x:c>
      <x:c r="M479" s="19" t="n">
        <x:v>0.25</x:v>
      </x:c>
    </x:row>
    <x:row r="480" ht="23" customHeight="1">
      <x:c r="A480" s="2" t="str">
        <x:v>D040_T02_C080_G025</x:v>
      </x:c>
      <x:c r="B480" s="2" t="str">
        <x:v>A0012</x:v>
      </x:c>
      <x:c r="C480" s="2" t="str">
        <x:v>圈内</x:v>
      </x:c>
      <x:c r="D480" s="10" t="n">
        <x:v>1</x:v>
      </x:c>
      <x:c r="E480" s="10"/>
      <x:c r="F480" s="10" t="n">
        <x:v>9</x:v>
      </x:c>
      <x:c r="G480" s="10" t="n">
        <x:v>0</x:v>
      </x:c>
      <x:c r="H480" s="10" t="str">
        <x:f>IF(G480=1,E480-D480,"")</x:f>
      </x:c>
      <x:c r="I480" s="10" t="n">
        <x:f>MIN(F480,9)</x:f>
        <x:v>9</x:v>
      </x:c>
      <x:c r="J480" s="19" t="n">
        <x:v>0.4</x:v>
      </x:c>
      <x:c r="K480" s="2" t="n">
        <x:v>2</x:v>
      </x:c>
      <x:c r="L480" s="19" t="n">
        <x:v>0.8</x:v>
      </x:c>
      <x:c r="M480" s="19" t="n">
        <x:v>0.25</x:v>
      </x:c>
    </x:row>
    <x:row r="481" ht="23" customHeight="1">
      <x:c r="A481" s="2" t="str">
        <x:v>D040_T02_C080_G025</x:v>
      </x:c>
      <x:c r="B481" s="2" t="str">
        <x:v>A0014</x:v>
      </x:c>
      <x:c r="C481" s="2" t="str">
        <x:v>圈内</x:v>
      </x:c>
      <x:c r="D481" s="10" t="n">
        <x:v>1</x:v>
      </x:c>
      <x:c r="E481" s="10" t="n">
        <x:v>3</x:v>
      </x:c>
      <x:c r="F481" s="10" t="n">
        <x:v>2</x:v>
      </x:c>
      <x:c r="G481" s="10" t="n">
        <x:v>1</x:v>
      </x:c>
      <x:c r="H481" s="10" t="n">
        <x:f>IF(G481=1,E481-D481,"")</x:f>
        <x:v>2</x:v>
      </x:c>
      <x:c r="I481" s="10" t="n">
        <x:f>MIN(F481,9)</x:f>
        <x:v>2</x:v>
      </x:c>
      <x:c r="J481" s="19" t="n">
        <x:v>0.4</x:v>
      </x:c>
      <x:c r="K481" s="2" t="n">
        <x:v>2</x:v>
      </x:c>
      <x:c r="L481" s="19" t="n">
        <x:v>0.8</x:v>
      </x:c>
      <x:c r="M481" s="19" t="n">
        <x:v>0.25</x:v>
      </x:c>
    </x:row>
    <x:row r="482" ht="23" customHeight="1">
      <x:c r="A482" s="2" t="str">
        <x:v>D040_T02_C080_G025</x:v>
      </x:c>
      <x:c r="B482" s="2" t="str">
        <x:v>A0015</x:v>
      </x:c>
      <x:c r="C482" s="2" t="str">
        <x:v>圈内</x:v>
      </x:c>
      <x:c r="D482" s="10" t="n">
        <x:v>1</x:v>
      </x:c>
      <x:c r="E482" s="10" t="n">
        <x:v>7</x:v>
      </x:c>
      <x:c r="F482" s="10" t="n">
        <x:v>6</x:v>
      </x:c>
      <x:c r="G482" s="10" t="n">
        <x:v>1</x:v>
      </x:c>
      <x:c r="H482" s="10" t="n">
        <x:f>IF(G482=1,E482-D482,"")</x:f>
        <x:v>6</x:v>
      </x:c>
      <x:c r="I482" s="10" t="n">
        <x:f>MIN(F482,9)</x:f>
        <x:v>6</x:v>
      </x:c>
      <x:c r="J482" s="19" t="n">
        <x:v>0.4</x:v>
      </x:c>
      <x:c r="K482" s="2" t="n">
        <x:v>2</x:v>
      </x:c>
      <x:c r="L482" s="19" t="n">
        <x:v>0.8</x:v>
      </x:c>
      <x:c r="M482" s="19" t="n">
        <x:v>0.25</x:v>
      </x:c>
    </x:row>
    <x:row r="483" ht="23" customHeight="1">
      <x:c r="A483" s="2" t="str">
        <x:v>D040_T02_C080_G025</x:v>
      </x:c>
      <x:c r="B483" s="2" t="str">
        <x:v>A0016</x:v>
      </x:c>
      <x:c r="C483" s="2" t="str">
        <x:v>圈内</x:v>
      </x:c>
      <x:c r="D483" s="10" t="n">
        <x:v>1</x:v>
      </x:c>
      <x:c r="E483" s="10" t="n">
        <x:v>2</x:v>
      </x:c>
      <x:c r="F483" s="10" t="n">
        <x:v>1</x:v>
      </x:c>
      <x:c r="G483" s="10" t="n">
        <x:v>1</x:v>
      </x:c>
      <x:c r="H483" s="10" t="n">
        <x:f>IF(G483=1,E483-D483,"")</x:f>
        <x:v>1</x:v>
      </x:c>
      <x:c r="I483" s="10" t="n">
        <x:f>MIN(F483,9)</x:f>
        <x:v>1</x:v>
      </x:c>
      <x:c r="J483" s="19" t="n">
        <x:v>0.4</x:v>
      </x:c>
      <x:c r="K483" s="2" t="n">
        <x:v>2</x:v>
      </x:c>
      <x:c r="L483" s="19" t="n">
        <x:v>0.8</x:v>
      </x:c>
      <x:c r="M483" s="19" t="n">
        <x:v>0.25</x:v>
      </x:c>
    </x:row>
    <x:row r="484" ht="23" customHeight="1">
      <x:c r="A484" s="2" t="str">
        <x:v>D040_T02_C080_G025</x:v>
      </x:c>
      <x:c r="B484" s="2" t="str">
        <x:v>A0017</x:v>
      </x:c>
      <x:c r="C484" s="2" t="str">
        <x:v>圈内</x:v>
      </x:c>
      <x:c r="D484" s="10" t="n">
        <x:v>1</x:v>
      </x:c>
      <x:c r="E484" s="10"/>
      <x:c r="F484" s="10" t="n">
        <x:v>9</x:v>
      </x:c>
      <x:c r="G484" s="10" t="n">
        <x:v>0</x:v>
      </x:c>
      <x:c r="H484" s="10" t="str">
        <x:f>IF(G484=1,E484-D484,"")</x:f>
      </x:c>
      <x:c r="I484" s="10" t="n">
        <x:f>MIN(F484,9)</x:f>
        <x:v>9</x:v>
      </x:c>
      <x:c r="J484" s="19" t="n">
        <x:v>0.4</x:v>
      </x:c>
      <x:c r="K484" s="2" t="n">
        <x:v>2</x:v>
      </x:c>
      <x:c r="L484" s="19" t="n">
        <x:v>0.8</x:v>
      </x:c>
      <x:c r="M484" s="19" t="n">
        <x:v>0.25</x:v>
      </x:c>
    </x:row>
    <x:row r="485" ht="23" customHeight="1">
      <x:c r="A485" s="2" t="str">
        <x:v>D040_T02_C080_G025</x:v>
      </x:c>
      <x:c r="B485" s="2" t="str">
        <x:v>A0018</x:v>
      </x:c>
      <x:c r="C485" s="2" t="str">
        <x:v>圈内</x:v>
      </x:c>
      <x:c r="D485" s="10" t="n">
        <x:v>1</x:v>
      </x:c>
      <x:c r="E485" s="10" t="n">
        <x:v>8</x:v>
      </x:c>
      <x:c r="F485" s="10" t="n">
        <x:v>7</x:v>
      </x:c>
      <x:c r="G485" s="10" t="n">
        <x:v>1</x:v>
      </x:c>
      <x:c r="H485" s="10" t="n">
        <x:f>IF(G485=1,E485-D485,"")</x:f>
        <x:v>7</x:v>
      </x:c>
      <x:c r="I485" s="10" t="n">
        <x:f>MIN(F485,9)</x:f>
        <x:v>7</x:v>
      </x:c>
      <x:c r="J485" s="19" t="n">
        <x:v>0.4</x:v>
      </x:c>
      <x:c r="K485" s="2" t="n">
        <x:v>2</x:v>
      </x:c>
      <x:c r="L485" s="19" t="n">
        <x:v>0.8</x:v>
      </x:c>
      <x:c r="M485" s="19" t="n">
        <x:v>0.25</x:v>
      </x:c>
    </x:row>
    <x:row r="486" ht="23" customHeight="1">
      <x:c r="A486" s="2" t="str">
        <x:v>D040_T02_C080_G025</x:v>
      </x:c>
      <x:c r="B486" s="2" t="str">
        <x:v>A0019</x:v>
      </x:c>
      <x:c r="C486" s="2" t="str">
        <x:v>圈内</x:v>
      </x:c>
      <x:c r="D486" s="10" t="n">
        <x:v>1</x:v>
      </x:c>
      <x:c r="E486" s="10" t="n">
        <x:v>3</x:v>
      </x:c>
      <x:c r="F486" s="10" t="n">
        <x:v>2</x:v>
      </x:c>
      <x:c r="G486" s="10" t="n">
        <x:v>1</x:v>
      </x:c>
      <x:c r="H486" s="10" t="n">
        <x:f>IF(G486=1,E486-D486,"")</x:f>
        <x:v>2</x:v>
      </x:c>
      <x:c r="I486" s="10" t="n">
        <x:f>MIN(F486,9)</x:f>
        <x:v>2</x:v>
      </x:c>
      <x:c r="J486" s="19" t="n">
        <x:v>0.4</x:v>
      </x:c>
      <x:c r="K486" s="2" t="n">
        <x:v>2</x:v>
      </x:c>
      <x:c r="L486" s="19" t="n">
        <x:v>0.8</x:v>
      </x:c>
      <x:c r="M486" s="19" t="n">
        <x:v>0.25</x:v>
      </x:c>
    </x:row>
    <x:row r="487" ht="23" customHeight="1">
      <x:c r="A487" s="2" t="str">
        <x:v>D040_T02_C080_G025</x:v>
      </x:c>
      <x:c r="B487" s="2" t="str">
        <x:v>A0020</x:v>
      </x:c>
      <x:c r="C487" s="2" t="str">
        <x:v>圈内</x:v>
      </x:c>
      <x:c r="D487" s="10" t="n">
        <x:v>1</x:v>
      </x:c>
      <x:c r="E487" s="10" t="n">
        <x:v>9</x:v>
      </x:c>
      <x:c r="F487" s="10" t="n">
        <x:v>8</x:v>
      </x:c>
      <x:c r="G487" s="10" t="n">
        <x:v>1</x:v>
      </x:c>
      <x:c r="H487" s="10" t="n">
        <x:f>IF(G487=1,E487-D487,"")</x:f>
        <x:v>8</x:v>
      </x:c>
      <x:c r="I487" s="10" t="n">
        <x:f>MIN(F487,9)</x:f>
        <x:v>8</x:v>
      </x:c>
      <x:c r="J487" s="19" t="n">
        <x:v>0.4</x:v>
      </x:c>
      <x:c r="K487" s="2" t="n">
        <x:v>2</x:v>
      </x:c>
      <x:c r="L487" s="19" t="n">
        <x:v>0.8</x:v>
      </x:c>
      <x:c r="M487" s="19" t="n">
        <x:v>0.25</x:v>
      </x:c>
    </x:row>
    <x:row r="488" ht="23" customHeight="1">
      <x:c r="A488" s="2" t="str">
        <x:v>D040_T02_C080_G025</x:v>
      </x:c>
      <x:c r="B488" s="2" t="str">
        <x:v>A0023</x:v>
      </x:c>
      <x:c r="C488" s="2" t="str">
        <x:v>圈内</x:v>
      </x:c>
      <x:c r="D488" s="10" t="n">
        <x:v>1</x:v>
      </x:c>
      <x:c r="E488" s="10" t="n">
        <x:v>3</x:v>
      </x:c>
      <x:c r="F488" s="10" t="n">
        <x:v>2</x:v>
      </x:c>
      <x:c r="G488" s="10" t="n">
        <x:v>1</x:v>
      </x:c>
      <x:c r="H488" s="10" t="n">
        <x:f>IF(G488=1,E488-D488,"")</x:f>
        <x:v>2</x:v>
      </x:c>
      <x:c r="I488" s="10" t="n">
        <x:f>MIN(F488,9)</x:f>
        <x:v>2</x:v>
      </x:c>
      <x:c r="J488" s="19" t="n">
        <x:v>0.4</x:v>
      </x:c>
      <x:c r="K488" s="2" t="n">
        <x:v>2</x:v>
      </x:c>
      <x:c r="L488" s="19" t="n">
        <x:v>0.8</x:v>
      </x:c>
      <x:c r="M488" s="19" t="n">
        <x:v>0.25</x:v>
      </x:c>
    </x:row>
    <x:row r="489" ht="23" customHeight="1">
      <x:c r="A489" s="2" t="str">
        <x:v>D040_T02_C080_G025</x:v>
      </x:c>
      <x:c r="B489" s="2" t="str">
        <x:v>A0024</x:v>
      </x:c>
      <x:c r="C489" s="2" t="str">
        <x:v>圈内</x:v>
      </x:c>
      <x:c r="D489" s="10" t="n">
        <x:v>1</x:v>
      </x:c>
      <x:c r="E489" s="10" t="n">
        <x:v>8</x:v>
      </x:c>
      <x:c r="F489" s="10" t="n">
        <x:v>7</x:v>
      </x:c>
      <x:c r="G489" s="10" t="n">
        <x:v>1</x:v>
      </x:c>
      <x:c r="H489" s="10" t="n">
        <x:f>IF(G489=1,E489-D489,"")</x:f>
        <x:v>7</x:v>
      </x:c>
      <x:c r="I489" s="10" t="n">
        <x:f>MIN(F489,9)</x:f>
        <x:v>7</x:v>
      </x:c>
      <x:c r="J489" s="19" t="n">
        <x:v>0.4</x:v>
      </x:c>
      <x:c r="K489" s="2" t="n">
        <x:v>2</x:v>
      </x:c>
      <x:c r="L489" s="19" t="n">
        <x:v>0.8</x:v>
      </x:c>
      <x:c r="M489" s="19" t="n">
        <x:v>0.25</x:v>
      </x:c>
    </x:row>
    <x:row r="490" ht="23" customHeight="1">
      <x:c r="A490" s="2" t="str">
        <x:v>D040_T02_C080_G025</x:v>
      </x:c>
      <x:c r="B490" s="2" t="str">
        <x:v>A0025</x:v>
      </x:c>
      <x:c r="C490" s="2" t="str">
        <x:v>圈内</x:v>
      </x:c>
      <x:c r="D490" s="10" t="n">
        <x:v>1</x:v>
      </x:c>
      <x:c r="E490" s="10" t="n">
        <x:v>5</x:v>
      </x:c>
      <x:c r="F490" s="10" t="n">
        <x:v>4</x:v>
      </x:c>
      <x:c r="G490" s="10" t="n">
        <x:v>1</x:v>
      </x:c>
      <x:c r="H490" s="10" t="n">
        <x:f>IF(G490=1,E490-D490,"")</x:f>
        <x:v>4</x:v>
      </x:c>
      <x:c r="I490" s="10" t="n">
        <x:f>MIN(F490,9)</x:f>
        <x:v>4</x:v>
      </x:c>
      <x:c r="J490" s="19" t="n">
        <x:v>0.4</x:v>
      </x:c>
      <x:c r="K490" s="2" t="n">
        <x:v>2</x:v>
      </x:c>
      <x:c r="L490" s="19" t="n">
        <x:v>0.8</x:v>
      </x:c>
      <x:c r="M490" s="19" t="n">
        <x:v>0.25</x:v>
      </x:c>
    </x:row>
    <x:row r="491" ht="23" customHeight="1">
      <x:c r="A491" s="2" t="str">
        <x:v>D040_T02_C080_G025</x:v>
      </x:c>
      <x:c r="B491" s="2" t="str">
        <x:v>A0027</x:v>
      </x:c>
      <x:c r="C491" s="2" t="str">
        <x:v>圈内</x:v>
      </x:c>
      <x:c r="D491" s="10" t="n">
        <x:v>1</x:v>
      </x:c>
      <x:c r="E491" s="10" t="n">
        <x:v>10</x:v>
      </x:c>
      <x:c r="F491" s="10" t="n">
        <x:v>9</x:v>
      </x:c>
      <x:c r="G491" s="10" t="n">
        <x:v>1</x:v>
      </x:c>
      <x:c r="H491" s="10" t="n">
        <x:f>IF(G491=1,E491-D491,"")</x:f>
        <x:v>9</x:v>
      </x:c>
      <x:c r="I491" s="10" t="n">
        <x:f>MIN(F491,9)</x:f>
        <x:v>9</x:v>
      </x:c>
      <x:c r="J491" s="19" t="n">
        <x:v>0.4</x:v>
      </x:c>
      <x:c r="K491" s="2" t="n">
        <x:v>2</x:v>
      </x:c>
      <x:c r="L491" s="19" t="n">
        <x:v>0.8</x:v>
      </x:c>
      <x:c r="M491" s="19" t="n">
        <x:v>0.25</x:v>
      </x:c>
    </x:row>
    <x:row r="492" ht="23" customHeight="1">
      <x:c r="A492" s="2" t="str">
        <x:v>D040_T02_C080_G025</x:v>
      </x:c>
      <x:c r="B492" s="2" t="str">
        <x:v>A0030</x:v>
      </x:c>
      <x:c r="C492" s="2" t="str">
        <x:v>圈内</x:v>
      </x:c>
      <x:c r="D492" s="10" t="n">
        <x:v>1</x:v>
      </x:c>
      <x:c r="E492" s="10" t="n">
        <x:v>8</x:v>
      </x:c>
      <x:c r="F492" s="10" t="n">
        <x:v>7</x:v>
      </x:c>
      <x:c r="G492" s="10" t="n">
        <x:v>1</x:v>
      </x:c>
      <x:c r="H492" s="10" t="n">
        <x:f>IF(G492=1,E492-D492,"")</x:f>
        <x:v>7</x:v>
      </x:c>
      <x:c r="I492" s="10" t="n">
        <x:f>MIN(F492,9)</x:f>
        <x:v>7</x:v>
      </x:c>
      <x:c r="J492" s="19" t="n">
        <x:v>0.4</x:v>
      </x:c>
      <x:c r="K492" s="2" t="n">
        <x:v>2</x:v>
      </x:c>
      <x:c r="L492" s="19" t="n">
        <x:v>0.8</x:v>
      </x:c>
      <x:c r="M492" s="19" t="n">
        <x:v>0.25</x:v>
      </x:c>
    </x:row>
    <x:row r="493" ht="23" customHeight="1">
      <x:c r="A493" s="2" t="str">
        <x:v>D040_T02_C080_G025</x:v>
      </x:c>
      <x:c r="B493" s="2" t="str">
        <x:v>A0032</x:v>
      </x:c>
      <x:c r="C493" s="2" t="str">
        <x:v>圈内</x:v>
      </x:c>
      <x:c r="D493" s="10" t="n">
        <x:v>1</x:v>
      </x:c>
      <x:c r="E493" s="10"/>
      <x:c r="F493" s="10" t="n">
        <x:v>9</x:v>
      </x:c>
      <x:c r="G493" s="10" t="n">
        <x:v>0</x:v>
      </x:c>
      <x:c r="H493" s="10" t="str">
        <x:f>IF(G493=1,E493-D493,"")</x:f>
      </x:c>
      <x:c r="I493" s="10" t="n">
        <x:f>MIN(F493,9)</x:f>
        <x:v>9</x:v>
      </x:c>
      <x:c r="J493" s="19" t="n">
        <x:v>0.4</x:v>
      </x:c>
      <x:c r="K493" s="2" t="n">
        <x:v>2</x:v>
      </x:c>
      <x:c r="L493" s="19" t="n">
        <x:v>0.8</x:v>
      </x:c>
      <x:c r="M493" s="19" t="n">
        <x:v>0.25</x:v>
      </x:c>
    </x:row>
    <x:row r="494" ht="23" customHeight="1">
      <x:c r="A494" s="2" t="str">
        <x:v>D040_T02_C080_G025</x:v>
      </x:c>
      <x:c r="B494" s="2" t="str">
        <x:v>A0033</x:v>
      </x:c>
      <x:c r="C494" s="2" t="str">
        <x:v>圈内</x:v>
      </x:c>
      <x:c r="D494" s="10" t="n">
        <x:v>1</x:v>
      </x:c>
      <x:c r="E494" s="10" t="n">
        <x:v>2</x:v>
      </x:c>
      <x:c r="F494" s="10" t="n">
        <x:v>1</x:v>
      </x:c>
      <x:c r="G494" s="10" t="n">
        <x:v>1</x:v>
      </x:c>
      <x:c r="H494" s="10" t="n">
        <x:f>IF(G494=1,E494-D494,"")</x:f>
        <x:v>1</x:v>
      </x:c>
      <x:c r="I494" s="10" t="n">
        <x:f>MIN(F494,9)</x:f>
        <x:v>1</x:v>
      </x:c>
      <x:c r="J494" s="19" t="n">
        <x:v>0.4</x:v>
      </x:c>
      <x:c r="K494" s="2" t="n">
        <x:v>2</x:v>
      </x:c>
      <x:c r="L494" s="19" t="n">
        <x:v>0.8</x:v>
      </x:c>
      <x:c r="M494" s="19" t="n">
        <x:v>0.25</x:v>
      </x:c>
    </x:row>
    <x:row r="495" ht="23" customHeight="1">
      <x:c r="A495" s="2" t="str">
        <x:v>D040_T02_C080_G025</x:v>
      </x:c>
      <x:c r="B495" s="2" t="str">
        <x:v>A0034</x:v>
      </x:c>
      <x:c r="C495" s="2" t="str">
        <x:v>圈内</x:v>
      </x:c>
      <x:c r="D495" s="10" t="n">
        <x:v>1</x:v>
      </x:c>
      <x:c r="E495" s="10" t="n">
        <x:v>2</x:v>
      </x:c>
      <x:c r="F495" s="10" t="n">
        <x:v>1</x:v>
      </x:c>
      <x:c r="G495" s="10" t="n">
        <x:v>1</x:v>
      </x:c>
      <x:c r="H495" s="10" t="n">
        <x:f>IF(G495=1,E495-D495,"")</x:f>
        <x:v>1</x:v>
      </x:c>
      <x:c r="I495" s="10" t="n">
        <x:f>MIN(F495,9)</x:f>
        <x:v>1</x:v>
      </x:c>
      <x:c r="J495" s="19" t="n">
        <x:v>0.4</x:v>
      </x:c>
      <x:c r="K495" s="2" t="n">
        <x:v>2</x:v>
      </x:c>
      <x:c r="L495" s="19" t="n">
        <x:v>0.8</x:v>
      </x:c>
      <x:c r="M495" s="19" t="n">
        <x:v>0.25</x:v>
      </x:c>
    </x:row>
    <x:row r="496" ht="23" customHeight="1">
      <x:c r="A496" s="2" t="str">
        <x:v>D040_T02_C080_G025</x:v>
      </x:c>
      <x:c r="B496" s="2" t="str">
        <x:v>A0035</x:v>
      </x:c>
      <x:c r="C496" s="2" t="str">
        <x:v>圈内</x:v>
      </x:c>
      <x:c r="D496" s="10" t="n">
        <x:v>1</x:v>
      </x:c>
      <x:c r="E496" s="10" t="n">
        <x:v>8</x:v>
      </x:c>
      <x:c r="F496" s="10" t="n">
        <x:v>7</x:v>
      </x:c>
      <x:c r="G496" s="10" t="n">
        <x:v>1</x:v>
      </x:c>
      <x:c r="H496" s="10" t="n">
        <x:f>IF(G496=1,E496-D496,"")</x:f>
        <x:v>7</x:v>
      </x:c>
      <x:c r="I496" s="10" t="n">
        <x:f>MIN(F496,9)</x:f>
        <x:v>7</x:v>
      </x:c>
      <x:c r="J496" s="19" t="n">
        <x:v>0.4</x:v>
      </x:c>
      <x:c r="K496" s="2" t="n">
        <x:v>2</x:v>
      </x:c>
      <x:c r="L496" s="19" t="n">
        <x:v>0.8</x:v>
      </x:c>
      <x:c r="M496" s="19" t="n">
        <x:v>0.25</x:v>
      </x:c>
    </x:row>
    <x:row r="497" ht="23" customHeight="1">
      <x:c r="A497" s="2" t="str">
        <x:v>D040_T02_C080_G025</x:v>
      </x:c>
      <x:c r="B497" s="2" t="str">
        <x:v>A0036</x:v>
      </x:c>
      <x:c r="C497" s="2" t="str">
        <x:v>圈内</x:v>
      </x:c>
      <x:c r="D497" s="10" t="n">
        <x:v>1</x:v>
      </x:c>
      <x:c r="E497" s="10" t="n">
        <x:v>9</x:v>
      </x:c>
      <x:c r="F497" s="10" t="n">
        <x:v>8</x:v>
      </x:c>
      <x:c r="G497" s="10" t="n">
        <x:v>1</x:v>
      </x:c>
      <x:c r="H497" s="10" t="n">
        <x:f>IF(G497=1,E497-D497,"")</x:f>
        <x:v>8</x:v>
      </x:c>
      <x:c r="I497" s="10" t="n">
        <x:f>MIN(F497,9)</x:f>
        <x:v>8</x:v>
      </x:c>
      <x:c r="J497" s="19" t="n">
        <x:v>0.4</x:v>
      </x:c>
      <x:c r="K497" s="2" t="n">
        <x:v>2</x:v>
      </x:c>
      <x:c r="L497" s="19" t="n">
        <x:v>0.8</x:v>
      </x:c>
      <x:c r="M497" s="19" t="n">
        <x:v>0.25</x:v>
      </x:c>
    </x:row>
    <x:row r="498" ht="23" customHeight="1">
      <x:c r="A498" s="2" t="str">
        <x:v>D040_T02_C080_G025</x:v>
      </x:c>
      <x:c r="B498" s="2" t="str">
        <x:v>A0037</x:v>
      </x:c>
      <x:c r="C498" s="2" t="str">
        <x:v>圈内</x:v>
      </x:c>
      <x:c r="D498" s="10" t="n">
        <x:v>1</x:v>
      </x:c>
      <x:c r="E498" s="10" t="n">
        <x:v>3</x:v>
      </x:c>
      <x:c r="F498" s="10" t="n">
        <x:v>2</x:v>
      </x:c>
      <x:c r="G498" s="10" t="n">
        <x:v>1</x:v>
      </x:c>
      <x:c r="H498" s="10" t="n">
        <x:f>IF(G498=1,E498-D498,"")</x:f>
        <x:v>2</x:v>
      </x:c>
      <x:c r="I498" s="10" t="n">
        <x:f>MIN(F498,9)</x:f>
        <x:v>2</x:v>
      </x:c>
      <x:c r="J498" s="19" t="n">
        <x:v>0.4</x:v>
      </x:c>
      <x:c r="K498" s="2" t="n">
        <x:v>2</x:v>
      </x:c>
      <x:c r="L498" s="19" t="n">
        <x:v>0.8</x:v>
      </x:c>
      <x:c r="M498" s="19" t="n">
        <x:v>0.25</x:v>
      </x:c>
    </x:row>
    <x:row r="499" ht="23" customHeight="1">
      <x:c r="A499" s="2" t="str">
        <x:v>D040_T02_C080_G025</x:v>
      </x:c>
      <x:c r="B499" s="2" t="str">
        <x:v>A0040</x:v>
      </x:c>
      <x:c r="C499" s="2" t="str">
        <x:v>圈内</x:v>
      </x:c>
      <x:c r="D499" s="10" t="n">
        <x:v>1</x:v>
      </x:c>
      <x:c r="E499" s="10" t="n">
        <x:v>4</x:v>
      </x:c>
      <x:c r="F499" s="10" t="n">
        <x:v>3</x:v>
      </x:c>
      <x:c r="G499" s="10" t="n">
        <x:v>1</x:v>
      </x:c>
      <x:c r="H499" s="10" t="n">
        <x:f>IF(G499=1,E499-D499,"")</x:f>
        <x:v>3</x:v>
      </x:c>
      <x:c r="I499" s="10" t="n">
        <x:f>MIN(F499,9)</x:f>
        <x:v>3</x:v>
      </x:c>
      <x:c r="J499" s="19" t="n">
        <x:v>0.4</x:v>
      </x:c>
      <x:c r="K499" s="2" t="n">
        <x:v>2</x:v>
      </x:c>
      <x:c r="L499" s="19" t="n">
        <x:v>0.8</x:v>
      </x:c>
      <x:c r="M499" s="19" t="n">
        <x:v>0.25</x:v>
      </x:c>
    </x:row>
    <x:row r="500" ht="23" customHeight="1">
      <x:c r="A500" s="2" t="str">
        <x:v>D040_T02_C080_G025</x:v>
      </x:c>
      <x:c r="B500" s="2" t="str">
        <x:v>A0041</x:v>
      </x:c>
      <x:c r="C500" s="2" t="str">
        <x:v>圈内</x:v>
      </x:c>
      <x:c r="D500" s="10" t="n">
        <x:v>1</x:v>
      </x:c>
      <x:c r="E500" s="10" t="n">
        <x:v>4</x:v>
      </x:c>
      <x:c r="F500" s="10" t="n">
        <x:v>3</x:v>
      </x:c>
      <x:c r="G500" s="10" t="n">
        <x:v>1</x:v>
      </x:c>
      <x:c r="H500" s="10" t="n">
        <x:f>IF(G500=1,E500-D500,"")</x:f>
        <x:v>3</x:v>
      </x:c>
      <x:c r="I500" s="10" t="n">
        <x:f>MIN(F500,9)</x:f>
        <x:v>3</x:v>
      </x:c>
      <x:c r="J500" s="19" t="n">
        <x:v>0.4</x:v>
      </x:c>
      <x:c r="K500" s="2" t="n">
        <x:v>2</x:v>
      </x:c>
      <x:c r="L500" s="19" t="n">
        <x:v>0.8</x:v>
      </x:c>
      <x:c r="M500" s="19" t="n">
        <x:v>0.25</x:v>
      </x:c>
    </x:row>
    <x:row r="501" ht="23" customHeight="1">
      <x:c r="A501" s="2" t="str">
        <x:v>D040_T02_C080_G025</x:v>
      </x:c>
      <x:c r="B501" s="2" t="str">
        <x:v>A0042</x:v>
      </x:c>
      <x:c r="C501" s="2" t="str">
        <x:v>圈内</x:v>
      </x:c>
      <x:c r="D501" s="10" t="n">
        <x:v>1</x:v>
      </x:c>
      <x:c r="E501" s="10" t="n">
        <x:v>5</x:v>
      </x:c>
      <x:c r="F501" s="10" t="n">
        <x:v>4</x:v>
      </x:c>
      <x:c r="G501" s="10" t="n">
        <x:v>1</x:v>
      </x:c>
      <x:c r="H501" s="10" t="n">
        <x:f>IF(G501=1,E501-D501,"")</x:f>
        <x:v>4</x:v>
      </x:c>
      <x:c r="I501" s="10" t="n">
        <x:f>MIN(F501,9)</x:f>
        <x:v>4</x:v>
      </x:c>
      <x:c r="J501" s="19" t="n">
        <x:v>0.4</x:v>
      </x:c>
      <x:c r="K501" s="2" t="n">
        <x:v>2</x:v>
      </x:c>
      <x:c r="L501" s="19" t="n">
        <x:v>0.8</x:v>
      </x:c>
      <x:c r="M501" s="19" t="n">
        <x:v>0.25</x:v>
      </x:c>
    </x:row>
    <x:row r="502" ht="23" customHeight="1">
      <x:c r="A502" s="2" t="str">
        <x:v>D040_T02_C080_G025</x:v>
      </x:c>
      <x:c r="B502" s="2" t="str">
        <x:v>A0071</x:v>
      </x:c>
      <x:c r="C502" s="2" t="str">
        <x:v>圈内</x:v>
      </x:c>
      <x:c r="D502" s="10" t="n">
        <x:v>1</x:v>
      </x:c>
      <x:c r="E502" s="10" t="n">
        <x:v>4</x:v>
      </x:c>
      <x:c r="F502" s="10" t="n">
        <x:v>3</x:v>
      </x:c>
      <x:c r="G502" s="10" t="n">
        <x:v>1</x:v>
      </x:c>
      <x:c r="H502" s="10" t="n">
        <x:f>IF(G502=1,E502-D502,"")</x:f>
        <x:v>3</x:v>
      </x:c>
      <x:c r="I502" s="10" t="n">
        <x:f>MIN(F502,9)</x:f>
        <x:v>3</x:v>
      </x:c>
      <x:c r="J502" s="19" t="n">
        <x:v>0.4</x:v>
      </x:c>
      <x:c r="K502" s="2" t="n">
        <x:v>2</x:v>
      </x:c>
      <x:c r="L502" s="19" t="n">
        <x:v>0.8</x:v>
      </x:c>
      <x:c r="M502" s="19" t="n">
        <x:v>0.25</x:v>
      </x:c>
    </x:row>
    <x:row r="503" ht="23" customHeight="1">
      <x:c r="A503" s="2" t="str">
        <x:v>D040_T02_C080_G025</x:v>
      </x:c>
      <x:c r="B503" s="2" t="str">
        <x:v>A0090</x:v>
      </x:c>
      <x:c r="C503" s="2" t="str">
        <x:v>圈内</x:v>
      </x:c>
      <x:c r="D503" s="10" t="n">
        <x:v>1</x:v>
      </x:c>
      <x:c r="E503" s="10" t="n">
        <x:v>5</x:v>
      </x:c>
      <x:c r="F503" s="10" t="n">
        <x:v>4</x:v>
      </x:c>
      <x:c r="G503" s="10" t="n">
        <x:v>1</x:v>
      </x:c>
      <x:c r="H503" s="10" t="n">
        <x:f>IF(G503=1,E503-D503,"")</x:f>
        <x:v>4</x:v>
      </x:c>
      <x:c r="I503" s="10" t="n">
        <x:f>MIN(F503,9)</x:f>
        <x:v>4</x:v>
      </x:c>
      <x:c r="J503" s="19" t="n">
        <x:v>0.4</x:v>
      </x:c>
      <x:c r="K503" s="2" t="n">
        <x:v>2</x:v>
      </x:c>
      <x:c r="L503" s="19" t="n">
        <x:v>0.8</x:v>
      </x:c>
      <x:c r="M503" s="19" t="n">
        <x:v>0.25</x:v>
      </x:c>
    </x:row>
    <x:row r="504" ht="23" customHeight="1">
      <x:c r="A504" s="2" t="str">
        <x:v>D040_T02_C080_G025</x:v>
      </x:c>
      <x:c r="B504" s="2" t="str">
        <x:v>A0189</x:v>
      </x:c>
      <x:c r="C504" s="2" t="str">
        <x:v>圈内</x:v>
      </x:c>
      <x:c r="D504" s="10" t="n">
        <x:v>1</x:v>
      </x:c>
      <x:c r="E504" s="10" t="n">
        <x:v>8</x:v>
      </x:c>
      <x:c r="F504" s="10" t="n">
        <x:v>7</x:v>
      </x:c>
      <x:c r="G504" s="10" t="n">
        <x:v>1</x:v>
      </x:c>
      <x:c r="H504" s="10" t="n">
        <x:f>IF(G504=1,E504-D504,"")</x:f>
        <x:v>7</x:v>
      </x:c>
      <x:c r="I504" s="10" t="n">
        <x:f>MIN(F504,9)</x:f>
        <x:v>7</x:v>
      </x:c>
      <x:c r="J504" s="19" t="n">
        <x:v>0.4</x:v>
      </x:c>
      <x:c r="K504" s="2" t="n">
        <x:v>2</x:v>
      </x:c>
      <x:c r="L504" s="19" t="n">
        <x:v>0.8</x:v>
      </x:c>
      <x:c r="M504" s="19" t="n">
        <x:v>0.25</x:v>
      </x:c>
    </x:row>
    <x:row r="505" ht="23" customHeight="1">
      <x:c r="A505" s="2" t="str">
        <x:v>D040_T02_C080_G025</x:v>
      </x:c>
      <x:c r="B505" s="2" t="str">
        <x:v>A0206</x:v>
      </x:c>
      <x:c r="C505" s="2" t="str">
        <x:v>圈内</x:v>
      </x:c>
      <x:c r="D505" s="10" t="n">
        <x:v>1</x:v>
      </x:c>
      <x:c r="E505" s="10" t="n">
        <x:v>4</x:v>
      </x:c>
      <x:c r="F505" s="10" t="n">
        <x:v>3</x:v>
      </x:c>
      <x:c r="G505" s="10" t="n">
        <x:v>1</x:v>
      </x:c>
      <x:c r="H505" s="10" t="n">
        <x:f>IF(G505=1,E505-D505,"")</x:f>
        <x:v>3</x:v>
      </x:c>
      <x:c r="I505" s="10" t="n">
        <x:f>MIN(F505,9)</x:f>
        <x:v>3</x:v>
      </x:c>
      <x:c r="J505" s="19" t="n">
        <x:v>0.4</x:v>
      </x:c>
      <x:c r="K505" s="2" t="n">
        <x:v>2</x:v>
      </x:c>
      <x:c r="L505" s="19" t="n">
        <x:v>0.8</x:v>
      </x:c>
      <x:c r="M505" s="19" t="n">
        <x:v>0.25</x:v>
      </x:c>
    </x:row>
    <x:row r="506" ht="23" customHeight="1">
      <x:c r="A506" s="2" t="str">
        <x:v>D040_T02_C080_G050</x:v>
      </x:c>
      <x:c r="B506" s="2" t="str">
        <x:v>A0003</x:v>
      </x:c>
      <x:c r="C506" s="2" t="str">
        <x:v>圈内</x:v>
      </x:c>
      <x:c r="D506" s="10" t="n">
        <x:v>1</x:v>
      </x:c>
      <x:c r="E506" s="10" t="n">
        <x:v>2</x:v>
      </x:c>
      <x:c r="F506" s="10" t="n">
        <x:v>1</x:v>
      </x:c>
      <x:c r="G506" s="10" t="n">
        <x:v>1</x:v>
      </x:c>
      <x:c r="H506" s="10" t="n">
        <x:f>IF(G506=1,E506-D506,"")</x:f>
        <x:v>1</x:v>
      </x:c>
      <x:c r="I506" s="10" t="n">
        <x:f>MIN(F506,9)</x:f>
        <x:v>1</x:v>
      </x:c>
      <x:c r="J506" s="19" t="n">
        <x:v>0.4</x:v>
      </x:c>
      <x:c r="K506" s="2" t="n">
        <x:v>2</x:v>
      </x:c>
      <x:c r="L506" s="19" t="n">
        <x:v>0.8</x:v>
      </x:c>
      <x:c r="M506" s="19" t="n">
        <x:v>0.5</x:v>
      </x:c>
    </x:row>
    <x:row r="507" ht="23" customHeight="1">
      <x:c r="A507" s="2" t="str">
        <x:v>D040_T02_C080_G050</x:v>
      </x:c>
      <x:c r="B507" s="2" t="str">
        <x:v>A0005</x:v>
      </x:c>
      <x:c r="C507" s="2" t="str">
        <x:v>圈内</x:v>
      </x:c>
      <x:c r="D507" s="10" t="n">
        <x:v>1</x:v>
      </x:c>
      <x:c r="E507" s="10" t="n">
        <x:v>2</x:v>
      </x:c>
      <x:c r="F507" s="10" t="n">
        <x:v>1</x:v>
      </x:c>
      <x:c r="G507" s="10" t="n">
        <x:v>1</x:v>
      </x:c>
      <x:c r="H507" s="10" t="n">
        <x:f>IF(G507=1,E507-D507,"")</x:f>
        <x:v>1</x:v>
      </x:c>
      <x:c r="I507" s="10" t="n">
        <x:f>MIN(F507,9)</x:f>
        <x:v>1</x:v>
      </x:c>
      <x:c r="J507" s="19" t="n">
        <x:v>0.4</x:v>
      </x:c>
      <x:c r="K507" s="2" t="n">
        <x:v>2</x:v>
      </x:c>
      <x:c r="L507" s="19" t="n">
        <x:v>0.8</x:v>
      </x:c>
      <x:c r="M507" s="19" t="n">
        <x:v>0.5</x:v>
      </x:c>
    </x:row>
    <x:row r="508" ht="23" customHeight="1">
      <x:c r="A508" s="2" t="str">
        <x:v>D040_T02_C080_G050</x:v>
      </x:c>
      <x:c r="B508" s="2" t="str">
        <x:v>A0008</x:v>
      </x:c>
      <x:c r="C508" s="2" t="str">
        <x:v>圈内</x:v>
      </x:c>
      <x:c r="D508" s="10" t="n">
        <x:v>1</x:v>
      </x:c>
      <x:c r="E508" s="10" t="n">
        <x:v>2</x:v>
      </x:c>
      <x:c r="F508" s="10" t="n">
        <x:v>1</x:v>
      </x:c>
      <x:c r="G508" s="10" t="n">
        <x:v>1</x:v>
      </x:c>
      <x:c r="H508" s="10" t="n">
        <x:f>IF(G508=1,E508-D508,"")</x:f>
        <x:v>1</x:v>
      </x:c>
      <x:c r="I508" s="10" t="n">
        <x:f>MIN(F508,9)</x:f>
        <x:v>1</x:v>
      </x:c>
      <x:c r="J508" s="19" t="n">
        <x:v>0.4</x:v>
      </x:c>
      <x:c r="K508" s="2" t="n">
        <x:v>2</x:v>
      </x:c>
      <x:c r="L508" s="19" t="n">
        <x:v>0.8</x:v>
      </x:c>
      <x:c r="M508" s="19" t="n">
        <x:v>0.5</x:v>
      </x:c>
    </x:row>
    <x:row r="509" ht="23" customHeight="1">
      <x:c r="A509" s="2" t="str">
        <x:v>D040_T02_C080_G050</x:v>
      </x:c>
      <x:c r="B509" s="2" t="str">
        <x:v>A0011</x:v>
      </x:c>
      <x:c r="C509" s="2" t="str">
        <x:v>圈内</x:v>
      </x:c>
      <x:c r="D509" s="10" t="n">
        <x:v>1</x:v>
      </x:c>
      <x:c r="E509" s="10" t="n">
        <x:v>4</x:v>
      </x:c>
      <x:c r="F509" s="10" t="n">
        <x:v>3</x:v>
      </x:c>
      <x:c r="G509" s="10" t="n">
        <x:v>1</x:v>
      </x:c>
      <x:c r="H509" s="10" t="n">
        <x:f>IF(G509=1,E509-D509,"")</x:f>
        <x:v>3</x:v>
      </x:c>
      <x:c r="I509" s="10" t="n">
        <x:f>MIN(F509,9)</x:f>
        <x:v>3</x:v>
      </x:c>
      <x:c r="J509" s="19" t="n">
        <x:v>0.4</x:v>
      </x:c>
      <x:c r="K509" s="2" t="n">
        <x:v>2</x:v>
      </x:c>
      <x:c r="L509" s="19" t="n">
        <x:v>0.8</x:v>
      </x:c>
      <x:c r="M509" s="19" t="n">
        <x:v>0.5</x:v>
      </x:c>
    </x:row>
    <x:row r="510" ht="23" customHeight="1">
      <x:c r="A510" s="2" t="str">
        <x:v>D040_T02_C080_G050</x:v>
      </x:c>
      <x:c r="B510" s="2" t="str">
        <x:v>A0012</x:v>
      </x:c>
      <x:c r="C510" s="2" t="str">
        <x:v>圈内</x:v>
      </x:c>
      <x:c r="D510" s="10" t="n">
        <x:v>1</x:v>
      </x:c>
      <x:c r="E510" s="10" t="n">
        <x:v>8</x:v>
      </x:c>
      <x:c r="F510" s="10" t="n">
        <x:v>7</x:v>
      </x:c>
      <x:c r="G510" s="10" t="n">
        <x:v>1</x:v>
      </x:c>
      <x:c r="H510" s="10" t="n">
        <x:f>IF(G510=1,E510-D510,"")</x:f>
        <x:v>7</x:v>
      </x:c>
      <x:c r="I510" s="10" t="n">
        <x:f>MIN(F510,9)</x:f>
        <x:v>7</x:v>
      </x:c>
      <x:c r="J510" s="19" t="n">
        <x:v>0.4</x:v>
      </x:c>
      <x:c r="K510" s="2" t="n">
        <x:v>2</x:v>
      </x:c>
      <x:c r="L510" s="19" t="n">
        <x:v>0.8</x:v>
      </x:c>
      <x:c r="M510" s="19" t="n">
        <x:v>0.5</x:v>
      </x:c>
    </x:row>
    <x:row r="511" ht="23" customHeight="1">
      <x:c r="A511" s="2" t="str">
        <x:v>D040_T02_C080_G050</x:v>
      </x:c>
      <x:c r="B511" s="2" t="str">
        <x:v>A0014</x:v>
      </x:c>
      <x:c r="C511" s="2" t="str">
        <x:v>圈内</x:v>
      </x:c>
      <x:c r="D511" s="10" t="n">
        <x:v>1</x:v>
      </x:c>
      <x:c r="E511" s="10" t="n">
        <x:v>3</x:v>
      </x:c>
      <x:c r="F511" s="10" t="n">
        <x:v>2</x:v>
      </x:c>
      <x:c r="G511" s="10" t="n">
        <x:v>1</x:v>
      </x:c>
      <x:c r="H511" s="10" t="n">
        <x:f>IF(G511=1,E511-D511,"")</x:f>
        <x:v>2</x:v>
      </x:c>
      <x:c r="I511" s="10" t="n">
        <x:f>MIN(F511,9)</x:f>
        <x:v>2</x:v>
      </x:c>
      <x:c r="J511" s="19" t="n">
        <x:v>0.4</x:v>
      </x:c>
      <x:c r="K511" s="2" t="n">
        <x:v>2</x:v>
      </x:c>
      <x:c r="L511" s="19" t="n">
        <x:v>0.8</x:v>
      </x:c>
      <x:c r="M511" s="19" t="n">
        <x:v>0.5</x:v>
      </x:c>
    </x:row>
    <x:row r="512" ht="23" customHeight="1">
      <x:c r="A512" s="2" t="str">
        <x:v>D040_T02_C080_G050</x:v>
      </x:c>
      <x:c r="B512" s="2" t="str">
        <x:v>A0015</x:v>
      </x:c>
      <x:c r="C512" s="2" t="str">
        <x:v>圈内</x:v>
      </x:c>
      <x:c r="D512" s="10" t="n">
        <x:v>1</x:v>
      </x:c>
      <x:c r="E512" s="10" t="n">
        <x:v>2</x:v>
      </x:c>
      <x:c r="F512" s="10" t="n">
        <x:v>1</x:v>
      </x:c>
      <x:c r="G512" s="10" t="n">
        <x:v>1</x:v>
      </x:c>
      <x:c r="H512" s="10" t="n">
        <x:f>IF(G512=1,E512-D512,"")</x:f>
        <x:v>1</x:v>
      </x:c>
      <x:c r="I512" s="10" t="n">
        <x:f>MIN(F512,9)</x:f>
        <x:v>1</x:v>
      </x:c>
      <x:c r="J512" s="19" t="n">
        <x:v>0.4</x:v>
      </x:c>
      <x:c r="K512" s="2" t="n">
        <x:v>2</x:v>
      </x:c>
      <x:c r="L512" s="19" t="n">
        <x:v>0.8</x:v>
      </x:c>
      <x:c r="M512" s="19" t="n">
        <x:v>0.5</x:v>
      </x:c>
    </x:row>
    <x:row r="513" ht="23" customHeight="1">
      <x:c r="A513" s="2" t="str">
        <x:v>D040_T02_C080_G050</x:v>
      </x:c>
      <x:c r="B513" s="2" t="str">
        <x:v>A0017</x:v>
      </x:c>
      <x:c r="C513" s="2" t="str">
        <x:v>圈内</x:v>
      </x:c>
      <x:c r="D513" s="10" t="n">
        <x:v>1</x:v>
      </x:c>
      <x:c r="E513" s="10" t="n">
        <x:v>5</x:v>
      </x:c>
      <x:c r="F513" s="10" t="n">
        <x:v>4</x:v>
      </x:c>
      <x:c r="G513" s="10" t="n">
        <x:v>1</x:v>
      </x:c>
      <x:c r="H513" s="10" t="n">
        <x:f>IF(G513=1,E513-D513,"")</x:f>
        <x:v>4</x:v>
      </x:c>
      <x:c r="I513" s="10" t="n">
        <x:f>MIN(F513,9)</x:f>
        <x:v>4</x:v>
      </x:c>
      <x:c r="J513" s="19" t="n">
        <x:v>0.4</x:v>
      </x:c>
      <x:c r="K513" s="2" t="n">
        <x:v>2</x:v>
      </x:c>
      <x:c r="L513" s="19" t="n">
        <x:v>0.8</x:v>
      </x:c>
      <x:c r="M513" s="19" t="n">
        <x:v>0.5</x:v>
      </x:c>
    </x:row>
    <x:row r="514" ht="23" customHeight="1">
      <x:c r="A514" s="2" t="str">
        <x:v>D040_T02_C080_G050</x:v>
      </x:c>
      <x:c r="B514" s="2" t="str">
        <x:v>A0018</x:v>
      </x:c>
      <x:c r="C514" s="2" t="str">
        <x:v>圈内</x:v>
      </x:c>
      <x:c r="D514" s="10" t="n">
        <x:v>1</x:v>
      </x:c>
      <x:c r="E514" s="10" t="n">
        <x:v>3</x:v>
      </x:c>
      <x:c r="F514" s="10" t="n">
        <x:v>2</x:v>
      </x:c>
      <x:c r="G514" s="10" t="n">
        <x:v>1</x:v>
      </x:c>
      <x:c r="H514" s="10" t="n">
        <x:f>IF(G514=1,E514-D514,"")</x:f>
        <x:v>2</x:v>
      </x:c>
      <x:c r="I514" s="10" t="n">
        <x:f>MIN(F514,9)</x:f>
        <x:v>2</x:v>
      </x:c>
      <x:c r="J514" s="19" t="n">
        <x:v>0.4</x:v>
      </x:c>
      <x:c r="K514" s="2" t="n">
        <x:v>2</x:v>
      </x:c>
      <x:c r="L514" s="19" t="n">
        <x:v>0.8</x:v>
      </x:c>
      <x:c r="M514" s="19" t="n">
        <x:v>0.5</x:v>
      </x:c>
    </x:row>
    <x:row r="515" ht="23" customHeight="1">
      <x:c r="A515" s="2" t="str">
        <x:v>D040_T02_C080_G050</x:v>
      </x:c>
      <x:c r="B515" s="2" t="str">
        <x:v>A0020</x:v>
      </x:c>
      <x:c r="C515" s="2" t="str">
        <x:v>圈内</x:v>
      </x:c>
      <x:c r="D515" s="10" t="n">
        <x:v>1</x:v>
      </x:c>
      <x:c r="E515" s="10" t="n">
        <x:v>2</x:v>
      </x:c>
      <x:c r="F515" s="10" t="n">
        <x:v>1</x:v>
      </x:c>
      <x:c r="G515" s="10" t="n">
        <x:v>1</x:v>
      </x:c>
      <x:c r="H515" s="10" t="n">
        <x:f>IF(G515=1,E515-D515,"")</x:f>
        <x:v>1</x:v>
      </x:c>
      <x:c r="I515" s="10" t="n">
        <x:f>MIN(F515,9)</x:f>
        <x:v>1</x:v>
      </x:c>
      <x:c r="J515" s="19" t="n">
        <x:v>0.4</x:v>
      </x:c>
      <x:c r="K515" s="2" t="n">
        <x:v>2</x:v>
      </x:c>
      <x:c r="L515" s="19" t="n">
        <x:v>0.8</x:v>
      </x:c>
      <x:c r="M515" s="19" t="n">
        <x:v>0.5</x:v>
      </x:c>
    </x:row>
    <x:row r="516" ht="23" customHeight="1">
      <x:c r="A516" s="2" t="str">
        <x:v>D040_T02_C080_G050</x:v>
      </x:c>
      <x:c r="B516" s="2" t="str">
        <x:v>A0022</x:v>
      </x:c>
      <x:c r="C516" s="2" t="str">
        <x:v>圈内</x:v>
      </x:c>
      <x:c r="D516" s="10" t="n">
        <x:v>1</x:v>
      </x:c>
      <x:c r="E516" s="10" t="n">
        <x:v>2</x:v>
      </x:c>
      <x:c r="F516" s="10" t="n">
        <x:v>1</x:v>
      </x:c>
      <x:c r="G516" s="10" t="n">
        <x:v>1</x:v>
      </x:c>
      <x:c r="H516" s="10" t="n">
        <x:f>IF(G516=1,E516-D516,"")</x:f>
        <x:v>1</x:v>
      </x:c>
      <x:c r="I516" s="10" t="n">
        <x:f>MIN(F516,9)</x:f>
        <x:v>1</x:v>
      </x:c>
      <x:c r="J516" s="19" t="n">
        <x:v>0.4</x:v>
      </x:c>
      <x:c r="K516" s="2" t="n">
        <x:v>2</x:v>
      </x:c>
      <x:c r="L516" s="19" t="n">
        <x:v>0.8</x:v>
      </x:c>
      <x:c r="M516" s="19" t="n">
        <x:v>0.5</x:v>
      </x:c>
    </x:row>
    <x:row r="517" ht="23" customHeight="1">
      <x:c r="A517" s="2" t="str">
        <x:v>D040_T02_C080_G050</x:v>
      </x:c>
      <x:c r="B517" s="2" t="str">
        <x:v>A0024</x:v>
      </x:c>
      <x:c r="C517" s="2" t="str">
        <x:v>圈内</x:v>
      </x:c>
      <x:c r="D517" s="10" t="n">
        <x:v>1</x:v>
      </x:c>
      <x:c r="E517" s="10" t="n">
        <x:v>4</x:v>
      </x:c>
      <x:c r="F517" s="10" t="n">
        <x:v>3</x:v>
      </x:c>
      <x:c r="G517" s="10" t="n">
        <x:v>1</x:v>
      </x:c>
      <x:c r="H517" s="10" t="n">
        <x:f>IF(G517=1,E517-D517,"")</x:f>
        <x:v>3</x:v>
      </x:c>
      <x:c r="I517" s="10" t="n">
        <x:f>MIN(F517,9)</x:f>
        <x:v>3</x:v>
      </x:c>
      <x:c r="J517" s="19" t="n">
        <x:v>0.4</x:v>
      </x:c>
      <x:c r="K517" s="2" t="n">
        <x:v>2</x:v>
      </x:c>
      <x:c r="L517" s="19" t="n">
        <x:v>0.8</x:v>
      </x:c>
      <x:c r="M517" s="19" t="n">
        <x:v>0.5</x:v>
      </x:c>
    </x:row>
    <x:row r="518" ht="23" customHeight="1">
      <x:c r="A518" s="2" t="str">
        <x:v>D040_T02_C080_G050</x:v>
      </x:c>
      <x:c r="B518" s="2" t="str">
        <x:v>A0025</x:v>
      </x:c>
      <x:c r="C518" s="2" t="str">
        <x:v>圈内</x:v>
      </x:c>
      <x:c r="D518" s="10" t="n">
        <x:v>1</x:v>
      </x:c>
      <x:c r="E518" s="10" t="n">
        <x:v>2</x:v>
      </x:c>
      <x:c r="F518" s="10" t="n">
        <x:v>1</x:v>
      </x:c>
      <x:c r="G518" s="10" t="n">
        <x:v>1</x:v>
      </x:c>
      <x:c r="H518" s="10" t="n">
        <x:f>IF(G518=1,E518-D518,"")</x:f>
        <x:v>1</x:v>
      </x:c>
      <x:c r="I518" s="10" t="n">
        <x:f>MIN(F518,9)</x:f>
        <x:v>1</x:v>
      </x:c>
      <x:c r="J518" s="19" t="n">
        <x:v>0.4</x:v>
      </x:c>
      <x:c r="K518" s="2" t="n">
        <x:v>2</x:v>
      </x:c>
      <x:c r="L518" s="19" t="n">
        <x:v>0.8</x:v>
      </x:c>
      <x:c r="M518" s="19" t="n">
        <x:v>0.5</x:v>
      </x:c>
    </x:row>
    <x:row r="519" ht="23" customHeight="1">
      <x:c r="A519" s="2" t="str">
        <x:v>D040_T02_C080_G050</x:v>
      </x:c>
      <x:c r="B519" s="2" t="str">
        <x:v>A0026</x:v>
      </x:c>
      <x:c r="C519" s="2" t="str">
        <x:v>圈内</x:v>
      </x:c>
      <x:c r="D519" s="10" t="n">
        <x:v>1</x:v>
      </x:c>
      <x:c r="E519" s="10" t="n">
        <x:v>2</x:v>
      </x:c>
      <x:c r="F519" s="10" t="n">
        <x:v>1</x:v>
      </x:c>
      <x:c r="G519" s="10" t="n">
        <x:v>1</x:v>
      </x:c>
      <x:c r="H519" s="10" t="n">
        <x:f>IF(G519=1,E519-D519,"")</x:f>
        <x:v>1</x:v>
      </x:c>
      <x:c r="I519" s="10" t="n">
        <x:f>MIN(F519,9)</x:f>
        <x:v>1</x:v>
      </x:c>
      <x:c r="J519" s="19" t="n">
        <x:v>0.4</x:v>
      </x:c>
      <x:c r="K519" s="2" t="n">
        <x:v>2</x:v>
      </x:c>
      <x:c r="L519" s="19" t="n">
        <x:v>0.8</x:v>
      </x:c>
      <x:c r="M519" s="19" t="n">
        <x:v>0.5</x:v>
      </x:c>
    </x:row>
    <x:row r="520" ht="23" customHeight="1">
      <x:c r="A520" s="2" t="str">
        <x:v>D040_T02_C080_G050</x:v>
      </x:c>
      <x:c r="B520" s="2" t="str">
        <x:v>A0027</x:v>
      </x:c>
      <x:c r="C520" s="2" t="str">
        <x:v>圈内</x:v>
      </x:c>
      <x:c r="D520" s="10" t="n">
        <x:v>1</x:v>
      </x:c>
      <x:c r="E520" s="10" t="n">
        <x:v>2</x:v>
      </x:c>
      <x:c r="F520" s="10" t="n">
        <x:v>1</x:v>
      </x:c>
      <x:c r="G520" s="10" t="n">
        <x:v>1</x:v>
      </x:c>
      <x:c r="H520" s="10" t="n">
        <x:f>IF(G520=1,E520-D520,"")</x:f>
        <x:v>1</x:v>
      </x:c>
      <x:c r="I520" s="10" t="n">
        <x:f>MIN(F520,9)</x:f>
        <x:v>1</x:v>
      </x:c>
      <x:c r="J520" s="19" t="n">
        <x:v>0.4</x:v>
      </x:c>
      <x:c r="K520" s="2" t="n">
        <x:v>2</x:v>
      </x:c>
      <x:c r="L520" s="19" t="n">
        <x:v>0.8</x:v>
      </x:c>
      <x:c r="M520" s="19" t="n">
        <x:v>0.5</x:v>
      </x:c>
    </x:row>
    <x:row r="521" ht="23" customHeight="1">
      <x:c r="A521" s="2" t="str">
        <x:v>D040_T02_C080_G050</x:v>
      </x:c>
      <x:c r="B521" s="2" t="str">
        <x:v>A0029</x:v>
      </x:c>
      <x:c r="C521" s="2" t="str">
        <x:v>圈内</x:v>
      </x:c>
      <x:c r="D521" s="10" t="n">
        <x:v>1</x:v>
      </x:c>
      <x:c r="E521" s="10" t="n">
        <x:v>2</x:v>
      </x:c>
      <x:c r="F521" s="10" t="n">
        <x:v>1</x:v>
      </x:c>
      <x:c r="G521" s="10" t="n">
        <x:v>1</x:v>
      </x:c>
      <x:c r="H521" s="10" t="n">
        <x:f>IF(G521=1,E521-D521,"")</x:f>
        <x:v>1</x:v>
      </x:c>
      <x:c r="I521" s="10" t="n">
        <x:f>MIN(F521,9)</x:f>
        <x:v>1</x:v>
      </x:c>
      <x:c r="J521" s="19" t="n">
        <x:v>0.4</x:v>
      </x:c>
      <x:c r="K521" s="2" t="n">
        <x:v>2</x:v>
      </x:c>
      <x:c r="L521" s="19" t="n">
        <x:v>0.8</x:v>
      </x:c>
      <x:c r="M521" s="19" t="n">
        <x:v>0.5</x:v>
      </x:c>
    </x:row>
    <x:row r="522" ht="23" customHeight="1">
      <x:c r="A522" s="2" t="str">
        <x:v>D040_T02_C080_G050</x:v>
      </x:c>
      <x:c r="B522" s="2" t="str">
        <x:v>A0030</x:v>
      </x:c>
      <x:c r="C522" s="2" t="str">
        <x:v>圈内</x:v>
      </x:c>
      <x:c r="D522" s="10" t="n">
        <x:v>1</x:v>
      </x:c>
      <x:c r="E522" s="10" t="n">
        <x:v>3</x:v>
      </x:c>
      <x:c r="F522" s="10" t="n">
        <x:v>2</x:v>
      </x:c>
      <x:c r="G522" s="10" t="n">
        <x:v>1</x:v>
      </x:c>
      <x:c r="H522" s="10" t="n">
        <x:f>IF(G522=1,E522-D522,"")</x:f>
        <x:v>2</x:v>
      </x:c>
      <x:c r="I522" s="10" t="n">
        <x:f>MIN(F522,9)</x:f>
        <x:v>2</x:v>
      </x:c>
      <x:c r="J522" s="19" t="n">
        <x:v>0.4</x:v>
      </x:c>
      <x:c r="K522" s="2" t="n">
        <x:v>2</x:v>
      </x:c>
      <x:c r="L522" s="19" t="n">
        <x:v>0.8</x:v>
      </x:c>
      <x:c r="M522" s="19" t="n">
        <x:v>0.5</x:v>
      </x:c>
    </x:row>
    <x:row r="523" ht="23" customHeight="1">
      <x:c r="A523" s="2" t="str">
        <x:v>D040_T02_C080_G050</x:v>
      </x:c>
      <x:c r="B523" s="2" t="str">
        <x:v>A0031</x:v>
      </x:c>
      <x:c r="C523" s="2" t="str">
        <x:v>圈内</x:v>
      </x:c>
      <x:c r="D523" s="10" t="n">
        <x:v>1</x:v>
      </x:c>
      <x:c r="E523" s="10" t="n">
        <x:v>2</x:v>
      </x:c>
      <x:c r="F523" s="10" t="n">
        <x:v>1</x:v>
      </x:c>
      <x:c r="G523" s="10" t="n">
        <x:v>1</x:v>
      </x:c>
      <x:c r="H523" s="10" t="n">
        <x:f>IF(G523=1,E523-D523,"")</x:f>
        <x:v>1</x:v>
      </x:c>
      <x:c r="I523" s="10" t="n">
        <x:f>MIN(F523,9)</x:f>
        <x:v>1</x:v>
      </x:c>
      <x:c r="J523" s="19" t="n">
        <x:v>0.4</x:v>
      </x:c>
      <x:c r="K523" s="2" t="n">
        <x:v>2</x:v>
      </x:c>
      <x:c r="L523" s="19" t="n">
        <x:v>0.8</x:v>
      </x:c>
      <x:c r="M523" s="19" t="n">
        <x:v>0.5</x:v>
      </x:c>
    </x:row>
    <x:row r="524" ht="23" customHeight="1">
      <x:c r="A524" s="2" t="str">
        <x:v>D040_T02_C080_G050</x:v>
      </x:c>
      <x:c r="B524" s="2" t="str">
        <x:v>A0032</x:v>
      </x:c>
      <x:c r="C524" s="2" t="str">
        <x:v>圈内</x:v>
      </x:c>
      <x:c r="D524" s="10" t="n">
        <x:v>1</x:v>
      </x:c>
      <x:c r="E524" s="10" t="n">
        <x:v>2</x:v>
      </x:c>
      <x:c r="F524" s="10" t="n">
        <x:v>1</x:v>
      </x:c>
      <x:c r="G524" s="10" t="n">
        <x:v>1</x:v>
      </x:c>
      <x:c r="H524" s="10" t="n">
        <x:f>IF(G524=1,E524-D524,"")</x:f>
        <x:v>1</x:v>
      </x:c>
      <x:c r="I524" s="10" t="n">
        <x:f>MIN(F524,9)</x:f>
        <x:v>1</x:v>
      </x:c>
      <x:c r="J524" s="19" t="n">
        <x:v>0.4</x:v>
      </x:c>
      <x:c r="K524" s="2" t="n">
        <x:v>2</x:v>
      </x:c>
      <x:c r="L524" s="19" t="n">
        <x:v>0.8</x:v>
      </x:c>
      <x:c r="M524" s="19" t="n">
        <x:v>0.5</x:v>
      </x:c>
    </x:row>
    <x:row r="525" ht="23" customHeight="1">
      <x:c r="A525" s="2" t="str">
        <x:v>D040_T02_C080_G050</x:v>
      </x:c>
      <x:c r="B525" s="2" t="str">
        <x:v>A0033</x:v>
      </x:c>
      <x:c r="C525" s="2" t="str">
        <x:v>圈内</x:v>
      </x:c>
      <x:c r="D525" s="10" t="n">
        <x:v>1</x:v>
      </x:c>
      <x:c r="E525" s="10" t="n">
        <x:v>2</x:v>
      </x:c>
      <x:c r="F525" s="10" t="n">
        <x:v>1</x:v>
      </x:c>
      <x:c r="G525" s="10" t="n">
        <x:v>1</x:v>
      </x:c>
      <x:c r="H525" s="10" t="n">
        <x:f>IF(G525=1,E525-D525,"")</x:f>
        <x:v>1</x:v>
      </x:c>
      <x:c r="I525" s="10" t="n">
        <x:f>MIN(F525,9)</x:f>
        <x:v>1</x:v>
      </x:c>
      <x:c r="J525" s="19" t="n">
        <x:v>0.4</x:v>
      </x:c>
      <x:c r="K525" s="2" t="n">
        <x:v>2</x:v>
      </x:c>
      <x:c r="L525" s="19" t="n">
        <x:v>0.8</x:v>
      </x:c>
      <x:c r="M525" s="19" t="n">
        <x:v>0.5</x:v>
      </x:c>
    </x:row>
    <x:row r="526" ht="23" customHeight="1">
      <x:c r="A526" s="2" t="str">
        <x:v>D040_T02_C080_G050</x:v>
      </x:c>
      <x:c r="B526" s="2" t="str">
        <x:v>A0035</x:v>
      </x:c>
      <x:c r="C526" s="2" t="str">
        <x:v>圈内</x:v>
      </x:c>
      <x:c r="D526" s="10" t="n">
        <x:v>1</x:v>
      </x:c>
      <x:c r="E526" s="10" t="n">
        <x:v>2</x:v>
      </x:c>
      <x:c r="F526" s="10" t="n">
        <x:v>1</x:v>
      </x:c>
      <x:c r="G526" s="10" t="n">
        <x:v>1</x:v>
      </x:c>
      <x:c r="H526" s="10" t="n">
        <x:f>IF(G526=1,E526-D526,"")</x:f>
        <x:v>1</x:v>
      </x:c>
      <x:c r="I526" s="10" t="n">
        <x:f>MIN(F526,9)</x:f>
        <x:v>1</x:v>
      </x:c>
      <x:c r="J526" s="19" t="n">
        <x:v>0.4</x:v>
      </x:c>
      <x:c r="K526" s="2" t="n">
        <x:v>2</x:v>
      </x:c>
      <x:c r="L526" s="19" t="n">
        <x:v>0.8</x:v>
      </x:c>
      <x:c r="M526" s="19" t="n">
        <x:v>0.5</x:v>
      </x:c>
    </x:row>
    <x:row r="527" ht="23" customHeight="1">
      <x:c r="A527" s="2" t="str">
        <x:v>D040_T02_C080_G050</x:v>
      </x:c>
      <x:c r="B527" s="2" t="str">
        <x:v>A0036</x:v>
      </x:c>
      <x:c r="C527" s="2" t="str">
        <x:v>圈内</x:v>
      </x:c>
      <x:c r="D527" s="10" t="n">
        <x:v>1</x:v>
      </x:c>
      <x:c r="E527" s="10" t="n">
        <x:v>2</x:v>
      </x:c>
      <x:c r="F527" s="10" t="n">
        <x:v>1</x:v>
      </x:c>
      <x:c r="G527" s="10" t="n">
        <x:v>1</x:v>
      </x:c>
      <x:c r="H527" s="10" t="n">
        <x:f>IF(G527=1,E527-D527,"")</x:f>
        <x:v>1</x:v>
      </x:c>
      <x:c r="I527" s="10" t="n">
        <x:f>MIN(F527,9)</x:f>
        <x:v>1</x:v>
      </x:c>
      <x:c r="J527" s="19" t="n">
        <x:v>0.4</x:v>
      </x:c>
      <x:c r="K527" s="2" t="n">
        <x:v>2</x:v>
      </x:c>
      <x:c r="L527" s="19" t="n">
        <x:v>0.8</x:v>
      </x:c>
      <x:c r="M527" s="19" t="n">
        <x:v>0.5</x:v>
      </x:c>
    </x:row>
    <x:row r="528" ht="23" customHeight="1">
      <x:c r="A528" s="2" t="str">
        <x:v>D040_T02_C080_G050</x:v>
      </x:c>
      <x:c r="B528" s="2" t="str">
        <x:v>A0037</x:v>
      </x:c>
      <x:c r="C528" s="2" t="str">
        <x:v>圈内</x:v>
      </x:c>
      <x:c r="D528" s="10" t="n">
        <x:v>1</x:v>
      </x:c>
      <x:c r="E528" s="10" t="n">
        <x:v>2</x:v>
      </x:c>
      <x:c r="F528" s="10" t="n">
        <x:v>1</x:v>
      </x:c>
      <x:c r="G528" s="10" t="n">
        <x:v>1</x:v>
      </x:c>
      <x:c r="H528" s="10" t="n">
        <x:f>IF(G528=1,E528-D528,"")</x:f>
        <x:v>1</x:v>
      </x:c>
      <x:c r="I528" s="10" t="n">
        <x:f>MIN(F528,9)</x:f>
        <x:v>1</x:v>
      </x:c>
      <x:c r="J528" s="19" t="n">
        <x:v>0.4</x:v>
      </x:c>
      <x:c r="K528" s="2" t="n">
        <x:v>2</x:v>
      </x:c>
      <x:c r="L528" s="19" t="n">
        <x:v>0.8</x:v>
      </x:c>
      <x:c r="M528" s="19" t="n">
        <x:v>0.5</x:v>
      </x:c>
    </x:row>
    <x:row r="529" ht="23" customHeight="1">
      <x:c r="A529" s="2" t="str">
        <x:v>D040_T02_C080_G050</x:v>
      </x:c>
      <x:c r="B529" s="2" t="str">
        <x:v>A0038</x:v>
      </x:c>
      <x:c r="C529" s="2" t="str">
        <x:v>圈内</x:v>
      </x:c>
      <x:c r="D529" s="10" t="n">
        <x:v>1</x:v>
      </x:c>
      <x:c r="E529" s="10" t="n">
        <x:v>5</x:v>
      </x:c>
      <x:c r="F529" s="10" t="n">
        <x:v>4</x:v>
      </x:c>
      <x:c r="G529" s="10" t="n">
        <x:v>1</x:v>
      </x:c>
      <x:c r="H529" s="10" t="n">
        <x:f>IF(G529=1,E529-D529,"")</x:f>
        <x:v>4</x:v>
      </x:c>
      <x:c r="I529" s="10" t="n">
        <x:f>MIN(F529,9)</x:f>
        <x:v>4</x:v>
      </x:c>
      <x:c r="J529" s="19" t="n">
        <x:v>0.4</x:v>
      </x:c>
      <x:c r="K529" s="2" t="n">
        <x:v>2</x:v>
      </x:c>
      <x:c r="L529" s="19" t="n">
        <x:v>0.8</x:v>
      </x:c>
      <x:c r="M529" s="19" t="n">
        <x:v>0.5</x:v>
      </x:c>
    </x:row>
    <x:row r="530" ht="23" customHeight="1">
      <x:c r="A530" s="2" t="str">
        <x:v>D040_T02_C080_G050</x:v>
      </x:c>
      <x:c r="B530" s="2" t="str">
        <x:v>A0040</x:v>
      </x:c>
      <x:c r="C530" s="2" t="str">
        <x:v>圈内</x:v>
      </x:c>
      <x:c r="D530" s="10" t="n">
        <x:v>1</x:v>
      </x:c>
      <x:c r="E530" s="10" t="n">
        <x:v>3</x:v>
      </x:c>
      <x:c r="F530" s="10" t="n">
        <x:v>2</x:v>
      </x:c>
      <x:c r="G530" s="10" t="n">
        <x:v>1</x:v>
      </x:c>
      <x:c r="H530" s="10" t="n">
        <x:f>IF(G530=1,E530-D530,"")</x:f>
        <x:v>2</x:v>
      </x:c>
      <x:c r="I530" s="10" t="n">
        <x:f>MIN(F530,9)</x:f>
        <x:v>2</x:v>
      </x:c>
      <x:c r="J530" s="19" t="n">
        <x:v>0.4</x:v>
      </x:c>
      <x:c r="K530" s="2" t="n">
        <x:v>2</x:v>
      </x:c>
      <x:c r="L530" s="19" t="n">
        <x:v>0.8</x:v>
      </x:c>
      <x:c r="M530" s="19" t="n">
        <x:v>0.5</x:v>
      </x:c>
    </x:row>
    <x:row r="531" ht="23" customHeight="1">
      <x:c r="A531" s="2" t="str">
        <x:v>D040_T02_C080_G050</x:v>
      </x:c>
      <x:c r="B531" s="2" t="str">
        <x:v>A0043</x:v>
      </x:c>
      <x:c r="C531" s="2" t="str">
        <x:v>圈内</x:v>
      </x:c>
      <x:c r="D531" s="10" t="n">
        <x:v>1</x:v>
      </x:c>
      <x:c r="E531" s="10" t="n">
        <x:v>2</x:v>
      </x:c>
      <x:c r="F531" s="10" t="n">
        <x:v>1</x:v>
      </x:c>
      <x:c r="G531" s="10" t="n">
        <x:v>1</x:v>
      </x:c>
      <x:c r="H531" s="10" t="n">
        <x:f>IF(G531=1,E531-D531,"")</x:f>
        <x:v>1</x:v>
      </x:c>
      <x:c r="I531" s="10" t="n">
        <x:f>MIN(F531,9)</x:f>
        <x:v>1</x:v>
      </x:c>
      <x:c r="J531" s="19" t="n">
        <x:v>0.4</x:v>
      </x:c>
      <x:c r="K531" s="2" t="n">
        <x:v>2</x:v>
      </x:c>
      <x:c r="L531" s="19" t="n">
        <x:v>0.8</x:v>
      </x:c>
      <x:c r="M531" s="19" t="n">
        <x:v>0.5</x:v>
      </x:c>
    </x:row>
    <x:row r="532" ht="23" customHeight="1">
      <x:c r="A532" s="2" t="str">
        <x:v>D040_T02_C080_G050</x:v>
      </x:c>
      <x:c r="B532" s="2" t="str">
        <x:v>A0071</x:v>
      </x:c>
      <x:c r="C532" s="2" t="str">
        <x:v>圈内</x:v>
      </x:c>
      <x:c r="D532" s="10" t="n">
        <x:v>1</x:v>
      </x:c>
      <x:c r="E532" s="10" t="n">
        <x:v>3</x:v>
      </x:c>
      <x:c r="F532" s="10" t="n">
        <x:v>2</x:v>
      </x:c>
      <x:c r="G532" s="10" t="n">
        <x:v>1</x:v>
      </x:c>
      <x:c r="H532" s="10" t="n">
        <x:f>IF(G532=1,E532-D532,"")</x:f>
        <x:v>2</x:v>
      </x:c>
      <x:c r="I532" s="10" t="n">
        <x:f>MIN(F532,9)</x:f>
        <x:v>2</x:v>
      </x:c>
      <x:c r="J532" s="19" t="n">
        <x:v>0.4</x:v>
      </x:c>
      <x:c r="K532" s="2" t="n">
        <x:v>2</x:v>
      </x:c>
      <x:c r="L532" s="19" t="n">
        <x:v>0.8</x:v>
      </x:c>
      <x:c r="M532" s="19" t="n">
        <x:v>0.5</x:v>
      </x:c>
    </x:row>
    <x:row r="533" ht="23" customHeight="1">
      <x:c r="A533" s="2" t="str">
        <x:v>D040_T02_C080_G050</x:v>
      </x:c>
      <x:c r="B533" s="2" t="str">
        <x:v>A0090</x:v>
      </x:c>
      <x:c r="C533" s="2" t="str">
        <x:v>圈内</x:v>
      </x:c>
      <x:c r="D533" s="10" t="n">
        <x:v>1</x:v>
      </x:c>
      <x:c r="E533" s="10" t="n">
        <x:v>3</x:v>
      </x:c>
      <x:c r="F533" s="10" t="n">
        <x:v>2</x:v>
      </x:c>
      <x:c r="G533" s="10" t="n">
        <x:v>1</x:v>
      </x:c>
      <x:c r="H533" s="10" t="n">
        <x:f>IF(G533=1,E533-D533,"")</x:f>
        <x:v>2</x:v>
      </x:c>
      <x:c r="I533" s="10" t="n">
        <x:f>MIN(F533,9)</x:f>
        <x:v>2</x:v>
      </x:c>
      <x:c r="J533" s="19" t="n">
        <x:v>0.4</x:v>
      </x:c>
      <x:c r="K533" s="2" t="n">
        <x:v>2</x:v>
      </x:c>
      <x:c r="L533" s="19" t="n">
        <x:v>0.8</x:v>
      </x:c>
      <x:c r="M533" s="19" t="n">
        <x:v>0.5</x:v>
      </x:c>
    </x:row>
    <x:row r="534" ht="23" customHeight="1">
      <x:c r="A534" s="2" t="str">
        <x:v>D040_T02_C080_G050</x:v>
      </x:c>
      <x:c r="B534" s="2" t="str">
        <x:v>A0189</x:v>
      </x:c>
      <x:c r="C534" s="2" t="str">
        <x:v>圈内</x:v>
      </x:c>
      <x:c r="D534" s="10" t="n">
        <x:v>1</x:v>
      </x:c>
      <x:c r="E534" s="10" t="n">
        <x:v>6</x:v>
      </x:c>
      <x:c r="F534" s="10" t="n">
        <x:v>5</x:v>
      </x:c>
      <x:c r="G534" s="10" t="n">
        <x:v>1</x:v>
      </x:c>
      <x:c r="H534" s="10" t="n">
        <x:f>IF(G534=1,E534-D534,"")</x:f>
        <x:v>5</x:v>
      </x:c>
      <x:c r="I534" s="10" t="n">
        <x:f>MIN(F534,9)</x:f>
        <x:v>5</x:v>
      </x:c>
      <x:c r="J534" s="19" t="n">
        <x:v>0.4</x:v>
      </x:c>
      <x:c r="K534" s="2" t="n">
        <x:v>2</x:v>
      </x:c>
      <x:c r="L534" s="19" t="n">
        <x:v>0.8</x:v>
      </x:c>
      <x:c r="M534" s="19" t="n">
        <x:v>0.5</x:v>
      </x:c>
    </x:row>
    <x:row r="535" ht="23" customHeight="1">
      <x:c r="A535" s="2" t="str">
        <x:v>D040_T02_C080_G050</x:v>
      </x:c>
      <x:c r="B535" s="2" t="str">
        <x:v>A0206</x:v>
      </x:c>
      <x:c r="C535" s="2" t="str">
        <x:v>圈内</x:v>
      </x:c>
      <x:c r="D535" s="10" t="n">
        <x:v>1</x:v>
      </x:c>
      <x:c r="E535" s="10" t="n">
        <x:v>2</x:v>
      </x:c>
      <x:c r="F535" s="10" t="n">
        <x:v>1</x:v>
      </x:c>
      <x:c r="G535" s="10" t="n">
        <x:v>1</x:v>
      </x:c>
      <x:c r="H535" s="10" t="n">
        <x:f>IF(G535=1,E535-D535,"")</x:f>
        <x:v>1</x:v>
      </x:c>
      <x:c r="I535" s="10" t="n">
        <x:f>MIN(F535,9)</x:f>
        <x:v>1</x:v>
      </x:c>
      <x:c r="J535" s="19" t="n">
        <x:v>0.4</x:v>
      </x:c>
      <x:c r="K535" s="2" t="n">
        <x:v>2</x:v>
      </x:c>
      <x:c r="L535" s="19" t="n">
        <x:v>0.8</x:v>
      </x:c>
      <x:c r="M535" s="19" t="n">
        <x:v>0.5</x:v>
      </x:c>
    </x:row>
    <x:row r="536" ht="23" customHeight="1">
      <x:c r="A536" s="2" t="str">
        <x:v>D040_T02_C080_G075</x:v>
      </x:c>
      <x:c r="B536" s="2" t="str">
        <x:v>A0001</x:v>
      </x:c>
      <x:c r="C536" s="2" t="str">
        <x:v>圈内</x:v>
      </x:c>
      <x:c r="D536" s="10" t="n">
        <x:v>1</x:v>
      </x:c>
      <x:c r="E536" s="10" t="n">
        <x:v>2</x:v>
      </x:c>
      <x:c r="F536" s="10" t="n">
        <x:v>1</x:v>
      </x:c>
      <x:c r="G536" s="10" t="n">
        <x:v>1</x:v>
      </x:c>
      <x:c r="H536" s="10" t="n">
        <x:f>IF(G536=1,E536-D536,"")</x:f>
        <x:v>1</x:v>
      </x:c>
      <x:c r="I536" s="10" t="n">
        <x:f>MIN(F536,9)</x:f>
        <x:v>1</x:v>
      </x:c>
      <x:c r="J536" s="19" t="n">
        <x:v>0.4</x:v>
      </x:c>
      <x:c r="K536" s="2" t="n">
        <x:v>2</x:v>
      </x:c>
      <x:c r="L536" s="19" t="n">
        <x:v>0.8</x:v>
      </x:c>
      <x:c r="M536" s="19" t="n">
        <x:v>0.75</x:v>
      </x:c>
    </x:row>
    <x:row r="537" ht="23" customHeight="1">
      <x:c r="A537" s="2" t="str">
        <x:v>D040_T02_C080_G075</x:v>
      </x:c>
      <x:c r="B537" s="2" t="str">
        <x:v>A0002</x:v>
      </x:c>
      <x:c r="C537" s="2" t="str">
        <x:v>圈内</x:v>
      </x:c>
      <x:c r="D537" s="10" t="n">
        <x:v>1</x:v>
      </x:c>
      <x:c r="E537" s="10" t="n">
        <x:v>4</x:v>
      </x:c>
      <x:c r="F537" s="10" t="n">
        <x:v>3</x:v>
      </x:c>
      <x:c r="G537" s="10" t="n">
        <x:v>1</x:v>
      </x:c>
      <x:c r="H537" s="10" t="n">
        <x:f>IF(G537=1,E537-D537,"")</x:f>
        <x:v>3</x:v>
      </x:c>
      <x:c r="I537" s="10" t="n">
        <x:f>MIN(F537,9)</x:f>
        <x:v>3</x:v>
      </x:c>
      <x:c r="J537" s="19" t="n">
        <x:v>0.4</x:v>
      </x:c>
      <x:c r="K537" s="2" t="n">
        <x:v>2</x:v>
      </x:c>
      <x:c r="L537" s="19" t="n">
        <x:v>0.8</x:v>
      </x:c>
      <x:c r="M537" s="19" t="n">
        <x:v>0.75</x:v>
      </x:c>
    </x:row>
    <x:row r="538" ht="23" customHeight="1">
      <x:c r="A538" s="2" t="str">
        <x:v>D040_T02_C080_G075</x:v>
      </x:c>
      <x:c r="B538" s="2" t="str">
        <x:v>A0003</x:v>
      </x:c>
      <x:c r="C538" s="2" t="str">
        <x:v>圈内</x:v>
      </x:c>
      <x:c r="D538" s="10" t="n">
        <x:v>1</x:v>
      </x:c>
      <x:c r="E538" s="10" t="n">
        <x:v>2</x:v>
      </x:c>
      <x:c r="F538" s="10" t="n">
        <x:v>1</x:v>
      </x:c>
      <x:c r="G538" s="10" t="n">
        <x:v>1</x:v>
      </x:c>
      <x:c r="H538" s="10" t="n">
        <x:f>IF(G538=1,E538-D538,"")</x:f>
        <x:v>1</x:v>
      </x:c>
      <x:c r="I538" s="10" t="n">
        <x:f>MIN(F538,9)</x:f>
        <x:v>1</x:v>
      </x:c>
      <x:c r="J538" s="19" t="n">
        <x:v>0.4</x:v>
      </x:c>
      <x:c r="K538" s="2" t="n">
        <x:v>2</x:v>
      </x:c>
      <x:c r="L538" s="19" t="n">
        <x:v>0.8</x:v>
      </x:c>
      <x:c r="M538" s="19" t="n">
        <x:v>0.75</x:v>
      </x:c>
    </x:row>
    <x:row r="539" ht="23" customHeight="1">
      <x:c r="A539" s="2" t="str">
        <x:v>D040_T02_C080_G075</x:v>
      </x:c>
      <x:c r="B539" s="2" t="str">
        <x:v>A0005</x:v>
      </x:c>
      <x:c r="C539" s="2" t="str">
        <x:v>圈内</x:v>
      </x:c>
      <x:c r="D539" s="10" t="n">
        <x:v>1</x:v>
      </x:c>
      <x:c r="E539" s="10" t="n">
        <x:v>2</x:v>
      </x:c>
      <x:c r="F539" s="10" t="n">
        <x:v>1</x:v>
      </x:c>
      <x:c r="G539" s="10" t="n">
        <x:v>1</x:v>
      </x:c>
      <x:c r="H539" s="10" t="n">
        <x:f>IF(G539=1,E539-D539,"")</x:f>
        <x:v>1</x:v>
      </x:c>
      <x:c r="I539" s="10" t="n">
        <x:f>MIN(F539,9)</x:f>
        <x:v>1</x:v>
      </x:c>
      <x:c r="J539" s="19" t="n">
        <x:v>0.4</x:v>
      </x:c>
      <x:c r="K539" s="2" t="n">
        <x:v>2</x:v>
      </x:c>
      <x:c r="L539" s="19" t="n">
        <x:v>0.8</x:v>
      </x:c>
      <x:c r="M539" s="19" t="n">
        <x:v>0.75</x:v>
      </x:c>
    </x:row>
    <x:row r="540" ht="23" customHeight="1">
      <x:c r="A540" s="2" t="str">
        <x:v>D040_T02_C080_G075</x:v>
      </x:c>
      <x:c r="B540" s="2" t="str">
        <x:v>A0011</x:v>
      </x:c>
      <x:c r="C540" s="2" t="str">
        <x:v>圈内</x:v>
      </x:c>
      <x:c r="D540" s="10" t="n">
        <x:v>1</x:v>
      </x:c>
      <x:c r="E540" s="10" t="n">
        <x:v>3</x:v>
      </x:c>
      <x:c r="F540" s="10" t="n">
        <x:v>2</x:v>
      </x:c>
      <x:c r="G540" s="10" t="n">
        <x:v>1</x:v>
      </x:c>
      <x:c r="H540" s="10" t="n">
        <x:f>IF(G540=1,E540-D540,"")</x:f>
        <x:v>2</x:v>
      </x:c>
      <x:c r="I540" s="10" t="n">
        <x:f>MIN(F540,9)</x:f>
        <x:v>2</x:v>
      </x:c>
      <x:c r="J540" s="19" t="n">
        <x:v>0.4</x:v>
      </x:c>
      <x:c r="K540" s="2" t="n">
        <x:v>2</x:v>
      </x:c>
      <x:c r="L540" s="19" t="n">
        <x:v>0.8</x:v>
      </x:c>
      <x:c r="M540" s="19" t="n">
        <x:v>0.75</x:v>
      </x:c>
    </x:row>
    <x:row r="541" ht="23" customHeight="1">
      <x:c r="A541" s="2" t="str">
        <x:v>D040_T02_C080_G075</x:v>
      </x:c>
      <x:c r="B541" s="2" t="str">
        <x:v>A0012</x:v>
      </x:c>
      <x:c r="C541" s="2" t="str">
        <x:v>圈内</x:v>
      </x:c>
      <x:c r="D541" s="10" t="n">
        <x:v>1</x:v>
      </x:c>
      <x:c r="E541" s="10" t="n">
        <x:v>2</x:v>
      </x:c>
      <x:c r="F541" s="10" t="n">
        <x:v>1</x:v>
      </x:c>
      <x:c r="G541" s="10" t="n">
        <x:v>1</x:v>
      </x:c>
      <x:c r="H541" s="10" t="n">
        <x:f>IF(G541=1,E541-D541,"")</x:f>
        <x:v>1</x:v>
      </x:c>
      <x:c r="I541" s="10" t="n">
        <x:f>MIN(F541,9)</x:f>
        <x:v>1</x:v>
      </x:c>
      <x:c r="J541" s="19" t="n">
        <x:v>0.4</x:v>
      </x:c>
      <x:c r="K541" s="2" t="n">
        <x:v>2</x:v>
      </x:c>
      <x:c r="L541" s="19" t="n">
        <x:v>0.8</x:v>
      </x:c>
      <x:c r="M541" s="19" t="n">
        <x:v>0.75</x:v>
      </x:c>
    </x:row>
    <x:row r="542" ht="23" customHeight="1">
      <x:c r="A542" s="2" t="str">
        <x:v>D040_T02_C080_G075</x:v>
      </x:c>
      <x:c r="B542" s="2" t="str">
        <x:v>A0013</x:v>
      </x:c>
      <x:c r="C542" s="2" t="str">
        <x:v>圈内</x:v>
      </x:c>
      <x:c r="D542" s="10" t="n">
        <x:v>1</x:v>
      </x:c>
      <x:c r="E542" s="10" t="n">
        <x:v>2</x:v>
      </x:c>
      <x:c r="F542" s="10" t="n">
        <x:v>1</x:v>
      </x:c>
      <x:c r="G542" s="10" t="n">
        <x:v>1</x:v>
      </x:c>
      <x:c r="H542" s="10" t="n">
        <x:f>IF(G542=1,E542-D542,"")</x:f>
        <x:v>1</x:v>
      </x:c>
      <x:c r="I542" s="10" t="n">
        <x:f>MIN(F542,9)</x:f>
        <x:v>1</x:v>
      </x:c>
      <x:c r="J542" s="19" t="n">
        <x:v>0.4</x:v>
      </x:c>
      <x:c r="K542" s="2" t="n">
        <x:v>2</x:v>
      </x:c>
      <x:c r="L542" s="19" t="n">
        <x:v>0.8</x:v>
      </x:c>
      <x:c r="M542" s="19" t="n">
        <x:v>0.75</x:v>
      </x:c>
    </x:row>
    <x:row r="543" ht="23" customHeight="1">
      <x:c r="A543" s="2" t="str">
        <x:v>D040_T02_C080_G075</x:v>
      </x:c>
      <x:c r="B543" s="2" t="str">
        <x:v>A0017</x:v>
      </x:c>
      <x:c r="C543" s="2" t="str">
        <x:v>圈内</x:v>
      </x:c>
      <x:c r="D543" s="10" t="n">
        <x:v>1</x:v>
      </x:c>
      <x:c r="E543" s="10"/>
      <x:c r="F543" s="10" t="n">
        <x:v>9</x:v>
      </x:c>
      <x:c r="G543" s="10" t="n">
        <x:v>0</x:v>
      </x:c>
      <x:c r="H543" s="10" t="str">
        <x:f>IF(G543=1,E543-D543,"")</x:f>
      </x:c>
      <x:c r="I543" s="10" t="n">
        <x:f>MIN(F543,9)</x:f>
        <x:v>9</x:v>
      </x:c>
      <x:c r="J543" s="19" t="n">
        <x:v>0.4</x:v>
      </x:c>
      <x:c r="K543" s="2" t="n">
        <x:v>2</x:v>
      </x:c>
      <x:c r="L543" s="19" t="n">
        <x:v>0.8</x:v>
      </x:c>
      <x:c r="M543" s="19" t="n">
        <x:v>0.75</x:v>
      </x:c>
    </x:row>
    <x:row r="544" ht="23" customHeight="1">
      <x:c r="A544" s="2" t="str">
        <x:v>D040_T02_C080_G075</x:v>
      </x:c>
      <x:c r="B544" s="2" t="str">
        <x:v>A0018</x:v>
      </x:c>
      <x:c r="C544" s="2" t="str">
        <x:v>圈内</x:v>
      </x:c>
      <x:c r="D544" s="10" t="n">
        <x:v>1</x:v>
      </x:c>
      <x:c r="E544" s="10" t="n">
        <x:v>2</x:v>
      </x:c>
      <x:c r="F544" s="10" t="n">
        <x:v>1</x:v>
      </x:c>
      <x:c r="G544" s="10" t="n">
        <x:v>1</x:v>
      </x:c>
      <x:c r="H544" s="10" t="n">
        <x:f>IF(G544=1,E544-D544,"")</x:f>
        <x:v>1</x:v>
      </x:c>
      <x:c r="I544" s="10" t="n">
        <x:f>MIN(F544,9)</x:f>
        <x:v>1</x:v>
      </x:c>
      <x:c r="J544" s="19" t="n">
        <x:v>0.4</x:v>
      </x:c>
      <x:c r="K544" s="2" t="n">
        <x:v>2</x:v>
      </x:c>
      <x:c r="L544" s="19" t="n">
        <x:v>0.8</x:v>
      </x:c>
      <x:c r="M544" s="19" t="n">
        <x:v>0.75</x:v>
      </x:c>
    </x:row>
    <x:row r="545" ht="23" customHeight="1">
      <x:c r="A545" s="2" t="str">
        <x:v>D040_T02_C080_G075</x:v>
      </x:c>
      <x:c r="B545" s="2" t="str">
        <x:v>A0019</x:v>
      </x:c>
      <x:c r="C545" s="2" t="str">
        <x:v>圈内</x:v>
      </x:c>
      <x:c r="D545" s="10" t="n">
        <x:v>1</x:v>
      </x:c>
      <x:c r="E545" s="10" t="n">
        <x:v>2</x:v>
      </x:c>
      <x:c r="F545" s="10" t="n">
        <x:v>1</x:v>
      </x:c>
      <x:c r="G545" s="10" t="n">
        <x:v>1</x:v>
      </x:c>
      <x:c r="H545" s="10" t="n">
        <x:f>IF(G545=1,E545-D545,"")</x:f>
        <x:v>1</x:v>
      </x:c>
      <x:c r="I545" s="10" t="n">
        <x:f>MIN(F545,9)</x:f>
        <x:v>1</x:v>
      </x:c>
      <x:c r="J545" s="19" t="n">
        <x:v>0.4</x:v>
      </x:c>
      <x:c r="K545" s="2" t="n">
        <x:v>2</x:v>
      </x:c>
      <x:c r="L545" s="19" t="n">
        <x:v>0.8</x:v>
      </x:c>
      <x:c r="M545" s="19" t="n">
        <x:v>0.75</x:v>
      </x:c>
    </x:row>
    <x:row r="546" ht="23" customHeight="1">
      <x:c r="A546" s="2" t="str">
        <x:v>D040_T02_C080_G075</x:v>
      </x:c>
      <x:c r="B546" s="2" t="str">
        <x:v>A0020</x:v>
      </x:c>
      <x:c r="C546" s="2" t="str">
        <x:v>圈内</x:v>
      </x:c>
      <x:c r="D546" s="10" t="n">
        <x:v>1</x:v>
      </x:c>
      <x:c r="E546" s="10" t="n">
        <x:v>2</x:v>
      </x:c>
      <x:c r="F546" s="10" t="n">
        <x:v>1</x:v>
      </x:c>
      <x:c r="G546" s="10" t="n">
        <x:v>1</x:v>
      </x:c>
      <x:c r="H546" s="10" t="n">
        <x:f>IF(G546=1,E546-D546,"")</x:f>
        <x:v>1</x:v>
      </x:c>
      <x:c r="I546" s="10" t="n">
        <x:f>MIN(F546,9)</x:f>
        <x:v>1</x:v>
      </x:c>
      <x:c r="J546" s="19" t="n">
        <x:v>0.4</x:v>
      </x:c>
      <x:c r="K546" s="2" t="n">
        <x:v>2</x:v>
      </x:c>
      <x:c r="L546" s="19" t="n">
        <x:v>0.8</x:v>
      </x:c>
      <x:c r="M546" s="19" t="n">
        <x:v>0.75</x:v>
      </x:c>
    </x:row>
    <x:row r="547" ht="23" customHeight="1">
      <x:c r="A547" s="2" t="str">
        <x:v>D040_T02_C080_G075</x:v>
      </x:c>
      <x:c r="B547" s="2" t="str">
        <x:v>A0024</x:v>
      </x:c>
      <x:c r="C547" s="2" t="str">
        <x:v>圈内</x:v>
      </x:c>
      <x:c r="D547" s="10" t="n">
        <x:v>1</x:v>
      </x:c>
      <x:c r="E547" s="10" t="n">
        <x:v>2</x:v>
      </x:c>
      <x:c r="F547" s="10" t="n">
        <x:v>1</x:v>
      </x:c>
      <x:c r="G547" s="10" t="n">
        <x:v>1</x:v>
      </x:c>
      <x:c r="H547" s="10" t="n">
        <x:f>IF(G547=1,E547-D547,"")</x:f>
        <x:v>1</x:v>
      </x:c>
      <x:c r="I547" s="10" t="n">
        <x:f>MIN(F547,9)</x:f>
        <x:v>1</x:v>
      </x:c>
      <x:c r="J547" s="19" t="n">
        <x:v>0.4</x:v>
      </x:c>
      <x:c r="K547" s="2" t="n">
        <x:v>2</x:v>
      </x:c>
      <x:c r="L547" s="19" t="n">
        <x:v>0.8</x:v>
      </x:c>
      <x:c r="M547" s="19" t="n">
        <x:v>0.75</x:v>
      </x:c>
    </x:row>
    <x:row r="548" ht="23" customHeight="1">
      <x:c r="A548" s="2" t="str">
        <x:v>D040_T02_C080_G075</x:v>
      </x:c>
      <x:c r="B548" s="2" t="str">
        <x:v>A0025</x:v>
      </x:c>
      <x:c r="C548" s="2" t="str">
        <x:v>圈内</x:v>
      </x:c>
      <x:c r="D548" s="10" t="n">
        <x:v>1</x:v>
      </x:c>
      <x:c r="E548" s="10" t="n">
        <x:v>2</x:v>
      </x:c>
      <x:c r="F548" s="10" t="n">
        <x:v>1</x:v>
      </x:c>
      <x:c r="G548" s="10" t="n">
        <x:v>1</x:v>
      </x:c>
      <x:c r="H548" s="10" t="n">
        <x:f>IF(G548=1,E548-D548,"")</x:f>
        <x:v>1</x:v>
      </x:c>
      <x:c r="I548" s="10" t="n">
        <x:f>MIN(F548,9)</x:f>
        <x:v>1</x:v>
      </x:c>
      <x:c r="J548" s="19" t="n">
        <x:v>0.4</x:v>
      </x:c>
      <x:c r="K548" s="2" t="n">
        <x:v>2</x:v>
      </x:c>
      <x:c r="L548" s="19" t="n">
        <x:v>0.8</x:v>
      </x:c>
      <x:c r="M548" s="19" t="n">
        <x:v>0.75</x:v>
      </x:c>
    </x:row>
    <x:row r="549" ht="23" customHeight="1">
      <x:c r="A549" s="2" t="str">
        <x:v>D040_T02_C080_G075</x:v>
      </x:c>
      <x:c r="B549" s="2" t="str">
        <x:v>A0026</x:v>
      </x:c>
      <x:c r="C549" s="2" t="str">
        <x:v>圈内</x:v>
      </x:c>
      <x:c r="D549" s="10" t="n">
        <x:v>1</x:v>
      </x:c>
      <x:c r="E549" s="10" t="n">
        <x:v>2</x:v>
      </x:c>
      <x:c r="F549" s="10" t="n">
        <x:v>1</x:v>
      </x:c>
      <x:c r="G549" s="10" t="n">
        <x:v>1</x:v>
      </x:c>
      <x:c r="H549" s="10" t="n">
        <x:f>IF(G549=1,E549-D549,"")</x:f>
        <x:v>1</x:v>
      </x:c>
      <x:c r="I549" s="10" t="n">
        <x:f>MIN(F549,9)</x:f>
        <x:v>1</x:v>
      </x:c>
      <x:c r="J549" s="19" t="n">
        <x:v>0.4</x:v>
      </x:c>
      <x:c r="K549" s="2" t="n">
        <x:v>2</x:v>
      </x:c>
      <x:c r="L549" s="19" t="n">
        <x:v>0.8</x:v>
      </x:c>
      <x:c r="M549" s="19" t="n">
        <x:v>0.75</x:v>
      </x:c>
    </x:row>
    <x:row r="550" ht="23" customHeight="1">
      <x:c r="A550" s="2" t="str">
        <x:v>D040_T02_C080_G075</x:v>
      </x:c>
      <x:c r="B550" s="2" t="str">
        <x:v>A0027</x:v>
      </x:c>
      <x:c r="C550" s="2" t="str">
        <x:v>圈内</x:v>
      </x:c>
      <x:c r="D550" s="10" t="n">
        <x:v>1</x:v>
      </x:c>
      <x:c r="E550" s="10" t="n">
        <x:v>2</x:v>
      </x:c>
      <x:c r="F550" s="10" t="n">
        <x:v>1</x:v>
      </x:c>
      <x:c r="G550" s="10" t="n">
        <x:v>1</x:v>
      </x:c>
      <x:c r="H550" s="10" t="n">
        <x:f>IF(G550=1,E550-D550,"")</x:f>
        <x:v>1</x:v>
      </x:c>
      <x:c r="I550" s="10" t="n">
        <x:f>MIN(F550,9)</x:f>
        <x:v>1</x:v>
      </x:c>
      <x:c r="J550" s="19" t="n">
        <x:v>0.4</x:v>
      </x:c>
      <x:c r="K550" s="2" t="n">
        <x:v>2</x:v>
      </x:c>
      <x:c r="L550" s="19" t="n">
        <x:v>0.8</x:v>
      </x:c>
      <x:c r="M550" s="19" t="n">
        <x:v>0.75</x:v>
      </x:c>
    </x:row>
    <x:row r="551" ht="23" customHeight="1">
      <x:c r="A551" s="2" t="str">
        <x:v>D040_T02_C080_G075</x:v>
      </x:c>
      <x:c r="B551" s="2" t="str">
        <x:v>A0029</x:v>
      </x:c>
      <x:c r="C551" s="2" t="str">
        <x:v>圈内</x:v>
      </x:c>
      <x:c r="D551" s="10" t="n">
        <x:v>1</x:v>
      </x:c>
      <x:c r="E551" s="10" t="n">
        <x:v>2</x:v>
      </x:c>
      <x:c r="F551" s="10" t="n">
        <x:v>1</x:v>
      </x:c>
      <x:c r="G551" s="10" t="n">
        <x:v>1</x:v>
      </x:c>
      <x:c r="H551" s="10" t="n">
        <x:f>IF(G551=1,E551-D551,"")</x:f>
        <x:v>1</x:v>
      </x:c>
      <x:c r="I551" s="10" t="n">
        <x:f>MIN(F551,9)</x:f>
        <x:v>1</x:v>
      </x:c>
      <x:c r="J551" s="19" t="n">
        <x:v>0.4</x:v>
      </x:c>
      <x:c r="K551" s="2" t="n">
        <x:v>2</x:v>
      </x:c>
      <x:c r="L551" s="19" t="n">
        <x:v>0.8</x:v>
      </x:c>
      <x:c r="M551" s="19" t="n">
        <x:v>0.75</x:v>
      </x:c>
    </x:row>
    <x:row r="552" ht="23" customHeight="1">
      <x:c r="A552" s="2" t="str">
        <x:v>D040_T02_C080_G075</x:v>
      </x:c>
      <x:c r="B552" s="2" t="str">
        <x:v>A0030</x:v>
      </x:c>
      <x:c r="C552" s="2" t="str">
        <x:v>圈内</x:v>
      </x:c>
      <x:c r="D552" s="10" t="n">
        <x:v>1</x:v>
      </x:c>
      <x:c r="E552" s="10" t="n">
        <x:v>2</x:v>
      </x:c>
      <x:c r="F552" s="10" t="n">
        <x:v>1</x:v>
      </x:c>
      <x:c r="G552" s="10" t="n">
        <x:v>1</x:v>
      </x:c>
      <x:c r="H552" s="10" t="n">
        <x:f>IF(G552=1,E552-D552,"")</x:f>
        <x:v>1</x:v>
      </x:c>
      <x:c r="I552" s="10" t="n">
        <x:f>MIN(F552,9)</x:f>
        <x:v>1</x:v>
      </x:c>
      <x:c r="J552" s="19" t="n">
        <x:v>0.4</x:v>
      </x:c>
      <x:c r="K552" s="2" t="n">
        <x:v>2</x:v>
      </x:c>
      <x:c r="L552" s="19" t="n">
        <x:v>0.8</x:v>
      </x:c>
      <x:c r="M552" s="19" t="n">
        <x:v>0.75</x:v>
      </x:c>
    </x:row>
    <x:row r="553" ht="23" customHeight="1">
      <x:c r="A553" s="2" t="str">
        <x:v>D040_T02_C080_G075</x:v>
      </x:c>
      <x:c r="B553" s="2" t="str">
        <x:v>A0032</x:v>
      </x:c>
      <x:c r="C553" s="2" t="str">
        <x:v>圈内</x:v>
      </x:c>
      <x:c r="D553" s="10" t="n">
        <x:v>1</x:v>
      </x:c>
      <x:c r="E553" s="10" t="n">
        <x:v>2</x:v>
      </x:c>
      <x:c r="F553" s="10" t="n">
        <x:v>1</x:v>
      </x:c>
      <x:c r="G553" s="10" t="n">
        <x:v>1</x:v>
      </x:c>
      <x:c r="H553" s="10" t="n">
        <x:f>IF(G553=1,E553-D553,"")</x:f>
        <x:v>1</x:v>
      </x:c>
      <x:c r="I553" s="10" t="n">
        <x:f>MIN(F553,9)</x:f>
        <x:v>1</x:v>
      </x:c>
      <x:c r="J553" s="19" t="n">
        <x:v>0.4</x:v>
      </x:c>
      <x:c r="K553" s="2" t="n">
        <x:v>2</x:v>
      </x:c>
      <x:c r="L553" s="19" t="n">
        <x:v>0.8</x:v>
      </x:c>
      <x:c r="M553" s="19" t="n">
        <x:v>0.75</x:v>
      </x:c>
    </x:row>
    <x:row r="554" ht="23" customHeight="1">
      <x:c r="A554" s="2" t="str">
        <x:v>D040_T02_C080_G075</x:v>
      </x:c>
      <x:c r="B554" s="2" t="str">
        <x:v>A0033</x:v>
      </x:c>
      <x:c r="C554" s="2" t="str">
        <x:v>圈内</x:v>
      </x:c>
      <x:c r="D554" s="10" t="n">
        <x:v>1</x:v>
      </x:c>
      <x:c r="E554" s="10" t="n">
        <x:v>2</x:v>
      </x:c>
      <x:c r="F554" s="10" t="n">
        <x:v>1</x:v>
      </x:c>
      <x:c r="G554" s="10" t="n">
        <x:v>1</x:v>
      </x:c>
      <x:c r="H554" s="10" t="n">
        <x:f>IF(G554=1,E554-D554,"")</x:f>
        <x:v>1</x:v>
      </x:c>
      <x:c r="I554" s="10" t="n">
        <x:f>MIN(F554,9)</x:f>
        <x:v>1</x:v>
      </x:c>
      <x:c r="J554" s="19" t="n">
        <x:v>0.4</x:v>
      </x:c>
      <x:c r="K554" s="2" t="n">
        <x:v>2</x:v>
      </x:c>
      <x:c r="L554" s="19" t="n">
        <x:v>0.8</x:v>
      </x:c>
      <x:c r="M554" s="19" t="n">
        <x:v>0.75</x:v>
      </x:c>
    </x:row>
    <x:row r="555" ht="23" customHeight="1">
      <x:c r="A555" s="2" t="str">
        <x:v>D040_T02_C080_G075</x:v>
      </x:c>
      <x:c r="B555" s="2" t="str">
        <x:v>A0034</x:v>
      </x:c>
      <x:c r="C555" s="2" t="str">
        <x:v>圈内</x:v>
      </x:c>
      <x:c r="D555" s="10" t="n">
        <x:v>1</x:v>
      </x:c>
      <x:c r="E555" s="10" t="n">
        <x:v>3</x:v>
      </x:c>
      <x:c r="F555" s="10" t="n">
        <x:v>2</x:v>
      </x:c>
      <x:c r="G555" s="10" t="n">
        <x:v>1</x:v>
      </x:c>
      <x:c r="H555" s="10" t="n">
        <x:f>IF(G555=1,E555-D555,"")</x:f>
        <x:v>2</x:v>
      </x:c>
      <x:c r="I555" s="10" t="n">
        <x:f>MIN(F555,9)</x:f>
        <x:v>2</x:v>
      </x:c>
      <x:c r="J555" s="19" t="n">
        <x:v>0.4</x:v>
      </x:c>
      <x:c r="K555" s="2" t="n">
        <x:v>2</x:v>
      </x:c>
      <x:c r="L555" s="19" t="n">
        <x:v>0.8</x:v>
      </x:c>
      <x:c r="M555" s="19" t="n">
        <x:v>0.75</x:v>
      </x:c>
    </x:row>
    <x:row r="556" ht="23" customHeight="1">
      <x:c r="A556" s="2" t="str">
        <x:v>D040_T02_C080_G075</x:v>
      </x:c>
      <x:c r="B556" s="2" t="str">
        <x:v>A0035</x:v>
      </x:c>
      <x:c r="C556" s="2" t="str">
        <x:v>圈内</x:v>
      </x:c>
      <x:c r="D556" s="10" t="n">
        <x:v>1</x:v>
      </x:c>
      <x:c r="E556" s="10" t="n">
        <x:v>2</x:v>
      </x:c>
      <x:c r="F556" s="10" t="n">
        <x:v>1</x:v>
      </x:c>
      <x:c r="G556" s="10" t="n">
        <x:v>1</x:v>
      </x:c>
      <x:c r="H556" s="10" t="n">
        <x:f>IF(G556=1,E556-D556,"")</x:f>
        <x:v>1</x:v>
      </x:c>
      <x:c r="I556" s="10" t="n">
        <x:f>MIN(F556,9)</x:f>
        <x:v>1</x:v>
      </x:c>
      <x:c r="J556" s="19" t="n">
        <x:v>0.4</x:v>
      </x:c>
      <x:c r="K556" s="2" t="n">
        <x:v>2</x:v>
      </x:c>
      <x:c r="L556" s="19" t="n">
        <x:v>0.8</x:v>
      </x:c>
      <x:c r="M556" s="19" t="n">
        <x:v>0.75</x:v>
      </x:c>
    </x:row>
    <x:row r="557" ht="23" customHeight="1">
      <x:c r="A557" s="2" t="str">
        <x:v>D040_T02_C080_G075</x:v>
      </x:c>
      <x:c r="B557" s="2" t="str">
        <x:v>A0036</x:v>
      </x:c>
      <x:c r="C557" s="2" t="str">
        <x:v>圈内</x:v>
      </x:c>
      <x:c r="D557" s="10" t="n">
        <x:v>1</x:v>
      </x:c>
      <x:c r="E557" s="10" t="n">
        <x:v>2</x:v>
      </x:c>
      <x:c r="F557" s="10" t="n">
        <x:v>1</x:v>
      </x:c>
      <x:c r="G557" s="10" t="n">
        <x:v>1</x:v>
      </x:c>
      <x:c r="H557" s="10" t="n">
        <x:f>IF(G557=1,E557-D557,"")</x:f>
        <x:v>1</x:v>
      </x:c>
      <x:c r="I557" s="10" t="n">
        <x:f>MIN(F557,9)</x:f>
        <x:v>1</x:v>
      </x:c>
      <x:c r="J557" s="19" t="n">
        <x:v>0.4</x:v>
      </x:c>
      <x:c r="K557" s="2" t="n">
        <x:v>2</x:v>
      </x:c>
      <x:c r="L557" s="19" t="n">
        <x:v>0.8</x:v>
      </x:c>
      <x:c r="M557" s="19" t="n">
        <x:v>0.75</x:v>
      </x:c>
    </x:row>
    <x:row r="558" ht="23" customHeight="1">
      <x:c r="A558" s="2" t="str">
        <x:v>D040_T02_C080_G075</x:v>
      </x:c>
      <x:c r="B558" s="2" t="str">
        <x:v>A0037</x:v>
      </x:c>
      <x:c r="C558" s="2" t="str">
        <x:v>圈内</x:v>
      </x:c>
      <x:c r="D558" s="10" t="n">
        <x:v>1</x:v>
      </x:c>
      <x:c r="E558" s="10" t="n">
        <x:v>2</x:v>
      </x:c>
      <x:c r="F558" s="10" t="n">
        <x:v>1</x:v>
      </x:c>
      <x:c r="G558" s="10" t="n">
        <x:v>1</x:v>
      </x:c>
      <x:c r="H558" s="10" t="n">
        <x:f>IF(G558=1,E558-D558,"")</x:f>
        <x:v>1</x:v>
      </x:c>
      <x:c r="I558" s="10" t="n">
        <x:f>MIN(F558,9)</x:f>
        <x:v>1</x:v>
      </x:c>
      <x:c r="J558" s="19" t="n">
        <x:v>0.4</x:v>
      </x:c>
      <x:c r="K558" s="2" t="n">
        <x:v>2</x:v>
      </x:c>
      <x:c r="L558" s="19" t="n">
        <x:v>0.8</x:v>
      </x:c>
      <x:c r="M558" s="19" t="n">
        <x:v>0.75</x:v>
      </x:c>
    </x:row>
    <x:row r="559" ht="23" customHeight="1">
      <x:c r="A559" s="2" t="str">
        <x:v>D040_T02_C080_G075</x:v>
      </x:c>
      <x:c r="B559" s="2" t="str">
        <x:v>A0038</x:v>
      </x:c>
      <x:c r="C559" s="2" t="str">
        <x:v>圈内</x:v>
      </x:c>
      <x:c r="D559" s="10" t="n">
        <x:v>1</x:v>
      </x:c>
      <x:c r="E559" s="10" t="n">
        <x:v>3</x:v>
      </x:c>
      <x:c r="F559" s="10" t="n">
        <x:v>2</x:v>
      </x:c>
      <x:c r="G559" s="10" t="n">
        <x:v>1</x:v>
      </x:c>
      <x:c r="H559" s="10" t="n">
        <x:f>IF(G559=1,E559-D559,"")</x:f>
        <x:v>2</x:v>
      </x:c>
      <x:c r="I559" s="10" t="n">
        <x:f>MIN(F559,9)</x:f>
        <x:v>2</x:v>
      </x:c>
      <x:c r="J559" s="19" t="n">
        <x:v>0.4</x:v>
      </x:c>
      <x:c r="K559" s="2" t="n">
        <x:v>2</x:v>
      </x:c>
      <x:c r="L559" s="19" t="n">
        <x:v>0.8</x:v>
      </x:c>
      <x:c r="M559" s="19" t="n">
        <x:v>0.75</x:v>
      </x:c>
    </x:row>
    <x:row r="560" ht="23" customHeight="1">
      <x:c r="A560" s="2" t="str">
        <x:v>D040_T02_C080_G075</x:v>
      </x:c>
      <x:c r="B560" s="2" t="str">
        <x:v>A0040</x:v>
      </x:c>
      <x:c r="C560" s="2" t="str">
        <x:v>圈内</x:v>
      </x:c>
      <x:c r="D560" s="10" t="n">
        <x:v>1</x:v>
      </x:c>
      <x:c r="E560" s="10" t="n">
        <x:v>2</x:v>
      </x:c>
      <x:c r="F560" s="10" t="n">
        <x:v>1</x:v>
      </x:c>
      <x:c r="G560" s="10" t="n">
        <x:v>1</x:v>
      </x:c>
      <x:c r="H560" s="10" t="n">
        <x:f>IF(G560=1,E560-D560,"")</x:f>
        <x:v>1</x:v>
      </x:c>
      <x:c r="I560" s="10" t="n">
        <x:f>MIN(F560,9)</x:f>
        <x:v>1</x:v>
      </x:c>
      <x:c r="J560" s="19" t="n">
        <x:v>0.4</x:v>
      </x:c>
      <x:c r="K560" s="2" t="n">
        <x:v>2</x:v>
      </x:c>
      <x:c r="L560" s="19" t="n">
        <x:v>0.8</x:v>
      </x:c>
      <x:c r="M560" s="19" t="n">
        <x:v>0.75</x:v>
      </x:c>
    </x:row>
    <x:row r="561" ht="23" customHeight="1">
      <x:c r="A561" s="2" t="str">
        <x:v>D040_T02_C080_G075</x:v>
      </x:c>
      <x:c r="B561" s="2" t="str">
        <x:v>A0041</x:v>
      </x:c>
      <x:c r="C561" s="2" t="str">
        <x:v>圈内</x:v>
      </x:c>
      <x:c r="D561" s="10" t="n">
        <x:v>1</x:v>
      </x:c>
      <x:c r="E561" s="10" t="n">
        <x:v>2</x:v>
      </x:c>
      <x:c r="F561" s="10" t="n">
        <x:v>1</x:v>
      </x:c>
      <x:c r="G561" s="10" t="n">
        <x:v>1</x:v>
      </x:c>
      <x:c r="H561" s="10" t="n">
        <x:f>IF(G561=1,E561-D561,"")</x:f>
        <x:v>1</x:v>
      </x:c>
      <x:c r="I561" s="10" t="n">
        <x:f>MIN(F561,9)</x:f>
        <x:v>1</x:v>
      </x:c>
      <x:c r="J561" s="19" t="n">
        <x:v>0.4</x:v>
      </x:c>
      <x:c r="K561" s="2" t="n">
        <x:v>2</x:v>
      </x:c>
      <x:c r="L561" s="19" t="n">
        <x:v>0.8</x:v>
      </x:c>
      <x:c r="M561" s="19" t="n">
        <x:v>0.75</x:v>
      </x:c>
    </x:row>
    <x:row r="562" ht="23" customHeight="1">
      <x:c r="A562" s="2" t="str">
        <x:v>D040_T02_C080_G075</x:v>
      </x:c>
      <x:c r="B562" s="2" t="str">
        <x:v>A0043</x:v>
      </x:c>
      <x:c r="C562" s="2" t="str">
        <x:v>圈内</x:v>
      </x:c>
      <x:c r="D562" s="10" t="n">
        <x:v>1</x:v>
      </x:c>
      <x:c r="E562" s="10" t="n">
        <x:v>2</x:v>
      </x:c>
      <x:c r="F562" s="10" t="n">
        <x:v>1</x:v>
      </x:c>
      <x:c r="G562" s="10" t="n">
        <x:v>1</x:v>
      </x:c>
      <x:c r="H562" s="10" t="n">
        <x:f>IF(G562=1,E562-D562,"")</x:f>
        <x:v>1</x:v>
      </x:c>
      <x:c r="I562" s="10" t="n">
        <x:f>MIN(F562,9)</x:f>
        <x:v>1</x:v>
      </x:c>
      <x:c r="J562" s="19" t="n">
        <x:v>0.4</x:v>
      </x:c>
      <x:c r="K562" s="2" t="n">
        <x:v>2</x:v>
      </x:c>
      <x:c r="L562" s="19" t="n">
        <x:v>0.8</x:v>
      </x:c>
      <x:c r="M562" s="19" t="n">
        <x:v>0.75</x:v>
      </x:c>
    </x:row>
    <x:row r="563" ht="23" customHeight="1">
      <x:c r="A563" s="2" t="str">
        <x:v>D040_T02_C080_G075</x:v>
      </x:c>
      <x:c r="B563" s="2" t="str">
        <x:v>A0071</x:v>
      </x:c>
      <x:c r="C563" s="2" t="str">
        <x:v>圈内</x:v>
      </x:c>
      <x:c r="D563" s="10" t="n">
        <x:v>1</x:v>
      </x:c>
      <x:c r="E563" s="10" t="n">
        <x:v>3</x:v>
      </x:c>
      <x:c r="F563" s="10" t="n">
        <x:v>2</x:v>
      </x:c>
      <x:c r="G563" s="10" t="n">
        <x:v>1</x:v>
      </x:c>
      <x:c r="H563" s="10" t="n">
        <x:f>IF(G563=1,E563-D563,"")</x:f>
        <x:v>2</x:v>
      </x:c>
      <x:c r="I563" s="10" t="n">
        <x:f>MIN(F563,9)</x:f>
        <x:v>2</x:v>
      </x:c>
      <x:c r="J563" s="19" t="n">
        <x:v>0.4</x:v>
      </x:c>
      <x:c r="K563" s="2" t="n">
        <x:v>2</x:v>
      </x:c>
      <x:c r="L563" s="19" t="n">
        <x:v>0.8</x:v>
      </x:c>
      <x:c r="M563" s="19" t="n">
        <x:v>0.75</x:v>
      </x:c>
    </x:row>
    <x:row r="564" ht="23" customHeight="1">
      <x:c r="A564" s="2" t="str">
        <x:v>D040_T02_C080_G075</x:v>
      </x:c>
      <x:c r="B564" s="2" t="str">
        <x:v>A0189</x:v>
      </x:c>
      <x:c r="C564" s="2" t="str">
        <x:v>圈内</x:v>
      </x:c>
      <x:c r="D564" s="10" t="n">
        <x:v>1</x:v>
      </x:c>
      <x:c r="E564" s="10" t="n">
        <x:v>3</x:v>
      </x:c>
      <x:c r="F564" s="10" t="n">
        <x:v>2</x:v>
      </x:c>
      <x:c r="G564" s="10" t="n">
        <x:v>1</x:v>
      </x:c>
      <x:c r="H564" s="10" t="n">
        <x:f>IF(G564=1,E564-D564,"")</x:f>
        <x:v>2</x:v>
      </x:c>
      <x:c r="I564" s="10" t="n">
        <x:f>MIN(F564,9)</x:f>
        <x:v>2</x:v>
      </x:c>
      <x:c r="J564" s="19" t="n">
        <x:v>0.4</x:v>
      </x:c>
      <x:c r="K564" s="2" t="n">
        <x:v>2</x:v>
      </x:c>
      <x:c r="L564" s="19" t="n">
        <x:v>0.8</x:v>
      </x:c>
      <x:c r="M564" s="19" t="n">
        <x:v>0.75</x:v>
      </x:c>
    </x:row>
    <x:row r="565" ht="23" customHeight="1">
      <x:c r="A565" s="2" t="str">
        <x:v>D040_T02_C080_G075</x:v>
      </x:c>
      <x:c r="B565" s="2" t="str">
        <x:v>A0206</x:v>
      </x:c>
      <x:c r="C565" s="2" t="str">
        <x:v>圈内</x:v>
      </x:c>
      <x:c r="D565" s="10" t="n">
        <x:v>1</x:v>
      </x:c>
      <x:c r="E565" s="10" t="n">
        <x:v>2</x:v>
      </x:c>
      <x:c r="F565" s="10" t="n">
        <x:v>1</x:v>
      </x:c>
      <x:c r="G565" s="10" t="n">
        <x:v>1</x:v>
      </x:c>
      <x:c r="H565" s="10" t="n">
        <x:f>IF(G565=1,E565-D565,"")</x:f>
        <x:v>1</x:v>
      </x:c>
      <x:c r="I565" s="10" t="n">
        <x:f>MIN(F565,9)</x:f>
        <x:v>1</x:v>
      </x:c>
      <x:c r="J565" s="19" t="n">
        <x:v>0.4</x:v>
      </x:c>
      <x:c r="K565" s="2" t="n">
        <x:v>2</x:v>
      </x:c>
      <x:c r="L565" s="19" t="n">
        <x:v>0.8</x:v>
      </x:c>
      <x:c r="M565" s="19" t="n">
        <x:v>0.75</x:v>
      </x:c>
    </x:row>
    <x:row r="566" ht="23" customHeight="1">
      <x:c r="A566" s="2" t="str">
        <x:v>D040_T04_C020_G025</x:v>
      </x:c>
      <x:c r="B566" s="2" t="str">
        <x:v>A0001</x:v>
      </x:c>
      <x:c r="C566" s="2" t="str">
        <x:v>圈内</x:v>
      </x:c>
      <x:c r="D566" s="10" t="n">
        <x:v>1</x:v>
      </x:c>
      <x:c r="E566" s="10" t="n">
        <x:v>6</x:v>
      </x:c>
      <x:c r="F566" s="10" t="n">
        <x:v>5</x:v>
      </x:c>
      <x:c r="G566" s="10" t="n">
        <x:v>1</x:v>
      </x:c>
      <x:c r="H566" s="10" t="n">
        <x:f>IF(G566=1,E566-D566,"")</x:f>
        <x:v>5</x:v>
      </x:c>
      <x:c r="I566" s="10" t="n">
        <x:f>MIN(F566,9)</x:f>
        <x:v>5</x:v>
      </x:c>
      <x:c r="J566" s="19" t="n">
        <x:v>0.4</x:v>
      </x:c>
      <x:c r="K566" s="2" t="n">
        <x:v>4</x:v>
      </x:c>
      <x:c r="L566" s="19" t="n">
        <x:v>0.2</x:v>
      </x:c>
      <x:c r="M566" s="19" t="n">
        <x:v>0.25</x:v>
      </x:c>
    </x:row>
    <x:row r="567" ht="23" customHeight="1">
      <x:c r="A567" s="2" t="str">
        <x:v>D040_T04_C020_G025</x:v>
      </x:c>
      <x:c r="B567" s="2" t="str">
        <x:v>A0005</x:v>
      </x:c>
      <x:c r="C567" s="2" t="str">
        <x:v>圈内</x:v>
      </x:c>
      <x:c r="D567" s="10" t="n">
        <x:v>1</x:v>
      </x:c>
      <x:c r="E567" s="10"/>
      <x:c r="F567" s="10" t="n">
        <x:v>9</x:v>
      </x:c>
      <x:c r="G567" s="10" t="n">
        <x:v>0</x:v>
      </x:c>
      <x:c r="H567" s="10" t="str">
        <x:f>IF(G567=1,E567-D567,"")</x:f>
      </x:c>
      <x:c r="I567" s="10" t="n">
        <x:f>MIN(F567,9)</x:f>
        <x:v>9</x:v>
      </x:c>
      <x:c r="J567" s="19" t="n">
        <x:v>0.4</x:v>
      </x:c>
      <x:c r="K567" s="2" t="n">
        <x:v>4</x:v>
      </x:c>
      <x:c r="L567" s="19" t="n">
        <x:v>0.2</x:v>
      </x:c>
      <x:c r="M567" s="19" t="n">
        <x:v>0.25</x:v>
      </x:c>
    </x:row>
    <x:row r="568" ht="23" customHeight="1">
      <x:c r="A568" s="2" t="str">
        <x:v>D040_T04_C020_G025</x:v>
      </x:c>
      <x:c r="B568" s="2" t="str">
        <x:v>A0006</x:v>
      </x:c>
      <x:c r="C568" s="2" t="str">
        <x:v>圈内</x:v>
      </x:c>
      <x:c r="D568" s="10" t="n">
        <x:v>1</x:v>
      </x:c>
      <x:c r="E568" s="10" t="n">
        <x:v>7</x:v>
      </x:c>
      <x:c r="F568" s="10" t="n">
        <x:v>6</x:v>
      </x:c>
      <x:c r="G568" s="10" t="n">
        <x:v>1</x:v>
      </x:c>
      <x:c r="H568" s="10" t="n">
        <x:f>IF(G568=1,E568-D568,"")</x:f>
        <x:v>6</x:v>
      </x:c>
      <x:c r="I568" s="10" t="n">
        <x:f>MIN(F568,9)</x:f>
        <x:v>6</x:v>
      </x:c>
      <x:c r="J568" s="19" t="n">
        <x:v>0.4</x:v>
      </x:c>
      <x:c r="K568" s="2" t="n">
        <x:v>4</x:v>
      </x:c>
      <x:c r="L568" s="19" t="n">
        <x:v>0.2</x:v>
      </x:c>
      <x:c r="M568" s="19" t="n">
        <x:v>0.25</x:v>
      </x:c>
    </x:row>
    <x:row r="569" ht="23" customHeight="1">
      <x:c r="A569" s="2" t="str">
        <x:v>D040_T04_C020_G025</x:v>
      </x:c>
      <x:c r="B569" s="2" t="str">
        <x:v>A0007</x:v>
      </x:c>
      <x:c r="C569" s="2" t="str">
        <x:v>圈内</x:v>
      </x:c>
      <x:c r="D569" s="10" t="n">
        <x:v>1</x:v>
      </x:c>
      <x:c r="E569" s="10" t="n">
        <x:v>9</x:v>
      </x:c>
      <x:c r="F569" s="10" t="n">
        <x:v>8</x:v>
      </x:c>
      <x:c r="G569" s="10" t="n">
        <x:v>1</x:v>
      </x:c>
      <x:c r="H569" s="10" t="n">
        <x:f>IF(G569=1,E569-D569,"")</x:f>
        <x:v>8</x:v>
      </x:c>
      <x:c r="I569" s="10" t="n">
        <x:f>MIN(F569,9)</x:f>
        <x:v>8</x:v>
      </x:c>
      <x:c r="J569" s="19" t="n">
        <x:v>0.4</x:v>
      </x:c>
      <x:c r="K569" s="2" t="n">
        <x:v>4</x:v>
      </x:c>
      <x:c r="L569" s="19" t="n">
        <x:v>0.2</x:v>
      </x:c>
      <x:c r="M569" s="19" t="n">
        <x:v>0.25</x:v>
      </x:c>
    </x:row>
    <x:row r="570" ht="23" customHeight="1">
      <x:c r="A570" s="2" t="str">
        <x:v>D040_T04_C020_G025</x:v>
      </x:c>
      <x:c r="B570" s="2" t="str">
        <x:v>A0008</x:v>
      </x:c>
      <x:c r="C570" s="2" t="str">
        <x:v>圈内</x:v>
      </x:c>
      <x:c r="D570" s="10" t="n">
        <x:v>1</x:v>
      </x:c>
      <x:c r="E570" s="10"/>
      <x:c r="F570" s="10" t="n">
        <x:v>9</x:v>
      </x:c>
      <x:c r="G570" s="10" t="n">
        <x:v>0</x:v>
      </x:c>
      <x:c r="H570" s="10" t="str">
        <x:f>IF(G570=1,E570-D570,"")</x:f>
      </x:c>
      <x:c r="I570" s="10" t="n">
        <x:f>MIN(F570,9)</x:f>
        <x:v>9</x:v>
      </x:c>
      <x:c r="J570" s="19" t="n">
        <x:v>0.4</x:v>
      </x:c>
      <x:c r="K570" s="2" t="n">
        <x:v>4</x:v>
      </x:c>
      <x:c r="L570" s="19" t="n">
        <x:v>0.2</x:v>
      </x:c>
      <x:c r="M570" s="19" t="n">
        <x:v>0.25</x:v>
      </x:c>
    </x:row>
    <x:row r="571" ht="23" customHeight="1">
      <x:c r="A571" s="2" t="str">
        <x:v>D040_T04_C020_G025</x:v>
      </x:c>
      <x:c r="B571" s="2" t="str">
        <x:v>A0009</x:v>
      </x:c>
      <x:c r="C571" s="2" t="str">
        <x:v>圈内</x:v>
      </x:c>
      <x:c r="D571" s="10" t="n">
        <x:v>1</x:v>
      </x:c>
      <x:c r="E571" s="10" t="n">
        <x:v>8</x:v>
      </x:c>
      <x:c r="F571" s="10" t="n">
        <x:v>7</x:v>
      </x:c>
      <x:c r="G571" s="10" t="n">
        <x:v>1</x:v>
      </x:c>
      <x:c r="H571" s="10" t="n">
        <x:f>IF(G571=1,E571-D571,"")</x:f>
        <x:v>7</x:v>
      </x:c>
      <x:c r="I571" s="10" t="n">
        <x:f>MIN(F571,9)</x:f>
        <x:v>7</x:v>
      </x:c>
      <x:c r="J571" s="19" t="n">
        <x:v>0.4</x:v>
      </x:c>
      <x:c r="K571" s="2" t="n">
        <x:v>4</x:v>
      </x:c>
      <x:c r="L571" s="19" t="n">
        <x:v>0.2</x:v>
      </x:c>
      <x:c r="M571" s="19" t="n">
        <x:v>0.25</x:v>
      </x:c>
    </x:row>
    <x:row r="572" ht="23" customHeight="1">
      <x:c r="A572" s="2" t="str">
        <x:v>D040_T04_C020_G025</x:v>
      </x:c>
      <x:c r="B572" s="2" t="str">
        <x:v>A0011</x:v>
      </x:c>
      <x:c r="C572" s="2" t="str">
        <x:v>圈内</x:v>
      </x:c>
      <x:c r="D572" s="10" t="n">
        <x:v>1</x:v>
      </x:c>
      <x:c r="E572" s="10" t="n">
        <x:v>7</x:v>
      </x:c>
      <x:c r="F572" s="10" t="n">
        <x:v>6</x:v>
      </x:c>
      <x:c r="G572" s="10" t="n">
        <x:v>1</x:v>
      </x:c>
      <x:c r="H572" s="10" t="n">
        <x:f>IF(G572=1,E572-D572,"")</x:f>
        <x:v>6</x:v>
      </x:c>
      <x:c r="I572" s="10" t="n">
        <x:f>MIN(F572,9)</x:f>
        <x:v>6</x:v>
      </x:c>
      <x:c r="J572" s="19" t="n">
        <x:v>0.4</x:v>
      </x:c>
      <x:c r="K572" s="2" t="n">
        <x:v>4</x:v>
      </x:c>
      <x:c r="L572" s="19" t="n">
        <x:v>0.2</x:v>
      </x:c>
      <x:c r="M572" s="19" t="n">
        <x:v>0.25</x:v>
      </x:c>
    </x:row>
    <x:row r="573" ht="23" customHeight="1">
      <x:c r="A573" s="2" t="str">
        <x:v>D040_T04_C020_G025</x:v>
      </x:c>
      <x:c r="B573" s="2" t="str">
        <x:v>A0012</x:v>
      </x:c>
      <x:c r="C573" s="2" t="str">
        <x:v>圈内</x:v>
      </x:c>
      <x:c r="D573" s="10" t="n">
        <x:v>1</x:v>
      </x:c>
      <x:c r="E573" s="10"/>
      <x:c r="F573" s="10" t="n">
        <x:v>9</x:v>
      </x:c>
      <x:c r="G573" s="10" t="n">
        <x:v>0</x:v>
      </x:c>
      <x:c r="H573" s="10" t="str">
        <x:f>IF(G573=1,E573-D573,"")</x:f>
      </x:c>
      <x:c r="I573" s="10" t="n">
        <x:f>MIN(F573,9)</x:f>
        <x:v>9</x:v>
      </x:c>
      <x:c r="J573" s="19" t="n">
        <x:v>0.4</x:v>
      </x:c>
      <x:c r="K573" s="2" t="n">
        <x:v>4</x:v>
      </x:c>
      <x:c r="L573" s="19" t="n">
        <x:v>0.2</x:v>
      </x:c>
      <x:c r="M573" s="19" t="n">
        <x:v>0.25</x:v>
      </x:c>
    </x:row>
    <x:row r="574" ht="23" customHeight="1">
      <x:c r="A574" s="2" t="str">
        <x:v>D040_T04_C020_G025</x:v>
      </x:c>
      <x:c r="B574" s="2" t="str">
        <x:v>A0014</x:v>
      </x:c>
      <x:c r="C574" s="2" t="str">
        <x:v>圈内</x:v>
      </x:c>
      <x:c r="D574" s="10" t="n">
        <x:v>1</x:v>
      </x:c>
      <x:c r="E574" s="10" t="n">
        <x:v>4</x:v>
      </x:c>
      <x:c r="F574" s="10" t="n">
        <x:v>3</x:v>
      </x:c>
      <x:c r="G574" s="10" t="n">
        <x:v>1</x:v>
      </x:c>
      <x:c r="H574" s="10" t="n">
        <x:f>IF(G574=1,E574-D574,"")</x:f>
        <x:v>3</x:v>
      </x:c>
      <x:c r="I574" s="10" t="n">
        <x:f>MIN(F574,9)</x:f>
        <x:v>3</x:v>
      </x:c>
      <x:c r="J574" s="19" t="n">
        <x:v>0.4</x:v>
      </x:c>
      <x:c r="K574" s="2" t="n">
        <x:v>4</x:v>
      </x:c>
      <x:c r="L574" s="19" t="n">
        <x:v>0.2</x:v>
      </x:c>
      <x:c r="M574" s="19" t="n">
        <x:v>0.25</x:v>
      </x:c>
    </x:row>
    <x:row r="575" ht="23" customHeight="1">
      <x:c r="A575" s="2" t="str">
        <x:v>D040_T04_C020_G025</x:v>
      </x:c>
      <x:c r="B575" s="2" t="str">
        <x:v>A0016</x:v>
      </x:c>
      <x:c r="C575" s="2" t="str">
        <x:v>圈内</x:v>
      </x:c>
      <x:c r="D575" s="10" t="n">
        <x:v>1</x:v>
      </x:c>
      <x:c r="E575" s="10"/>
      <x:c r="F575" s="10" t="n">
        <x:v>9</x:v>
      </x:c>
      <x:c r="G575" s="10" t="n">
        <x:v>0</x:v>
      </x:c>
      <x:c r="H575" s="10" t="str">
        <x:f>IF(G575=1,E575-D575,"")</x:f>
      </x:c>
      <x:c r="I575" s="10" t="n">
        <x:f>MIN(F575,9)</x:f>
        <x:v>9</x:v>
      </x:c>
      <x:c r="J575" s="19" t="n">
        <x:v>0.4</x:v>
      </x:c>
      <x:c r="K575" s="2" t="n">
        <x:v>4</x:v>
      </x:c>
      <x:c r="L575" s="19" t="n">
        <x:v>0.2</x:v>
      </x:c>
      <x:c r="M575" s="19" t="n">
        <x:v>0.25</x:v>
      </x:c>
    </x:row>
    <x:row r="576" ht="23" customHeight="1">
      <x:c r="A576" s="2" t="str">
        <x:v>D040_T04_C020_G025</x:v>
      </x:c>
      <x:c r="B576" s="2" t="str">
        <x:v>A0017</x:v>
      </x:c>
      <x:c r="C576" s="2" t="str">
        <x:v>圈内</x:v>
      </x:c>
      <x:c r="D576" s="10" t="n">
        <x:v>1</x:v>
      </x:c>
      <x:c r="E576" s="10"/>
      <x:c r="F576" s="10" t="n">
        <x:v>9</x:v>
      </x:c>
      <x:c r="G576" s="10" t="n">
        <x:v>0</x:v>
      </x:c>
      <x:c r="H576" s="10" t="str">
        <x:f>IF(G576=1,E576-D576,"")</x:f>
      </x:c>
      <x:c r="I576" s="10" t="n">
        <x:f>MIN(F576,9)</x:f>
        <x:v>9</x:v>
      </x:c>
      <x:c r="J576" s="19" t="n">
        <x:v>0.4</x:v>
      </x:c>
      <x:c r="K576" s="2" t="n">
        <x:v>4</x:v>
      </x:c>
      <x:c r="L576" s="19" t="n">
        <x:v>0.2</x:v>
      </x:c>
      <x:c r="M576" s="19" t="n">
        <x:v>0.25</x:v>
      </x:c>
    </x:row>
    <x:row r="577" ht="23" customHeight="1">
      <x:c r="A577" s="2" t="str">
        <x:v>D040_T04_C020_G025</x:v>
      </x:c>
      <x:c r="B577" s="2" t="str">
        <x:v>A0018</x:v>
      </x:c>
      <x:c r="C577" s="2" t="str">
        <x:v>圈内</x:v>
      </x:c>
      <x:c r="D577" s="10" t="n">
        <x:v>1</x:v>
      </x:c>
      <x:c r="E577" s="10"/>
      <x:c r="F577" s="10" t="n">
        <x:v>9</x:v>
      </x:c>
      <x:c r="G577" s="10" t="n">
        <x:v>0</x:v>
      </x:c>
      <x:c r="H577" s="10" t="str">
        <x:f>IF(G577=1,E577-D577,"")</x:f>
      </x:c>
      <x:c r="I577" s="10" t="n">
        <x:f>MIN(F577,9)</x:f>
        <x:v>9</x:v>
      </x:c>
      <x:c r="J577" s="19" t="n">
        <x:v>0.4</x:v>
      </x:c>
      <x:c r="K577" s="2" t="n">
        <x:v>4</x:v>
      </x:c>
      <x:c r="L577" s="19" t="n">
        <x:v>0.2</x:v>
      </x:c>
      <x:c r="M577" s="19" t="n">
        <x:v>0.25</x:v>
      </x:c>
    </x:row>
    <x:row r="578" ht="23" customHeight="1">
      <x:c r="A578" s="2" t="str">
        <x:v>D040_T04_C020_G025</x:v>
      </x:c>
      <x:c r="B578" s="2" t="str">
        <x:v>A0019</x:v>
      </x:c>
      <x:c r="C578" s="2" t="str">
        <x:v>圈内</x:v>
      </x:c>
      <x:c r="D578" s="10" t="n">
        <x:v>1</x:v>
      </x:c>
      <x:c r="E578" s="10"/>
      <x:c r="F578" s="10" t="n">
        <x:v>9</x:v>
      </x:c>
      <x:c r="G578" s="10" t="n">
        <x:v>0</x:v>
      </x:c>
      <x:c r="H578" s="10" t="str">
        <x:f>IF(G578=1,E578-D578,"")</x:f>
      </x:c>
      <x:c r="I578" s="10" t="n">
        <x:f>MIN(F578,9)</x:f>
        <x:v>9</x:v>
      </x:c>
      <x:c r="J578" s="19" t="n">
        <x:v>0.4</x:v>
      </x:c>
      <x:c r="K578" s="2" t="n">
        <x:v>4</x:v>
      </x:c>
      <x:c r="L578" s="19" t="n">
        <x:v>0.2</x:v>
      </x:c>
      <x:c r="M578" s="19" t="n">
        <x:v>0.25</x:v>
      </x:c>
    </x:row>
    <x:row r="579" ht="23" customHeight="1">
      <x:c r="A579" s="2" t="str">
        <x:v>D040_T04_C020_G025</x:v>
      </x:c>
      <x:c r="B579" s="2" t="str">
        <x:v>A0020</x:v>
      </x:c>
      <x:c r="C579" s="2" t="str">
        <x:v>圈内</x:v>
      </x:c>
      <x:c r="D579" s="10" t="n">
        <x:v>1</x:v>
      </x:c>
      <x:c r="E579" s="10" t="n">
        <x:v>9</x:v>
      </x:c>
      <x:c r="F579" s="10" t="n">
        <x:v>8</x:v>
      </x:c>
      <x:c r="G579" s="10" t="n">
        <x:v>1</x:v>
      </x:c>
      <x:c r="H579" s="10" t="n">
        <x:f>IF(G579=1,E579-D579,"")</x:f>
        <x:v>8</x:v>
      </x:c>
      <x:c r="I579" s="10" t="n">
        <x:f>MIN(F579,9)</x:f>
        <x:v>8</x:v>
      </x:c>
      <x:c r="J579" s="19" t="n">
        <x:v>0.4</x:v>
      </x:c>
      <x:c r="K579" s="2" t="n">
        <x:v>4</x:v>
      </x:c>
      <x:c r="L579" s="19" t="n">
        <x:v>0.2</x:v>
      </x:c>
      <x:c r="M579" s="19" t="n">
        <x:v>0.25</x:v>
      </x:c>
    </x:row>
    <x:row r="580" ht="23" customHeight="1">
      <x:c r="A580" s="2" t="str">
        <x:v>D040_T04_C020_G025</x:v>
      </x:c>
      <x:c r="B580" s="2" t="str">
        <x:v>A0022</x:v>
      </x:c>
      <x:c r="C580" s="2" t="str">
        <x:v>圈内</x:v>
      </x:c>
      <x:c r="D580" s="10" t="n">
        <x:v>1</x:v>
      </x:c>
      <x:c r="E580" s="10" t="n">
        <x:v>10</x:v>
      </x:c>
      <x:c r="F580" s="10" t="n">
        <x:v>9</x:v>
      </x:c>
      <x:c r="G580" s="10" t="n">
        <x:v>1</x:v>
      </x:c>
      <x:c r="H580" s="10" t="n">
        <x:f>IF(G580=1,E580-D580,"")</x:f>
        <x:v>9</x:v>
      </x:c>
      <x:c r="I580" s="10" t="n">
        <x:f>MIN(F580,9)</x:f>
        <x:v>9</x:v>
      </x:c>
      <x:c r="J580" s="19" t="n">
        <x:v>0.4</x:v>
      </x:c>
      <x:c r="K580" s="2" t="n">
        <x:v>4</x:v>
      </x:c>
      <x:c r="L580" s="19" t="n">
        <x:v>0.2</x:v>
      </x:c>
      <x:c r="M580" s="19" t="n">
        <x:v>0.25</x:v>
      </x:c>
    </x:row>
    <x:row r="581" ht="23" customHeight="1">
      <x:c r="A581" s="2" t="str">
        <x:v>D040_T04_C020_G025</x:v>
      </x:c>
      <x:c r="B581" s="2" t="str">
        <x:v>A0024</x:v>
      </x:c>
      <x:c r="C581" s="2" t="str">
        <x:v>圈内</x:v>
      </x:c>
      <x:c r="D581" s="10" t="n">
        <x:v>1</x:v>
      </x:c>
      <x:c r="E581" s="10"/>
      <x:c r="F581" s="10" t="n">
        <x:v>9</x:v>
      </x:c>
      <x:c r="G581" s="10" t="n">
        <x:v>0</x:v>
      </x:c>
      <x:c r="H581" s="10" t="str">
        <x:f>IF(G581=1,E581-D581,"")</x:f>
      </x:c>
      <x:c r="I581" s="10" t="n">
        <x:f>MIN(F581,9)</x:f>
        <x:v>9</x:v>
      </x:c>
      <x:c r="J581" s="19" t="n">
        <x:v>0.4</x:v>
      </x:c>
      <x:c r="K581" s="2" t="n">
        <x:v>4</x:v>
      </x:c>
      <x:c r="L581" s="19" t="n">
        <x:v>0.2</x:v>
      </x:c>
      <x:c r="M581" s="19" t="n">
        <x:v>0.25</x:v>
      </x:c>
    </x:row>
    <x:row r="582" ht="23" customHeight="1">
      <x:c r="A582" s="2" t="str">
        <x:v>D040_T04_C020_G025</x:v>
      </x:c>
      <x:c r="B582" s="2" t="str">
        <x:v>A0025</x:v>
      </x:c>
      <x:c r="C582" s="2" t="str">
        <x:v>圈内</x:v>
      </x:c>
      <x:c r="D582" s="10" t="n">
        <x:v>1</x:v>
      </x:c>
      <x:c r="E582" s="10"/>
      <x:c r="F582" s="10" t="n">
        <x:v>9</x:v>
      </x:c>
      <x:c r="G582" s="10" t="n">
        <x:v>0</x:v>
      </x:c>
      <x:c r="H582" s="10" t="str">
        <x:f>IF(G582=1,E582-D582,"")</x:f>
      </x:c>
      <x:c r="I582" s="10" t="n">
        <x:f>MIN(F582,9)</x:f>
        <x:v>9</x:v>
      </x:c>
      <x:c r="J582" s="19" t="n">
        <x:v>0.4</x:v>
      </x:c>
      <x:c r="K582" s="2" t="n">
        <x:v>4</x:v>
      </x:c>
      <x:c r="L582" s="19" t="n">
        <x:v>0.2</x:v>
      </x:c>
      <x:c r="M582" s="19" t="n">
        <x:v>0.25</x:v>
      </x:c>
    </x:row>
    <x:row r="583" ht="23" customHeight="1">
      <x:c r="A583" s="2" t="str">
        <x:v>D040_T04_C020_G025</x:v>
      </x:c>
      <x:c r="B583" s="2" t="str">
        <x:v>A0026</x:v>
      </x:c>
      <x:c r="C583" s="2" t="str">
        <x:v>圈内</x:v>
      </x:c>
      <x:c r="D583" s="10" t="n">
        <x:v>1</x:v>
      </x:c>
      <x:c r="E583" s="10"/>
      <x:c r="F583" s="10" t="n">
        <x:v>9</x:v>
      </x:c>
      <x:c r="G583" s="10" t="n">
        <x:v>0</x:v>
      </x:c>
      <x:c r="H583" s="10" t="str">
        <x:f>IF(G583=1,E583-D583,"")</x:f>
      </x:c>
      <x:c r="I583" s="10" t="n">
        <x:f>MIN(F583,9)</x:f>
        <x:v>9</x:v>
      </x:c>
      <x:c r="J583" s="19" t="n">
        <x:v>0.4</x:v>
      </x:c>
      <x:c r="K583" s="2" t="n">
        <x:v>4</x:v>
      </x:c>
      <x:c r="L583" s="19" t="n">
        <x:v>0.2</x:v>
      </x:c>
      <x:c r="M583" s="19" t="n">
        <x:v>0.25</x:v>
      </x:c>
    </x:row>
    <x:row r="584" ht="23" customHeight="1">
      <x:c r="A584" s="2" t="str">
        <x:v>D040_T04_C020_G025</x:v>
      </x:c>
      <x:c r="B584" s="2" t="str">
        <x:v>A0027</x:v>
      </x:c>
      <x:c r="C584" s="2" t="str">
        <x:v>圈内</x:v>
      </x:c>
      <x:c r="D584" s="10" t="n">
        <x:v>1</x:v>
      </x:c>
      <x:c r="E584" s="10"/>
      <x:c r="F584" s="10" t="n">
        <x:v>9</x:v>
      </x:c>
      <x:c r="G584" s="10" t="n">
        <x:v>0</x:v>
      </x:c>
      <x:c r="H584" s="10" t="str">
        <x:f>IF(G584=1,E584-D584,"")</x:f>
      </x:c>
      <x:c r="I584" s="10" t="n">
        <x:f>MIN(F584,9)</x:f>
        <x:v>9</x:v>
      </x:c>
      <x:c r="J584" s="19" t="n">
        <x:v>0.4</x:v>
      </x:c>
      <x:c r="K584" s="2" t="n">
        <x:v>4</x:v>
      </x:c>
      <x:c r="L584" s="19" t="n">
        <x:v>0.2</x:v>
      </x:c>
      <x:c r="M584" s="19" t="n">
        <x:v>0.25</x:v>
      </x:c>
    </x:row>
    <x:row r="585" ht="23" customHeight="1">
      <x:c r="A585" s="2" t="str">
        <x:v>D040_T04_C020_G025</x:v>
      </x:c>
      <x:c r="B585" s="2" t="str">
        <x:v>A0030</x:v>
      </x:c>
      <x:c r="C585" s="2" t="str">
        <x:v>圈内</x:v>
      </x:c>
      <x:c r="D585" s="10" t="n">
        <x:v>1</x:v>
      </x:c>
      <x:c r="E585" s="10"/>
      <x:c r="F585" s="10" t="n">
        <x:v>9</x:v>
      </x:c>
      <x:c r="G585" s="10" t="n">
        <x:v>0</x:v>
      </x:c>
      <x:c r="H585" s="10" t="str">
        <x:f>IF(G585=1,E585-D585,"")</x:f>
      </x:c>
      <x:c r="I585" s="10" t="n">
        <x:f>MIN(F585,9)</x:f>
        <x:v>9</x:v>
      </x:c>
      <x:c r="J585" s="19" t="n">
        <x:v>0.4</x:v>
      </x:c>
      <x:c r="K585" s="2" t="n">
        <x:v>4</x:v>
      </x:c>
      <x:c r="L585" s="19" t="n">
        <x:v>0.2</x:v>
      </x:c>
      <x:c r="M585" s="19" t="n">
        <x:v>0.25</x:v>
      </x:c>
    </x:row>
    <x:row r="586" ht="23" customHeight="1">
      <x:c r="A586" s="2" t="str">
        <x:v>D040_T04_C020_G025</x:v>
      </x:c>
      <x:c r="B586" s="2" t="str">
        <x:v>A0031</x:v>
      </x:c>
      <x:c r="C586" s="2" t="str">
        <x:v>圈内</x:v>
      </x:c>
      <x:c r="D586" s="10" t="n">
        <x:v>1</x:v>
      </x:c>
      <x:c r="E586" s="10" t="n">
        <x:v>5</x:v>
      </x:c>
      <x:c r="F586" s="10" t="n">
        <x:v>4</x:v>
      </x:c>
      <x:c r="G586" s="10" t="n">
        <x:v>1</x:v>
      </x:c>
      <x:c r="H586" s="10" t="n">
        <x:f>IF(G586=1,E586-D586,"")</x:f>
        <x:v>4</x:v>
      </x:c>
      <x:c r="I586" s="10" t="n">
        <x:f>MIN(F586,9)</x:f>
        <x:v>4</x:v>
      </x:c>
      <x:c r="J586" s="19" t="n">
        <x:v>0.4</x:v>
      </x:c>
      <x:c r="K586" s="2" t="n">
        <x:v>4</x:v>
      </x:c>
      <x:c r="L586" s="19" t="n">
        <x:v>0.2</x:v>
      </x:c>
      <x:c r="M586" s="19" t="n">
        <x:v>0.25</x:v>
      </x:c>
    </x:row>
    <x:row r="587" ht="23" customHeight="1">
      <x:c r="A587" s="2" t="str">
        <x:v>D040_T04_C020_G025</x:v>
      </x:c>
      <x:c r="B587" s="2" t="str">
        <x:v>A0032</x:v>
      </x:c>
      <x:c r="C587" s="2" t="str">
        <x:v>圈内</x:v>
      </x:c>
      <x:c r="D587" s="10" t="n">
        <x:v>1</x:v>
      </x:c>
      <x:c r="E587" s="10"/>
      <x:c r="F587" s="10" t="n">
        <x:v>9</x:v>
      </x:c>
      <x:c r="G587" s="10" t="n">
        <x:v>0</x:v>
      </x:c>
      <x:c r="H587" s="10" t="str">
        <x:f>IF(G587=1,E587-D587,"")</x:f>
      </x:c>
      <x:c r="I587" s="10" t="n">
        <x:f>MIN(F587,9)</x:f>
        <x:v>9</x:v>
      </x:c>
      <x:c r="J587" s="19" t="n">
        <x:v>0.4</x:v>
      </x:c>
      <x:c r="K587" s="2" t="n">
        <x:v>4</x:v>
      </x:c>
      <x:c r="L587" s="19" t="n">
        <x:v>0.2</x:v>
      </x:c>
      <x:c r="M587" s="19" t="n">
        <x:v>0.25</x:v>
      </x:c>
    </x:row>
    <x:row r="588" ht="23" customHeight="1">
      <x:c r="A588" s="2" t="str">
        <x:v>D040_T04_C020_G025</x:v>
      </x:c>
      <x:c r="B588" s="2" t="str">
        <x:v>A0033</x:v>
      </x:c>
      <x:c r="C588" s="2" t="str">
        <x:v>圈内</x:v>
      </x:c>
      <x:c r="D588" s="10" t="n">
        <x:v>1</x:v>
      </x:c>
      <x:c r="E588" s="10" t="n">
        <x:v>8</x:v>
      </x:c>
      <x:c r="F588" s="10" t="n">
        <x:v>7</x:v>
      </x:c>
      <x:c r="G588" s="10" t="n">
        <x:v>1</x:v>
      </x:c>
      <x:c r="H588" s="10" t="n">
        <x:f>IF(G588=1,E588-D588,"")</x:f>
        <x:v>7</x:v>
      </x:c>
      <x:c r="I588" s="10" t="n">
        <x:f>MIN(F588,9)</x:f>
        <x:v>7</x:v>
      </x:c>
      <x:c r="J588" s="19" t="n">
        <x:v>0.4</x:v>
      </x:c>
      <x:c r="K588" s="2" t="n">
        <x:v>4</x:v>
      </x:c>
      <x:c r="L588" s="19" t="n">
        <x:v>0.2</x:v>
      </x:c>
      <x:c r="M588" s="19" t="n">
        <x:v>0.25</x:v>
      </x:c>
    </x:row>
    <x:row r="589" ht="23" customHeight="1">
      <x:c r="A589" s="2" t="str">
        <x:v>D040_T04_C020_G025</x:v>
      </x:c>
      <x:c r="B589" s="2" t="str">
        <x:v>A0035</x:v>
      </x:c>
      <x:c r="C589" s="2" t="str">
        <x:v>圈内</x:v>
      </x:c>
      <x:c r="D589" s="10" t="n">
        <x:v>1</x:v>
      </x:c>
      <x:c r="E589" s="10"/>
      <x:c r="F589" s="10" t="n">
        <x:v>9</x:v>
      </x:c>
      <x:c r="G589" s="10" t="n">
        <x:v>0</x:v>
      </x:c>
      <x:c r="H589" s="10" t="str">
        <x:f>IF(G589=1,E589-D589,"")</x:f>
      </x:c>
      <x:c r="I589" s="10" t="n">
        <x:f>MIN(F589,9)</x:f>
        <x:v>9</x:v>
      </x:c>
      <x:c r="J589" s="19" t="n">
        <x:v>0.4</x:v>
      </x:c>
      <x:c r="K589" s="2" t="n">
        <x:v>4</x:v>
      </x:c>
      <x:c r="L589" s="19" t="n">
        <x:v>0.2</x:v>
      </x:c>
      <x:c r="M589" s="19" t="n">
        <x:v>0.25</x:v>
      </x:c>
    </x:row>
    <x:row r="590" ht="23" customHeight="1">
      <x:c r="A590" s="2" t="str">
        <x:v>D040_T04_C020_G025</x:v>
      </x:c>
      <x:c r="B590" s="2" t="str">
        <x:v>A0036</x:v>
      </x:c>
      <x:c r="C590" s="2" t="str">
        <x:v>圈内</x:v>
      </x:c>
      <x:c r="D590" s="10" t="n">
        <x:v>1</x:v>
      </x:c>
      <x:c r="E590" s="10"/>
      <x:c r="F590" s="10" t="n">
        <x:v>9</x:v>
      </x:c>
      <x:c r="G590" s="10" t="n">
        <x:v>0</x:v>
      </x:c>
      <x:c r="H590" s="10" t="str">
        <x:f>IF(G590=1,E590-D590,"")</x:f>
      </x:c>
      <x:c r="I590" s="10" t="n">
        <x:f>MIN(F590,9)</x:f>
        <x:v>9</x:v>
      </x:c>
      <x:c r="J590" s="19" t="n">
        <x:v>0.4</x:v>
      </x:c>
      <x:c r="K590" s="2" t="n">
        <x:v>4</x:v>
      </x:c>
      <x:c r="L590" s="19" t="n">
        <x:v>0.2</x:v>
      </x:c>
      <x:c r="M590" s="19" t="n">
        <x:v>0.25</x:v>
      </x:c>
    </x:row>
    <x:row r="591" ht="23" customHeight="1">
      <x:c r="A591" s="2" t="str">
        <x:v>D040_T04_C020_G025</x:v>
      </x:c>
      <x:c r="B591" s="2" t="str">
        <x:v>A0037</x:v>
      </x:c>
      <x:c r="C591" s="2" t="str">
        <x:v>圈内</x:v>
      </x:c>
      <x:c r="D591" s="10" t="n">
        <x:v>1</x:v>
      </x:c>
      <x:c r="E591" s="10"/>
      <x:c r="F591" s="10" t="n">
        <x:v>9</x:v>
      </x:c>
      <x:c r="G591" s="10" t="n">
        <x:v>0</x:v>
      </x:c>
      <x:c r="H591" s="10" t="str">
        <x:f>IF(G591=1,E591-D591,"")</x:f>
      </x:c>
      <x:c r="I591" s="10" t="n">
        <x:f>MIN(F591,9)</x:f>
        <x:v>9</x:v>
      </x:c>
      <x:c r="J591" s="19" t="n">
        <x:v>0.4</x:v>
      </x:c>
      <x:c r="K591" s="2" t="n">
        <x:v>4</x:v>
      </x:c>
      <x:c r="L591" s="19" t="n">
        <x:v>0.2</x:v>
      </x:c>
      <x:c r="M591" s="19" t="n">
        <x:v>0.25</x:v>
      </x:c>
    </x:row>
    <x:row r="592" ht="23" customHeight="1">
      <x:c r="A592" s="2" t="str">
        <x:v>D040_T04_C020_G025</x:v>
      </x:c>
      <x:c r="B592" s="2" t="str">
        <x:v>A0038</x:v>
      </x:c>
      <x:c r="C592" s="2" t="str">
        <x:v>圈内</x:v>
      </x:c>
      <x:c r="D592" s="10" t="n">
        <x:v>1</x:v>
      </x:c>
      <x:c r="E592" s="10" t="n">
        <x:v>10</x:v>
      </x:c>
      <x:c r="F592" s="10" t="n">
        <x:v>9</x:v>
      </x:c>
      <x:c r="G592" s="10" t="n">
        <x:v>1</x:v>
      </x:c>
      <x:c r="H592" s="10" t="n">
        <x:f>IF(G592=1,E592-D592,"")</x:f>
        <x:v>9</x:v>
      </x:c>
      <x:c r="I592" s="10" t="n">
        <x:f>MIN(F592,9)</x:f>
        <x:v>9</x:v>
      </x:c>
      <x:c r="J592" s="19" t="n">
        <x:v>0.4</x:v>
      </x:c>
      <x:c r="K592" s="2" t="n">
        <x:v>4</x:v>
      </x:c>
      <x:c r="L592" s="19" t="n">
        <x:v>0.2</x:v>
      </x:c>
      <x:c r="M592" s="19" t="n">
        <x:v>0.25</x:v>
      </x:c>
    </x:row>
    <x:row r="593" ht="23" customHeight="1">
      <x:c r="A593" s="2" t="str">
        <x:v>D040_T04_C020_G025</x:v>
      </x:c>
      <x:c r="B593" s="2" t="str">
        <x:v>A0040</x:v>
      </x:c>
      <x:c r="C593" s="2" t="str">
        <x:v>圈内</x:v>
      </x:c>
      <x:c r="D593" s="10" t="n">
        <x:v>1</x:v>
      </x:c>
      <x:c r="E593" s="10"/>
      <x:c r="F593" s="10" t="n">
        <x:v>9</x:v>
      </x:c>
      <x:c r="G593" s="10" t="n">
        <x:v>0</x:v>
      </x:c>
      <x:c r="H593" s="10" t="str">
        <x:f>IF(G593=1,E593-D593,"")</x:f>
      </x:c>
      <x:c r="I593" s="10" t="n">
        <x:f>MIN(F593,9)</x:f>
        <x:v>9</x:v>
      </x:c>
      <x:c r="J593" s="19" t="n">
        <x:v>0.4</x:v>
      </x:c>
      <x:c r="K593" s="2" t="n">
        <x:v>4</x:v>
      </x:c>
      <x:c r="L593" s="19" t="n">
        <x:v>0.2</x:v>
      </x:c>
      <x:c r="M593" s="19" t="n">
        <x:v>0.25</x:v>
      </x:c>
    </x:row>
    <x:row r="594" ht="23" customHeight="1">
      <x:c r="A594" s="2" t="str">
        <x:v>D040_T04_C020_G025</x:v>
      </x:c>
      <x:c r="B594" s="2" t="str">
        <x:v>A0041</x:v>
      </x:c>
      <x:c r="C594" s="2" t="str">
        <x:v>圈内</x:v>
      </x:c>
      <x:c r="D594" s="10" t="n">
        <x:v>1</x:v>
      </x:c>
      <x:c r="E594" s="10"/>
      <x:c r="F594" s="10" t="n">
        <x:v>9</x:v>
      </x:c>
      <x:c r="G594" s="10" t="n">
        <x:v>0</x:v>
      </x:c>
      <x:c r="H594" s="10" t="str">
        <x:f>IF(G594=1,E594-D594,"")</x:f>
      </x:c>
      <x:c r="I594" s="10" t="n">
        <x:f>MIN(F594,9)</x:f>
        <x:v>9</x:v>
      </x:c>
      <x:c r="J594" s="19" t="n">
        <x:v>0.4</x:v>
      </x:c>
      <x:c r="K594" s="2" t="n">
        <x:v>4</x:v>
      </x:c>
      <x:c r="L594" s="19" t="n">
        <x:v>0.2</x:v>
      </x:c>
      <x:c r="M594" s="19" t="n">
        <x:v>0.25</x:v>
      </x:c>
    </x:row>
    <x:row r="595" ht="23" customHeight="1">
      <x:c r="A595" s="2" t="str">
        <x:v>D040_T04_C020_G025</x:v>
      </x:c>
      <x:c r="B595" s="2" t="str">
        <x:v>A0071</x:v>
      </x:c>
      <x:c r="C595" s="2" t="str">
        <x:v>圈内</x:v>
      </x:c>
      <x:c r="D595" s="10" t="n">
        <x:v>1</x:v>
      </x:c>
      <x:c r="E595" s="10"/>
      <x:c r="F595" s="10" t="n">
        <x:v>9</x:v>
      </x:c>
      <x:c r="G595" s="10" t="n">
        <x:v>0</x:v>
      </x:c>
      <x:c r="H595" s="10" t="str">
        <x:f>IF(G595=1,E595-D595,"")</x:f>
      </x:c>
      <x:c r="I595" s="10" t="n">
        <x:f>MIN(F595,9)</x:f>
        <x:v>9</x:v>
      </x:c>
      <x:c r="J595" s="19" t="n">
        <x:v>0.4</x:v>
      </x:c>
      <x:c r="K595" s="2" t="n">
        <x:v>4</x:v>
      </x:c>
      <x:c r="L595" s="19" t="n">
        <x:v>0.2</x:v>
      </x:c>
      <x:c r="M595" s="19" t="n">
        <x:v>0.25</x:v>
      </x:c>
    </x:row>
    <x:row r="596" ht="23" customHeight="1">
      <x:c r="A596" s="2" t="str">
        <x:v>D040_T04_C020_G025</x:v>
      </x:c>
      <x:c r="B596" s="2" t="str">
        <x:v>A0206</x:v>
      </x:c>
      <x:c r="C596" s="2" t="str">
        <x:v>圈内</x:v>
      </x:c>
      <x:c r="D596" s="10" t="n">
        <x:v>1</x:v>
      </x:c>
      <x:c r="E596" s="10" t="n">
        <x:v>4</x:v>
      </x:c>
      <x:c r="F596" s="10" t="n">
        <x:v>3</x:v>
      </x:c>
      <x:c r="G596" s="10" t="n">
        <x:v>1</x:v>
      </x:c>
      <x:c r="H596" s="10" t="n">
        <x:f>IF(G596=1,E596-D596,"")</x:f>
        <x:v>3</x:v>
      </x:c>
      <x:c r="I596" s="10" t="n">
        <x:f>MIN(F596,9)</x:f>
        <x:v>3</x:v>
      </x:c>
      <x:c r="J596" s="19" t="n">
        <x:v>0.4</x:v>
      </x:c>
      <x:c r="K596" s="2" t="n">
        <x:v>4</x:v>
      </x:c>
      <x:c r="L596" s="19" t="n">
        <x:v>0.2</x:v>
      </x:c>
      <x:c r="M596" s="19" t="n">
        <x:v>0.25</x:v>
      </x:c>
    </x:row>
    <x:row r="597" ht="23" customHeight="1">
      <x:c r="A597" s="2" t="str">
        <x:v>D040_T04_C020_G050</x:v>
      </x:c>
      <x:c r="B597" s="2" t="str">
        <x:v>A0005</x:v>
      </x:c>
      <x:c r="C597" s="2" t="str">
        <x:v>圈内</x:v>
      </x:c>
      <x:c r="D597" s="10" t="n">
        <x:v>1</x:v>
      </x:c>
      <x:c r="E597" s="10" t="n">
        <x:v>5</x:v>
      </x:c>
      <x:c r="F597" s="10" t="n">
        <x:v>4</x:v>
      </x:c>
      <x:c r="G597" s="10" t="n">
        <x:v>1</x:v>
      </x:c>
      <x:c r="H597" s="10" t="n">
        <x:f>IF(G597=1,E597-D597,"")</x:f>
        <x:v>4</x:v>
      </x:c>
      <x:c r="I597" s="10" t="n">
        <x:f>MIN(F597,9)</x:f>
        <x:v>4</x:v>
      </x:c>
      <x:c r="J597" s="19" t="n">
        <x:v>0.4</x:v>
      </x:c>
      <x:c r="K597" s="2" t="n">
        <x:v>4</x:v>
      </x:c>
      <x:c r="L597" s="19" t="n">
        <x:v>0.2</x:v>
      </x:c>
      <x:c r="M597" s="19" t="n">
        <x:v>0.5</x:v>
      </x:c>
    </x:row>
    <x:row r="598" ht="23" customHeight="1">
      <x:c r="A598" s="2" t="str">
        <x:v>D040_T04_C020_G050</x:v>
      </x:c>
      <x:c r="B598" s="2" t="str">
        <x:v>A0009</x:v>
      </x:c>
      <x:c r="C598" s="2" t="str">
        <x:v>圈内</x:v>
      </x:c>
      <x:c r="D598" s="10" t="n">
        <x:v>1</x:v>
      </x:c>
      <x:c r="E598" s="10" t="n">
        <x:v>6</x:v>
      </x:c>
      <x:c r="F598" s="10" t="n">
        <x:v>5</x:v>
      </x:c>
      <x:c r="G598" s="10" t="n">
        <x:v>1</x:v>
      </x:c>
      <x:c r="H598" s="10" t="n">
        <x:f>IF(G598=1,E598-D598,"")</x:f>
        <x:v>5</x:v>
      </x:c>
      <x:c r="I598" s="10" t="n">
        <x:f>MIN(F598,9)</x:f>
        <x:v>5</x:v>
      </x:c>
      <x:c r="J598" s="19" t="n">
        <x:v>0.4</x:v>
      </x:c>
      <x:c r="K598" s="2" t="n">
        <x:v>4</x:v>
      </x:c>
      <x:c r="L598" s="19" t="n">
        <x:v>0.2</x:v>
      </x:c>
      <x:c r="M598" s="19" t="n">
        <x:v>0.5</x:v>
      </x:c>
    </x:row>
    <x:row r="599" ht="23" customHeight="1">
      <x:c r="A599" s="2" t="str">
        <x:v>D040_T04_C020_G050</x:v>
      </x:c>
      <x:c r="B599" s="2" t="str">
        <x:v>A0011</x:v>
      </x:c>
      <x:c r="C599" s="2" t="str">
        <x:v>圈内</x:v>
      </x:c>
      <x:c r="D599" s="10" t="n">
        <x:v>1</x:v>
      </x:c>
      <x:c r="E599" s="10" t="n">
        <x:v>5</x:v>
      </x:c>
      <x:c r="F599" s="10" t="n">
        <x:v>4</x:v>
      </x:c>
      <x:c r="G599" s="10" t="n">
        <x:v>1</x:v>
      </x:c>
      <x:c r="H599" s="10" t="n">
        <x:f>IF(G599=1,E599-D599,"")</x:f>
        <x:v>4</x:v>
      </x:c>
      <x:c r="I599" s="10" t="n">
        <x:f>MIN(F599,9)</x:f>
        <x:v>4</x:v>
      </x:c>
      <x:c r="J599" s="19" t="n">
        <x:v>0.4</x:v>
      </x:c>
      <x:c r="K599" s="2" t="n">
        <x:v>4</x:v>
      </x:c>
      <x:c r="L599" s="19" t="n">
        <x:v>0.2</x:v>
      </x:c>
      <x:c r="M599" s="19" t="n">
        <x:v>0.5</x:v>
      </x:c>
    </x:row>
    <x:row r="600" ht="23" customHeight="1">
      <x:c r="A600" s="2" t="str">
        <x:v>D040_T04_C020_G050</x:v>
      </x:c>
      <x:c r="B600" s="2" t="str">
        <x:v>A0012</x:v>
      </x:c>
      <x:c r="C600" s="2" t="str">
        <x:v>圈内</x:v>
      </x:c>
      <x:c r="D600" s="10" t="n">
        <x:v>1</x:v>
      </x:c>
      <x:c r="E600" s="10" t="n">
        <x:v>6</x:v>
      </x:c>
      <x:c r="F600" s="10" t="n">
        <x:v>5</x:v>
      </x:c>
      <x:c r="G600" s="10" t="n">
        <x:v>1</x:v>
      </x:c>
      <x:c r="H600" s="10" t="n">
        <x:f>IF(G600=1,E600-D600,"")</x:f>
        <x:v>5</x:v>
      </x:c>
      <x:c r="I600" s="10" t="n">
        <x:f>MIN(F600,9)</x:f>
        <x:v>5</x:v>
      </x:c>
      <x:c r="J600" s="19" t="n">
        <x:v>0.4</x:v>
      </x:c>
      <x:c r="K600" s="2" t="n">
        <x:v>4</x:v>
      </x:c>
      <x:c r="L600" s="19" t="n">
        <x:v>0.2</x:v>
      </x:c>
      <x:c r="M600" s="19" t="n">
        <x:v>0.5</x:v>
      </x:c>
    </x:row>
    <x:row r="601" ht="23" customHeight="1">
      <x:c r="A601" s="2" t="str">
        <x:v>D040_T04_C020_G050</x:v>
      </x:c>
      <x:c r="B601" s="2" t="str">
        <x:v>A0013</x:v>
      </x:c>
      <x:c r="C601" s="2" t="str">
        <x:v>圈内</x:v>
      </x:c>
      <x:c r="D601" s="10" t="n">
        <x:v>1</x:v>
      </x:c>
      <x:c r="E601" s="10" t="n">
        <x:v>4</x:v>
      </x:c>
      <x:c r="F601" s="10" t="n">
        <x:v>3</x:v>
      </x:c>
      <x:c r="G601" s="10" t="n">
        <x:v>1</x:v>
      </x:c>
      <x:c r="H601" s="10" t="n">
        <x:f>IF(G601=1,E601-D601,"")</x:f>
        <x:v>3</x:v>
      </x:c>
      <x:c r="I601" s="10" t="n">
        <x:f>MIN(F601,9)</x:f>
        <x:v>3</x:v>
      </x:c>
      <x:c r="J601" s="19" t="n">
        <x:v>0.4</x:v>
      </x:c>
      <x:c r="K601" s="2" t="n">
        <x:v>4</x:v>
      </x:c>
      <x:c r="L601" s="19" t="n">
        <x:v>0.2</x:v>
      </x:c>
      <x:c r="M601" s="19" t="n">
        <x:v>0.5</x:v>
      </x:c>
    </x:row>
    <x:row r="602" ht="23" customHeight="1">
      <x:c r="A602" s="2" t="str">
        <x:v>D040_T04_C020_G050</x:v>
      </x:c>
      <x:c r="B602" s="2" t="str">
        <x:v>A0014</x:v>
      </x:c>
      <x:c r="C602" s="2" t="str">
        <x:v>圈内</x:v>
      </x:c>
      <x:c r="D602" s="10" t="n">
        <x:v>1</x:v>
      </x:c>
      <x:c r="E602" s="10" t="n">
        <x:v>4</x:v>
      </x:c>
      <x:c r="F602" s="10" t="n">
        <x:v>3</x:v>
      </x:c>
      <x:c r="G602" s="10" t="n">
        <x:v>1</x:v>
      </x:c>
      <x:c r="H602" s="10" t="n">
        <x:f>IF(G602=1,E602-D602,"")</x:f>
        <x:v>3</x:v>
      </x:c>
      <x:c r="I602" s="10" t="n">
        <x:f>MIN(F602,9)</x:f>
        <x:v>3</x:v>
      </x:c>
      <x:c r="J602" s="19" t="n">
        <x:v>0.4</x:v>
      </x:c>
      <x:c r="K602" s="2" t="n">
        <x:v>4</x:v>
      </x:c>
      <x:c r="L602" s="19" t="n">
        <x:v>0.2</x:v>
      </x:c>
      <x:c r="M602" s="19" t="n">
        <x:v>0.5</x:v>
      </x:c>
    </x:row>
    <x:row r="603" ht="23" customHeight="1">
      <x:c r="A603" s="2" t="str">
        <x:v>D040_T04_C020_G050</x:v>
      </x:c>
      <x:c r="B603" s="2" t="str">
        <x:v>A0015</x:v>
      </x:c>
      <x:c r="C603" s="2" t="str">
        <x:v>圈内</x:v>
      </x:c>
      <x:c r="D603" s="10" t="n">
        <x:v>1</x:v>
      </x:c>
      <x:c r="E603" s="10" t="n">
        <x:v>7</x:v>
      </x:c>
      <x:c r="F603" s="10" t="n">
        <x:v>6</x:v>
      </x:c>
      <x:c r="G603" s="10" t="n">
        <x:v>1</x:v>
      </x:c>
      <x:c r="H603" s="10" t="n">
        <x:f>IF(G603=1,E603-D603,"")</x:f>
        <x:v>6</x:v>
      </x:c>
      <x:c r="I603" s="10" t="n">
        <x:f>MIN(F603,9)</x:f>
        <x:v>6</x:v>
      </x:c>
      <x:c r="J603" s="19" t="n">
        <x:v>0.4</x:v>
      </x:c>
      <x:c r="K603" s="2" t="n">
        <x:v>4</x:v>
      </x:c>
      <x:c r="L603" s="19" t="n">
        <x:v>0.2</x:v>
      </x:c>
      <x:c r="M603" s="19" t="n">
        <x:v>0.5</x:v>
      </x:c>
    </x:row>
    <x:row r="604" ht="23" customHeight="1">
      <x:c r="A604" s="2" t="str">
        <x:v>D040_T04_C020_G050</x:v>
      </x:c>
      <x:c r="B604" s="2" t="str">
        <x:v>A0016</x:v>
      </x:c>
      <x:c r="C604" s="2" t="str">
        <x:v>圈内</x:v>
      </x:c>
      <x:c r="D604" s="10" t="n">
        <x:v>1</x:v>
      </x:c>
      <x:c r="E604" s="10" t="n">
        <x:v>6</x:v>
      </x:c>
      <x:c r="F604" s="10" t="n">
        <x:v>5</x:v>
      </x:c>
      <x:c r="G604" s="10" t="n">
        <x:v>1</x:v>
      </x:c>
      <x:c r="H604" s="10" t="n">
        <x:f>IF(G604=1,E604-D604,"")</x:f>
        <x:v>5</x:v>
      </x:c>
      <x:c r="I604" s="10" t="n">
        <x:f>MIN(F604,9)</x:f>
        <x:v>5</x:v>
      </x:c>
      <x:c r="J604" s="19" t="n">
        <x:v>0.4</x:v>
      </x:c>
      <x:c r="K604" s="2" t="n">
        <x:v>4</x:v>
      </x:c>
      <x:c r="L604" s="19" t="n">
        <x:v>0.2</x:v>
      </x:c>
      <x:c r="M604" s="19" t="n">
        <x:v>0.5</x:v>
      </x:c>
    </x:row>
    <x:row r="605" ht="23" customHeight="1">
      <x:c r="A605" s="2" t="str">
        <x:v>D040_T04_C020_G050</x:v>
      </x:c>
      <x:c r="B605" s="2" t="str">
        <x:v>A0017</x:v>
      </x:c>
      <x:c r="C605" s="2" t="str">
        <x:v>圈内</x:v>
      </x:c>
      <x:c r="D605" s="10" t="n">
        <x:v>1</x:v>
      </x:c>
      <x:c r="E605" s="10" t="n">
        <x:v>6</x:v>
      </x:c>
      <x:c r="F605" s="10" t="n">
        <x:v>5</x:v>
      </x:c>
      <x:c r="G605" s="10" t="n">
        <x:v>1</x:v>
      </x:c>
      <x:c r="H605" s="10" t="n">
        <x:f>IF(G605=1,E605-D605,"")</x:f>
        <x:v>5</x:v>
      </x:c>
      <x:c r="I605" s="10" t="n">
        <x:f>MIN(F605,9)</x:f>
        <x:v>5</x:v>
      </x:c>
      <x:c r="J605" s="19" t="n">
        <x:v>0.4</x:v>
      </x:c>
      <x:c r="K605" s="2" t="n">
        <x:v>4</x:v>
      </x:c>
      <x:c r="L605" s="19" t="n">
        <x:v>0.2</x:v>
      </x:c>
      <x:c r="M605" s="19" t="n">
        <x:v>0.5</x:v>
      </x:c>
    </x:row>
    <x:row r="606" ht="23" customHeight="1">
      <x:c r="A606" s="2" t="str">
        <x:v>D040_T04_C020_G050</x:v>
      </x:c>
      <x:c r="B606" s="2" t="str">
        <x:v>A0018</x:v>
      </x:c>
      <x:c r="C606" s="2" t="str">
        <x:v>圈内</x:v>
      </x:c>
      <x:c r="D606" s="10" t="n">
        <x:v>1</x:v>
      </x:c>
      <x:c r="E606" s="10" t="n">
        <x:v>8</x:v>
      </x:c>
      <x:c r="F606" s="10" t="n">
        <x:v>7</x:v>
      </x:c>
      <x:c r="G606" s="10" t="n">
        <x:v>1</x:v>
      </x:c>
      <x:c r="H606" s="10" t="n">
        <x:f>IF(G606=1,E606-D606,"")</x:f>
        <x:v>7</x:v>
      </x:c>
      <x:c r="I606" s="10" t="n">
        <x:f>MIN(F606,9)</x:f>
        <x:v>7</x:v>
      </x:c>
      <x:c r="J606" s="19" t="n">
        <x:v>0.4</x:v>
      </x:c>
      <x:c r="K606" s="2" t="n">
        <x:v>4</x:v>
      </x:c>
      <x:c r="L606" s="19" t="n">
        <x:v>0.2</x:v>
      </x:c>
      <x:c r="M606" s="19" t="n">
        <x:v>0.5</x:v>
      </x:c>
    </x:row>
    <x:row r="607" ht="23" customHeight="1">
      <x:c r="A607" s="2" t="str">
        <x:v>D040_T04_C020_G050</x:v>
      </x:c>
      <x:c r="B607" s="2" t="str">
        <x:v>A0021</x:v>
      </x:c>
      <x:c r="C607" s="2" t="str">
        <x:v>圈内</x:v>
      </x:c>
      <x:c r="D607" s="10" t="n">
        <x:v>1</x:v>
      </x:c>
      <x:c r="E607" s="10" t="n">
        <x:v>5</x:v>
      </x:c>
      <x:c r="F607" s="10" t="n">
        <x:v>4</x:v>
      </x:c>
      <x:c r="G607" s="10" t="n">
        <x:v>1</x:v>
      </x:c>
      <x:c r="H607" s="10" t="n">
        <x:f>IF(G607=1,E607-D607,"")</x:f>
        <x:v>4</x:v>
      </x:c>
      <x:c r="I607" s="10" t="n">
        <x:f>MIN(F607,9)</x:f>
        <x:v>4</x:v>
      </x:c>
      <x:c r="J607" s="19" t="n">
        <x:v>0.4</x:v>
      </x:c>
      <x:c r="K607" s="2" t="n">
        <x:v>4</x:v>
      </x:c>
      <x:c r="L607" s="19" t="n">
        <x:v>0.2</x:v>
      </x:c>
      <x:c r="M607" s="19" t="n">
        <x:v>0.5</x:v>
      </x:c>
    </x:row>
    <x:row r="608" ht="23" customHeight="1">
      <x:c r="A608" s="2" t="str">
        <x:v>D040_T04_C020_G050</x:v>
      </x:c>
      <x:c r="B608" s="2" t="str">
        <x:v>A0023</x:v>
      </x:c>
      <x:c r="C608" s="2" t="str">
        <x:v>圈内</x:v>
      </x:c>
      <x:c r="D608" s="10" t="n">
        <x:v>1</x:v>
      </x:c>
      <x:c r="E608" s="10" t="n">
        <x:v>5</x:v>
      </x:c>
      <x:c r="F608" s="10" t="n">
        <x:v>4</x:v>
      </x:c>
      <x:c r="G608" s="10" t="n">
        <x:v>1</x:v>
      </x:c>
      <x:c r="H608" s="10" t="n">
        <x:f>IF(G608=1,E608-D608,"")</x:f>
        <x:v>4</x:v>
      </x:c>
      <x:c r="I608" s="10" t="n">
        <x:f>MIN(F608,9)</x:f>
        <x:v>4</x:v>
      </x:c>
      <x:c r="J608" s="19" t="n">
        <x:v>0.4</x:v>
      </x:c>
      <x:c r="K608" s="2" t="n">
        <x:v>4</x:v>
      </x:c>
      <x:c r="L608" s="19" t="n">
        <x:v>0.2</x:v>
      </x:c>
      <x:c r="M608" s="19" t="n">
        <x:v>0.5</x:v>
      </x:c>
    </x:row>
    <x:row r="609" ht="23" customHeight="1">
      <x:c r="A609" s="2" t="str">
        <x:v>D040_T04_C020_G050</x:v>
      </x:c>
      <x:c r="B609" s="2" t="str">
        <x:v>A0024</x:v>
      </x:c>
      <x:c r="C609" s="2" t="str">
        <x:v>圈内</x:v>
      </x:c>
      <x:c r="D609" s="10" t="n">
        <x:v>1</x:v>
      </x:c>
      <x:c r="E609" s="10" t="n">
        <x:v>7</x:v>
      </x:c>
      <x:c r="F609" s="10" t="n">
        <x:v>6</x:v>
      </x:c>
      <x:c r="G609" s="10" t="n">
        <x:v>1</x:v>
      </x:c>
      <x:c r="H609" s="10" t="n">
        <x:f>IF(G609=1,E609-D609,"")</x:f>
        <x:v>6</x:v>
      </x:c>
      <x:c r="I609" s="10" t="n">
        <x:f>MIN(F609,9)</x:f>
        <x:v>6</x:v>
      </x:c>
      <x:c r="J609" s="19" t="n">
        <x:v>0.4</x:v>
      </x:c>
      <x:c r="K609" s="2" t="n">
        <x:v>4</x:v>
      </x:c>
      <x:c r="L609" s="19" t="n">
        <x:v>0.2</x:v>
      </x:c>
      <x:c r="M609" s="19" t="n">
        <x:v>0.5</x:v>
      </x:c>
    </x:row>
    <x:row r="610" ht="23" customHeight="1">
      <x:c r="A610" s="2" t="str">
        <x:v>D040_T04_C020_G050</x:v>
      </x:c>
      <x:c r="B610" s="2" t="str">
        <x:v>A0025</x:v>
      </x:c>
      <x:c r="C610" s="2" t="str">
        <x:v>圈内</x:v>
      </x:c>
      <x:c r="D610" s="10" t="n">
        <x:v>1</x:v>
      </x:c>
      <x:c r="E610" s="10" t="n">
        <x:v>4</x:v>
      </x:c>
      <x:c r="F610" s="10" t="n">
        <x:v>3</x:v>
      </x:c>
      <x:c r="G610" s="10" t="n">
        <x:v>1</x:v>
      </x:c>
      <x:c r="H610" s="10" t="n">
        <x:f>IF(G610=1,E610-D610,"")</x:f>
        <x:v>3</x:v>
      </x:c>
      <x:c r="I610" s="10" t="n">
        <x:f>MIN(F610,9)</x:f>
        <x:v>3</x:v>
      </x:c>
      <x:c r="J610" s="19" t="n">
        <x:v>0.4</x:v>
      </x:c>
      <x:c r="K610" s="2" t="n">
        <x:v>4</x:v>
      </x:c>
      <x:c r="L610" s="19" t="n">
        <x:v>0.2</x:v>
      </x:c>
      <x:c r="M610" s="19" t="n">
        <x:v>0.5</x:v>
      </x:c>
    </x:row>
    <x:row r="611" ht="23" customHeight="1">
      <x:c r="A611" s="2" t="str">
        <x:v>D040_T04_C020_G050</x:v>
      </x:c>
      <x:c r="B611" s="2" t="str">
        <x:v>A0026</x:v>
      </x:c>
      <x:c r="C611" s="2" t="str">
        <x:v>圈内</x:v>
      </x:c>
      <x:c r="D611" s="10" t="n">
        <x:v>1</x:v>
      </x:c>
      <x:c r="E611" s="10" t="n">
        <x:v>4</x:v>
      </x:c>
      <x:c r="F611" s="10" t="n">
        <x:v>3</x:v>
      </x:c>
      <x:c r="G611" s="10" t="n">
        <x:v>1</x:v>
      </x:c>
      <x:c r="H611" s="10" t="n">
        <x:f>IF(G611=1,E611-D611,"")</x:f>
        <x:v>3</x:v>
      </x:c>
      <x:c r="I611" s="10" t="n">
        <x:f>MIN(F611,9)</x:f>
        <x:v>3</x:v>
      </x:c>
      <x:c r="J611" s="19" t="n">
        <x:v>0.4</x:v>
      </x:c>
      <x:c r="K611" s="2" t="n">
        <x:v>4</x:v>
      </x:c>
      <x:c r="L611" s="19" t="n">
        <x:v>0.2</x:v>
      </x:c>
      <x:c r="M611" s="19" t="n">
        <x:v>0.5</x:v>
      </x:c>
    </x:row>
    <x:row r="612" ht="23" customHeight="1">
      <x:c r="A612" s="2" t="str">
        <x:v>D040_T04_C020_G050</x:v>
      </x:c>
      <x:c r="B612" s="2" t="str">
        <x:v>A0027</x:v>
      </x:c>
      <x:c r="C612" s="2" t="str">
        <x:v>圈内</x:v>
      </x:c>
      <x:c r="D612" s="10" t="n">
        <x:v>1</x:v>
      </x:c>
      <x:c r="E612" s="10" t="n">
        <x:v>5</x:v>
      </x:c>
      <x:c r="F612" s="10" t="n">
        <x:v>4</x:v>
      </x:c>
      <x:c r="G612" s="10" t="n">
        <x:v>1</x:v>
      </x:c>
      <x:c r="H612" s="10" t="n">
        <x:f>IF(G612=1,E612-D612,"")</x:f>
        <x:v>4</x:v>
      </x:c>
      <x:c r="I612" s="10" t="n">
        <x:f>MIN(F612,9)</x:f>
        <x:v>4</x:v>
      </x:c>
      <x:c r="J612" s="19" t="n">
        <x:v>0.4</x:v>
      </x:c>
      <x:c r="K612" s="2" t="n">
        <x:v>4</x:v>
      </x:c>
      <x:c r="L612" s="19" t="n">
        <x:v>0.2</x:v>
      </x:c>
      <x:c r="M612" s="19" t="n">
        <x:v>0.5</x:v>
      </x:c>
    </x:row>
    <x:row r="613" ht="23" customHeight="1">
      <x:c r="A613" s="2" t="str">
        <x:v>D040_T04_C020_G050</x:v>
      </x:c>
      <x:c r="B613" s="2" t="str">
        <x:v>A0029</x:v>
      </x:c>
      <x:c r="C613" s="2" t="str">
        <x:v>圈内</x:v>
      </x:c>
      <x:c r="D613" s="10" t="n">
        <x:v>1</x:v>
      </x:c>
      <x:c r="E613" s="10" t="n">
        <x:v>5</x:v>
      </x:c>
      <x:c r="F613" s="10" t="n">
        <x:v>4</x:v>
      </x:c>
      <x:c r="G613" s="10" t="n">
        <x:v>1</x:v>
      </x:c>
      <x:c r="H613" s="10" t="n">
        <x:f>IF(G613=1,E613-D613,"")</x:f>
        <x:v>4</x:v>
      </x:c>
      <x:c r="I613" s="10" t="n">
        <x:f>MIN(F613,9)</x:f>
        <x:v>4</x:v>
      </x:c>
      <x:c r="J613" s="19" t="n">
        <x:v>0.4</x:v>
      </x:c>
      <x:c r="K613" s="2" t="n">
        <x:v>4</x:v>
      </x:c>
      <x:c r="L613" s="19" t="n">
        <x:v>0.2</x:v>
      </x:c>
      <x:c r="M613" s="19" t="n">
        <x:v>0.5</x:v>
      </x:c>
    </x:row>
    <x:row r="614" ht="23" customHeight="1">
      <x:c r="A614" s="2" t="str">
        <x:v>D040_T04_C020_G050</x:v>
      </x:c>
      <x:c r="B614" s="2" t="str">
        <x:v>A0030</x:v>
      </x:c>
      <x:c r="C614" s="2" t="str">
        <x:v>圈内</x:v>
      </x:c>
      <x:c r="D614" s="10" t="n">
        <x:v>1</x:v>
      </x:c>
      <x:c r="E614" s="10" t="n">
        <x:v>6</x:v>
      </x:c>
      <x:c r="F614" s="10" t="n">
        <x:v>5</x:v>
      </x:c>
      <x:c r="G614" s="10" t="n">
        <x:v>1</x:v>
      </x:c>
      <x:c r="H614" s="10" t="n">
        <x:f>IF(G614=1,E614-D614,"")</x:f>
        <x:v>5</x:v>
      </x:c>
      <x:c r="I614" s="10" t="n">
        <x:f>MIN(F614,9)</x:f>
        <x:v>5</x:v>
      </x:c>
      <x:c r="J614" s="19" t="n">
        <x:v>0.4</x:v>
      </x:c>
      <x:c r="K614" s="2" t="n">
        <x:v>4</x:v>
      </x:c>
      <x:c r="L614" s="19" t="n">
        <x:v>0.2</x:v>
      </x:c>
      <x:c r="M614" s="19" t="n">
        <x:v>0.5</x:v>
      </x:c>
    </x:row>
    <x:row r="615" ht="23" customHeight="1">
      <x:c r="A615" s="2" t="str">
        <x:v>D040_T04_C020_G050</x:v>
      </x:c>
      <x:c r="B615" s="2" t="str">
        <x:v>A0032</x:v>
      </x:c>
      <x:c r="C615" s="2" t="str">
        <x:v>圈内</x:v>
      </x:c>
      <x:c r="D615" s="10" t="n">
        <x:v>1</x:v>
      </x:c>
      <x:c r="E615" s="10" t="n">
        <x:v>9</x:v>
      </x:c>
      <x:c r="F615" s="10" t="n">
        <x:v>8</x:v>
      </x:c>
      <x:c r="G615" s="10" t="n">
        <x:v>1</x:v>
      </x:c>
      <x:c r="H615" s="10" t="n">
        <x:f>IF(G615=1,E615-D615,"")</x:f>
        <x:v>8</x:v>
      </x:c>
      <x:c r="I615" s="10" t="n">
        <x:f>MIN(F615,9)</x:f>
        <x:v>8</x:v>
      </x:c>
      <x:c r="J615" s="19" t="n">
        <x:v>0.4</x:v>
      </x:c>
      <x:c r="K615" s="2" t="n">
        <x:v>4</x:v>
      </x:c>
      <x:c r="L615" s="19" t="n">
        <x:v>0.2</x:v>
      </x:c>
      <x:c r="M615" s="19" t="n">
        <x:v>0.5</x:v>
      </x:c>
    </x:row>
    <x:row r="616" ht="23" customHeight="1">
      <x:c r="A616" s="2" t="str">
        <x:v>D040_T04_C020_G050</x:v>
      </x:c>
      <x:c r="B616" s="2" t="str">
        <x:v>A0033</x:v>
      </x:c>
      <x:c r="C616" s="2" t="str">
        <x:v>圈内</x:v>
      </x:c>
      <x:c r="D616" s="10" t="n">
        <x:v>1</x:v>
      </x:c>
      <x:c r="E616" s="10" t="n">
        <x:v>6</x:v>
      </x:c>
      <x:c r="F616" s="10" t="n">
        <x:v>5</x:v>
      </x:c>
      <x:c r="G616" s="10" t="n">
        <x:v>1</x:v>
      </x:c>
      <x:c r="H616" s="10" t="n">
        <x:f>IF(G616=1,E616-D616,"")</x:f>
        <x:v>5</x:v>
      </x:c>
      <x:c r="I616" s="10" t="n">
        <x:f>MIN(F616,9)</x:f>
        <x:v>5</x:v>
      </x:c>
      <x:c r="J616" s="19" t="n">
        <x:v>0.4</x:v>
      </x:c>
      <x:c r="K616" s="2" t="n">
        <x:v>4</x:v>
      </x:c>
      <x:c r="L616" s="19" t="n">
        <x:v>0.2</x:v>
      </x:c>
      <x:c r="M616" s="19" t="n">
        <x:v>0.5</x:v>
      </x:c>
    </x:row>
    <x:row r="617" ht="23" customHeight="1">
      <x:c r="A617" s="2" t="str">
        <x:v>D040_T04_C020_G050</x:v>
      </x:c>
      <x:c r="B617" s="2" t="str">
        <x:v>A0034</x:v>
      </x:c>
      <x:c r="C617" s="2" t="str">
        <x:v>圈内</x:v>
      </x:c>
      <x:c r="D617" s="10" t="n">
        <x:v>1</x:v>
      </x:c>
      <x:c r="E617" s="10" t="n">
        <x:v>5</x:v>
      </x:c>
      <x:c r="F617" s="10" t="n">
        <x:v>4</x:v>
      </x:c>
      <x:c r="G617" s="10" t="n">
        <x:v>1</x:v>
      </x:c>
      <x:c r="H617" s="10" t="n">
        <x:f>IF(G617=1,E617-D617,"")</x:f>
        <x:v>4</x:v>
      </x:c>
      <x:c r="I617" s="10" t="n">
        <x:f>MIN(F617,9)</x:f>
        <x:v>4</x:v>
      </x:c>
      <x:c r="J617" s="19" t="n">
        <x:v>0.4</x:v>
      </x:c>
      <x:c r="K617" s="2" t="n">
        <x:v>4</x:v>
      </x:c>
      <x:c r="L617" s="19" t="n">
        <x:v>0.2</x:v>
      </x:c>
      <x:c r="M617" s="19" t="n">
        <x:v>0.5</x:v>
      </x:c>
    </x:row>
    <x:row r="618" ht="23" customHeight="1">
      <x:c r="A618" s="2" t="str">
        <x:v>D040_T04_C020_G050</x:v>
      </x:c>
      <x:c r="B618" s="2" t="str">
        <x:v>A0035</x:v>
      </x:c>
      <x:c r="C618" s="2" t="str">
        <x:v>圈内</x:v>
      </x:c>
      <x:c r="D618" s="10" t="n">
        <x:v>1</x:v>
      </x:c>
      <x:c r="E618" s="10" t="n">
        <x:v>5</x:v>
      </x:c>
      <x:c r="F618" s="10" t="n">
        <x:v>4</x:v>
      </x:c>
      <x:c r="G618" s="10" t="n">
        <x:v>1</x:v>
      </x:c>
      <x:c r="H618" s="10" t="n">
        <x:f>IF(G618=1,E618-D618,"")</x:f>
        <x:v>4</x:v>
      </x:c>
      <x:c r="I618" s="10" t="n">
        <x:f>MIN(F618,9)</x:f>
        <x:v>4</x:v>
      </x:c>
      <x:c r="J618" s="19" t="n">
        <x:v>0.4</x:v>
      </x:c>
      <x:c r="K618" s="2" t="n">
        <x:v>4</x:v>
      </x:c>
      <x:c r="L618" s="19" t="n">
        <x:v>0.2</x:v>
      </x:c>
      <x:c r="M618" s="19" t="n">
        <x:v>0.5</x:v>
      </x:c>
    </x:row>
    <x:row r="619" ht="23" customHeight="1">
      <x:c r="A619" s="2" t="str">
        <x:v>D040_T04_C020_G050</x:v>
      </x:c>
      <x:c r="B619" s="2" t="str">
        <x:v>A0036</x:v>
      </x:c>
      <x:c r="C619" s="2" t="str">
        <x:v>圈内</x:v>
      </x:c>
      <x:c r="D619" s="10" t="n">
        <x:v>1</x:v>
      </x:c>
      <x:c r="E619" s="10" t="n">
        <x:v>8</x:v>
      </x:c>
      <x:c r="F619" s="10" t="n">
        <x:v>7</x:v>
      </x:c>
      <x:c r="G619" s="10" t="n">
        <x:v>1</x:v>
      </x:c>
      <x:c r="H619" s="10" t="n">
        <x:f>IF(G619=1,E619-D619,"")</x:f>
        <x:v>7</x:v>
      </x:c>
      <x:c r="I619" s="10" t="n">
        <x:f>MIN(F619,9)</x:f>
        <x:v>7</x:v>
      </x:c>
      <x:c r="J619" s="19" t="n">
        <x:v>0.4</x:v>
      </x:c>
      <x:c r="K619" s="2" t="n">
        <x:v>4</x:v>
      </x:c>
      <x:c r="L619" s="19" t="n">
        <x:v>0.2</x:v>
      </x:c>
      <x:c r="M619" s="19" t="n">
        <x:v>0.5</x:v>
      </x:c>
    </x:row>
    <x:row r="620" ht="23" customHeight="1">
      <x:c r="A620" s="2" t="str">
        <x:v>D040_T04_C020_G050</x:v>
      </x:c>
      <x:c r="B620" s="2" t="str">
        <x:v>A0038</x:v>
      </x:c>
      <x:c r="C620" s="2" t="str">
        <x:v>圈内</x:v>
      </x:c>
      <x:c r="D620" s="10" t="n">
        <x:v>1</x:v>
      </x:c>
      <x:c r="E620" s="10"/>
      <x:c r="F620" s="10" t="n">
        <x:v>9</x:v>
      </x:c>
      <x:c r="G620" s="10" t="n">
        <x:v>0</x:v>
      </x:c>
      <x:c r="H620" s="10" t="str">
        <x:f>IF(G620=1,E620-D620,"")</x:f>
      </x:c>
      <x:c r="I620" s="10" t="n">
        <x:f>MIN(F620,9)</x:f>
        <x:v>9</x:v>
      </x:c>
      <x:c r="J620" s="19" t="n">
        <x:v>0.4</x:v>
      </x:c>
      <x:c r="K620" s="2" t="n">
        <x:v>4</x:v>
      </x:c>
      <x:c r="L620" s="19" t="n">
        <x:v>0.2</x:v>
      </x:c>
      <x:c r="M620" s="19" t="n">
        <x:v>0.5</x:v>
      </x:c>
    </x:row>
    <x:row r="621" ht="23" customHeight="1">
      <x:c r="A621" s="2" t="str">
        <x:v>D040_T04_C020_G050</x:v>
      </x:c>
      <x:c r="B621" s="2" t="str">
        <x:v>A0040</x:v>
      </x:c>
      <x:c r="C621" s="2" t="str">
        <x:v>圈内</x:v>
      </x:c>
      <x:c r="D621" s="10" t="n">
        <x:v>1</x:v>
      </x:c>
      <x:c r="E621" s="10" t="n">
        <x:v>6</x:v>
      </x:c>
      <x:c r="F621" s="10" t="n">
        <x:v>5</x:v>
      </x:c>
      <x:c r="G621" s="10" t="n">
        <x:v>1</x:v>
      </x:c>
      <x:c r="H621" s="10" t="n">
        <x:f>IF(G621=1,E621-D621,"")</x:f>
        <x:v>5</x:v>
      </x:c>
      <x:c r="I621" s="10" t="n">
        <x:f>MIN(F621,9)</x:f>
        <x:v>5</x:v>
      </x:c>
      <x:c r="J621" s="19" t="n">
        <x:v>0.4</x:v>
      </x:c>
      <x:c r="K621" s="2" t="n">
        <x:v>4</x:v>
      </x:c>
      <x:c r="L621" s="19" t="n">
        <x:v>0.2</x:v>
      </x:c>
      <x:c r="M621" s="19" t="n">
        <x:v>0.5</x:v>
      </x:c>
    </x:row>
    <x:row r="622" ht="23" customHeight="1">
      <x:c r="A622" s="2" t="str">
        <x:v>D040_T04_C020_G050</x:v>
      </x:c>
      <x:c r="B622" s="2" t="str">
        <x:v>A0041</x:v>
      </x:c>
      <x:c r="C622" s="2" t="str">
        <x:v>圈内</x:v>
      </x:c>
      <x:c r="D622" s="10" t="n">
        <x:v>1</x:v>
      </x:c>
      <x:c r="E622" s="10" t="n">
        <x:v>5</x:v>
      </x:c>
      <x:c r="F622" s="10" t="n">
        <x:v>4</x:v>
      </x:c>
      <x:c r="G622" s="10" t="n">
        <x:v>1</x:v>
      </x:c>
      <x:c r="H622" s="10" t="n">
        <x:f>IF(G622=1,E622-D622,"")</x:f>
        <x:v>4</x:v>
      </x:c>
      <x:c r="I622" s="10" t="n">
        <x:f>MIN(F622,9)</x:f>
        <x:v>4</x:v>
      </x:c>
      <x:c r="J622" s="19" t="n">
        <x:v>0.4</x:v>
      </x:c>
      <x:c r="K622" s="2" t="n">
        <x:v>4</x:v>
      </x:c>
      <x:c r="L622" s="19" t="n">
        <x:v>0.2</x:v>
      </x:c>
      <x:c r="M622" s="19" t="n">
        <x:v>0.5</x:v>
      </x:c>
    </x:row>
    <x:row r="623" ht="23" customHeight="1">
      <x:c r="A623" s="2" t="str">
        <x:v>D040_T04_C020_G050</x:v>
      </x:c>
      <x:c r="B623" s="2" t="str">
        <x:v>A0071</x:v>
      </x:c>
      <x:c r="C623" s="2" t="str">
        <x:v>圈内</x:v>
      </x:c>
      <x:c r="D623" s="10" t="n">
        <x:v>1</x:v>
      </x:c>
      <x:c r="E623" s="10" t="n">
        <x:v>7</x:v>
      </x:c>
      <x:c r="F623" s="10" t="n">
        <x:v>6</x:v>
      </x:c>
      <x:c r="G623" s="10" t="n">
        <x:v>1</x:v>
      </x:c>
      <x:c r="H623" s="10" t="n">
        <x:f>IF(G623=1,E623-D623,"")</x:f>
        <x:v>6</x:v>
      </x:c>
      <x:c r="I623" s="10" t="n">
        <x:f>MIN(F623,9)</x:f>
        <x:v>6</x:v>
      </x:c>
      <x:c r="J623" s="19" t="n">
        <x:v>0.4</x:v>
      </x:c>
      <x:c r="K623" s="2" t="n">
        <x:v>4</x:v>
      </x:c>
      <x:c r="L623" s="19" t="n">
        <x:v>0.2</x:v>
      </x:c>
      <x:c r="M623" s="19" t="n">
        <x:v>0.5</x:v>
      </x:c>
    </x:row>
    <x:row r="624" ht="23" customHeight="1">
      <x:c r="A624" s="2" t="str">
        <x:v>D040_T04_C020_G050</x:v>
      </x:c>
      <x:c r="B624" s="2" t="str">
        <x:v>A0090</x:v>
      </x:c>
      <x:c r="C624" s="2" t="str">
        <x:v>圈内</x:v>
      </x:c>
      <x:c r="D624" s="10" t="n">
        <x:v>1</x:v>
      </x:c>
      <x:c r="E624" s="10" t="n">
        <x:v>7</x:v>
      </x:c>
      <x:c r="F624" s="10" t="n">
        <x:v>6</x:v>
      </x:c>
      <x:c r="G624" s="10" t="n">
        <x:v>1</x:v>
      </x:c>
      <x:c r="H624" s="10" t="n">
        <x:f>IF(G624=1,E624-D624,"")</x:f>
        <x:v>6</x:v>
      </x:c>
      <x:c r="I624" s="10" t="n">
        <x:f>MIN(F624,9)</x:f>
        <x:v>6</x:v>
      </x:c>
      <x:c r="J624" s="19" t="n">
        <x:v>0.4</x:v>
      </x:c>
      <x:c r="K624" s="2" t="n">
        <x:v>4</x:v>
      </x:c>
      <x:c r="L624" s="19" t="n">
        <x:v>0.2</x:v>
      </x:c>
      <x:c r="M624" s="19" t="n">
        <x:v>0.5</x:v>
      </x:c>
    </x:row>
    <x:row r="625" ht="23" customHeight="1">
      <x:c r="A625" s="2" t="str">
        <x:v>D040_T04_C020_G050</x:v>
      </x:c>
      <x:c r="B625" s="2" t="str">
        <x:v>A0189</x:v>
      </x:c>
      <x:c r="C625" s="2" t="str">
        <x:v>圈内</x:v>
      </x:c>
      <x:c r="D625" s="10" t="n">
        <x:v>1</x:v>
      </x:c>
      <x:c r="E625" s="10" t="n">
        <x:v>7</x:v>
      </x:c>
      <x:c r="F625" s="10" t="n">
        <x:v>6</x:v>
      </x:c>
      <x:c r="G625" s="10" t="n">
        <x:v>1</x:v>
      </x:c>
      <x:c r="H625" s="10" t="n">
        <x:f>IF(G625=1,E625-D625,"")</x:f>
        <x:v>6</x:v>
      </x:c>
      <x:c r="I625" s="10" t="n">
        <x:f>MIN(F625,9)</x:f>
        <x:v>6</x:v>
      </x:c>
      <x:c r="J625" s="19" t="n">
        <x:v>0.4</x:v>
      </x:c>
      <x:c r="K625" s="2" t="n">
        <x:v>4</x:v>
      </x:c>
      <x:c r="L625" s="19" t="n">
        <x:v>0.2</x:v>
      </x:c>
      <x:c r="M625" s="19" t="n">
        <x:v>0.5</x:v>
      </x:c>
    </x:row>
    <x:row r="626" ht="23" customHeight="1">
      <x:c r="A626" s="2" t="str">
        <x:v>D040_T04_C020_G050</x:v>
      </x:c>
      <x:c r="B626" s="2" t="str">
        <x:v>A0206</x:v>
      </x:c>
      <x:c r="C626" s="2" t="str">
        <x:v>圈内</x:v>
      </x:c>
      <x:c r="D626" s="10" t="n">
        <x:v>1</x:v>
      </x:c>
      <x:c r="E626" s="10" t="n">
        <x:v>4</x:v>
      </x:c>
      <x:c r="F626" s="10" t="n">
        <x:v>3</x:v>
      </x:c>
      <x:c r="G626" s="10" t="n">
        <x:v>1</x:v>
      </x:c>
      <x:c r="H626" s="10" t="n">
        <x:f>IF(G626=1,E626-D626,"")</x:f>
        <x:v>3</x:v>
      </x:c>
      <x:c r="I626" s="10" t="n">
        <x:f>MIN(F626,9)</x:f>
        <x:v>3</x:v>
      </x:c>
      <x:c r="J626" s="19" t="n">
        <x:v>0.4</x:v>
      </x:c>
      <x:c r="K626" s="2" t="n">
        <x:v>4</x:v>
      </x:c>
      <x:c r="L626" s="19" t="n">
        <x:v>0.2</x:v>
      </x:c>
      <x:c r="M626" s="19" t="n">
        <x:v>0.5</x:v>
      </x:c>
    </x:row>
    <x:row r="627" ht="23" customHeight="1">
      <x:c r="A627" s="2" t="str">
        <x:v>D040_T04_C020_G075</x:v>
      </x:c>
      <x:c r="B627" s="2" t="str">
        <x:v>A0005</x:v>
      </x:c>
      <x:c r="C627" s="2" t="str">
        <x:v>圈内</x:v>
      </x:c>
      <x:c r="D627" s="10" t="n">
        <x:v>1</x:v>
      </x:c>
      <x:c r="E627" s="10" t="n">
        <x:v>7</x:v>
      </x:c>
      <x:c r="F627" s="10" t="n">
        <x:v>6</x:v>
      </x:c>
      <x:c r="G627" s="10" t="n">
        <x:v>1</x:v>
      </x:c>
      <x:c r="H627" s="10" t="n">
        <x:f>IF(G627=1,E627-D627,"")</x:f>
        <x:v>6</x:v>
      </x:c>
      <x:c r="I627" s="10" t="n">
        <x:f>MIN(F627,9)</x:f>
        <x:v>6</x:v>
      </x:c>
      <x:c r="J627" s="19" t="n">
        <x:v>0.4</x:v>
      </x:c>
      <x:c r="K627" s="2" t="n">
        <x:v>4</x:v>
      </x:c>
      <x:c r="L627" s="19" t="n">
        <x:v>0.2</x:v>
      </x:c>
      <x:c r="M627" s="19" t="n">
        <x:v>0.75</x:v>
      </x:c>
    </x:row>
    <x:row r="628" ht="23" customHeight="1">
      <x:c r="A628" s="2" t="str">
        <x:v>D040_T04_C020_G075</x:v>
      </x:c>
      <x:c r="B628" s="2" t="str">
        <x:v>A0006</x:v>
      </x:c>
      <x:c r="C628" s="2" t="str">
        <x:v>圈内</x:v>
      </x:c>
      <x:c r="D628" s="10" t="n">
        <x:v>1</x:v>
      </x:c>
      <x:c r="E628" s="10" t="n">
        <x:v>8</x:v>
      </x:c>
      <x:c r="F628" s="10" t="n">
        <x:v>7</x:v>
      </x:c>
      <x:c r="G628" s="10" t="n">
        <x:v>1</x:v>
      </x:c>
      <x:c r="H628" s="10" t="n">
        <x:f>IF(G628=1,E628-D628,"")</x:f>
        <x:v>7</x:v>
      </x:c>
      <x:c r="I628" s="10" t="n">
        <x:f>MIN(F628,9)</x:f>
        <x:v>7</x:v>
      </x:c>
      <x:c r="J628" s="19" t="n">
        <x:v>0.4</x:v>
      </x:c>
      <x:c r="K628" s="2" t="n">
        <x:v>4</x:v>
      </x:c>
      <x:c r="L628" s="19" t="n">
        <x:v>0.2</x:v>
      </x:c>
      <x:c r="M628" s="19" t="n">
        <x:v>0.75</x:v>
      </x:c>
    </x:row>
    <x:row r="629" ht="23" customHeight="1">
      <x:c r="A629" s="2" t="str">
        <x:v>D040_T04_C020_G075</x:v>
      </x:c>
      <x:c r="B629" s="2" t="str">
        <x:v>A0011</x:v>
      </x:c>
      <x:c r="C629" s="2" t="str">
        <x:v>圈内</x:v>
      </x:c>
      <x:c r="D629" s="10" t="n">
        <x:v>1</x:v>
      </x:c>
      <x:c r="E629" s="10" t="n">
        <x:v>4</x:v>
      </x:c>
      <x:c r="F629" s="10" t="n">
        <x:v>3</x:v>
      </x:c>
      <x:c r="G629" s="10" t="n">
        <x:v>1</x:v>
      </x:c>
      <x:c r="H629" s="10" t="n">
        <x:f>IF(G629=1,E629-D629,"")</x:f>
        <x:v>3</x:v>
      </x:c>
      <x:c r="I629" s="10" t="n">
        <x:f>MIN(F629,9)</x:f>
        <x:v>3</x:v>
      </x:c>
      <x:c r="J629" s="19" t="n">
        <x:v>0.4</x:v>
      </x:c>
      <x:c r="K629" s="2" t="n">
        <x:v>4</x:v>
      </x:c>
      <x:c r="L629" s="19" t="n">
        <x:v>0.2</x:v>
      </x:c>
      <x:c r="M629" s="19" t="n">
        <x:v>0.75</x:v>
      </x:c>
    </x:row>
    <x:row r="630" ht="23" customHeight="1">
      <x:c r="A630" s="2" t="str">
        <x:v>D040_T04_C020_G075</x:v>
      </x:c>
      <x:c r="B630" s="2" t="str">
        <x:v>A0012</x:v>
      </x:c>
      <x:c r="C630" s="2" t="str">
        <x:v>圈内</x:v>
      </x:c>
      <x:c r="D630" s="10" t="n">
        <x:v>1</x:v>
      </x:c>
      <x:c r="E630" s="10" t="n">
        <x:v>5</x:v>
      </x:c>
      <x:c r="F630" s="10" t="n">
        <x:v>4</x:v>
      </x:c>
      <x:c r="G630" s="10" t="n">
        <x:v>1</x:v>
      </x:c>
      <x:c r="H630" s="10" t="n">
        <x:f>IF(G630=1,E630-D630,"")</x:f>
        <x:v>4</x:v>
      </x:c>
      <x:c r="I630" s="10" t="n">
        <x:f>MIN(F630,9)</x:f>
        <x:v>4</x:v>
      </x:c>
      <x:c r="J630" s="19" t="n">
        <x:v>0.4</x:v>
      </x:c>
      <x:c r="K630" s="2" t="n">
        <x:v>4</x:v>
      </x:c>
      <x:c r="L630" s="19" t="n">
        <x:v>0.2</x:v>
      </x:c>
      <x:c r="M630" s="19" t="n">
        <x:v>0.75</x:v>
      </x:c>
    </x:row>
    <x:row r="631" ht="23" customHeight="1">
      <x:c r="A631" s="2" t="str">
        <x:v>D040_T04_C020_G075</x:v>
      </x:c>
      <x:c r="B631" s="2" t="str">
        <x:v>A0017</x:v>
      </x:c>
      <x:c r="C631" s="2" t="str">
        <x:v>圈内</x:v>
      </x:c>
      <x:c r="D631" s="10" t="n">
        <x:v>1</x:v>
      </x:c>
      <x:c r="E631" s="10" t="n">
        <x:v>6</x:v>
      </x:c>
      <x:c r="F631" s="10" t="n">
        <x:v>5</x:v>
      </x:c>
      <x:c r="G631" s="10" t="n">
        <x:v>1</x:v>
      </x:c>
      <x:c r="H631" s="10" t="n">
        <x:f>IF(G631=1,E631-D631,"")</x:f>
        <x:v>5</x:v>
      </x:c>
      <x:c r="I631" s="10" t="n">
        <x:f>MIN(F631,9)</x:f>
        <x:v>5</x:v>
      </x:c>
      <x:c r="J631" s="19" t="n">
        <x:v>0.4</x:v>
      </x:c>
      <x:c r="K631" s="2" t="n">
        <x:v>4</x:v>
      </x:c>
      <x:c r="L631" s="19" t="n">
        <x:v>0.2</x:v>
      </x:c>
      <x:c r="M631" s="19" t="n">
        <x:v>0.75</x:v>
      </x:c>
    </x:row>
    <x:row r="632" ht="23" customHeight="1">
      <x:c r="A632" s="2" t="str">
        <x:v>D040_T04_C020_G075</x:v>
      </x:c>
      <x:c r="B632" s="2" t="str">
        <x:v>A0018</x:v>
      </x:c>
      <x:c r="C632" s="2" t="str">
        <x:v>圈内</x:v>
      </x:c>
      <x:c r="D632" s="10" t="n">
        <x:v>1</x:v>
      </x:c>
      <x:c r="E632" s="10" t="n">
        <x:v>6</x:v>
      </x:c>
      <x:c r="F632" s="10" t="n">
        <x:v>5</x:v>
      </x:c>
      <x:c r="G632" s="10" t="n">
        <x:v>1</x:v>
      </x:c>
      <x:c r="H632" s="10" t="n">
        <x:f>IF(G632=1,E632-D632,"")</x:f>
        <x:v>5</x:v>
      </x:c>
      <x:c r="I632" s="10" t="n">
        <x:f>MIN(F632,9)</x:f>
        <x:v>5</x:v>
      </x:c>
      <x:c r="J632" s="19" t="n">
        <x:v>0.4</x:v>
      </x:c>
      <x:c r="K632" s="2" t="n">
        <x:v>4</x:v>
      </x:c>
      <x:c r="L632" s="19" t="n">
        <x:v>0.2</x:v>
      </x:c>
      <x:c r="M632" s="19" t="n">
        <x:v>0.75</x:v>
      </x:c>
    </x:row>
    <x:row r="633" ht="23" customHeight="1">
      <x:c r="A633" s="2" t="str">
        <x:v>D040_T04_C020_G075</x:v>
      </x:c>
      <x:c r="B633" s="2" t="str">
        <x:v>A0019</x:v>
      </x:c>
      <x:c r="C633" s="2" t="str">
        <x:v>圈内</x:v>
      </x:c>
      <x:c r="D633" s="10" t="n">
        <x:v>1</x:v>
      </x:c>
      <x:c r="E633" s="10" t="n">
        <x:v>6</x:v>
      </x:c>
      <x:c r="F633" s="10" t="n">
        <x:v>5</x:v>
      </x:c>
      <x:c r="G633" s="10" t="n">
        <x:v>1</x:v>
      </x:c>
      <x:c r="H633" s="10" t="n">
        <x:f>IF(G633=1,E633-D633,"")</x:f>
        <x:v>5</x:v>
      </x:c>
      <x:c r="I633" s="10" t="n">
        <x:f>MIN(F633,9)</x:f>
        <x:v>5</x:v>
      </x:c>
      <x:c r="J633" s="19" t="n">
        <x:v>0.4</x:v>
      </x:c>
      <x:c r="K633" s="2" t="n">
        <x:v>4</x:v>
      </x:c>
      <x:c r="L633" s="19" t="n">
        <x:v>0.2</x:v>
      </x:c>
      <x:c r="M633" s="19" t="n">
        <x:v>0.75</x:v>
      </x:c>
    </x:row>
    <x:row r="634" ht="23" customHeight="1">
      <x:c r="A634" s="2" t="str">
        <x:v>D040_T04_C020_G075</x:v>
      </x:c>
      <x:c r="B634" s="2" t="str">
        <x:v>A0024</x:v>
      </x:c>
      <x:c r="C634" s="2" t="str">
        <x:v>圈内</x:v>
      </x:c>
      <x:c r="D634" s="10" t="n">
        <x:v>1</x:v>
      </x:c>
      <x:c r="E634" s="10" t="n">
        <x:v>7</x:v>
      </x:c>
      <x:c r="F634" s="10" t="n">
        <x:v>6</x:v>
      </x:c>
      <x:c r="G634" s="10" t="n">
        <x:v>1</x:v>
      </x:c>
      <x:c r="H634" s="10" t="n">
        <x:f>IF(G634=1,E634-D634,"")</x:f>
        <x:v>6</x:v>
      </x:c>
      <x:c r="I634" s="10" t="n">
        <x:f>MIN(F634,9)</x:f>
        <x:v>6</x:v>
      </x:c>
      <x:c r="J634" s="19" t="n">
        <x:v>0.4</x:v>
      </x:c>
      <x:c r="K634" s="2" t="n">
        <x:v>4</x:v>
      </x:c>
      <x:c r="L634" s="19" t="n">
        <x:v>0.2</x:v>
      </x:c>
      <x:c r="M634" s="19" t="n">
        <x:v>0.75</x:v>
      </x:c>
    </x:row>
    <x:row r="635" ht="23" customHeight="1">
      <x:c r="A635" s="2" t="str">
        <x:v>D040_T04_C020_G075</x:v>
      </x:c>
      <x:c r="B635" s="2" t="str">
        <x:v>A0025</x:v>
      </x:c>
      <x:c r="C635" s="2" t="str">
        <x:v>圈内</x:v>
      </x:c>
      <x:c r="D635" s="10" t="n">
        <x:v>1</x:v>
      </x:c>
      <x:c r="E635" s="10" t="n">
        <x:v>6</x:v>
      </x:c>
      <x:c r="F635" s="10" t="n">
        <x:v>5</x:v>
      </x:c>
      <x:c r="G635" s="10" t="n">
        <x:v>1</x:v>
      </x:c>
      <x:c r="H635" s="10" t="n">
        <x:f>IF(G635=1,E635-D635,"")</x:f>
        <x:v>5</x:v>
      </x:c>
      <x:c r="I635" s="10" t="n">
        <x:f>MIN(F635,9)</x:f>
        <x:v>5</x:v>
      </x:c>
      <x:c r="J635" s="19" t="n">
        <x:v>0.4</x:v>
      </x:c>
      <x:c r="K635" s="2" t="n">
        <x:v>4</x:v>
      </x:c>
      <x:c r="L635" s="19" t="n">
        <x:v>0.2</x:v>
      </x:c>
      <x:c r="M635" s="19" t="n">
        <x:v>0.75</x:v>
      </x:c>
    </x:row>
    <x:row r="636" ht="23" customHeight="1">
      <x:c r="A636" s="2" t="str">
        <x:v>D040_T04_C020_G075</x:v>
      </x:c>
      <x:c r="B636" s="2" t="str">
        <x:v>A0026</x:v>
      </x:c>
      <x:c r="C636" s="2" t="str">
        <x:v>圈内</x:v>
      </x:c>
      <x:c r="D636" s="10" t="n">
        <x:v>1</x:v>
      </x:c>
      <x:c r="E636" s="10" t="n">
        <x:v>4</x:v>
      </x:c>
      <x:c r="F636" s="10" t="n">
        <x:v>3</x:v>
      </x:c>
      <x:c r="G636" s="10" t="n">
        <x:v>1</x:v>
      </x:c>
      <x:c r="H636" s="10" t="n">
        <x:f>IF(G636=1,E636-D636,"")</x:f>
        <x:v>3</x:v>
      </x:c>
      <x:c r="I636" s="10" t="n">
        <x:f>MIN(F636,9)</x:f>
        <x:v>3</x:v>
      </x:c>
      <x:c r="J636" s="19" t="n">
        <x:v>0.4</x:v>
      </x:c>
      <x:c r="K636" s="2" t="n">
        <x:v>4</x:v>
      </x:c>
      <x:c r="L636" s="19" t="n">
        <x:v>0.2</x:v>
      </x:c>
      <x:c r="M636" s="19" t="n">
        <x:v>0.75</x:v>
      </x:c>
    </x:row>
    <x:row r="637" ht="23" customHeight="1">
      <x:c r="A637" s="2" t="str">
        <x:v>D040_T04_C020_G075</x:v>
      </x:c>
      <x:c r="B637" s="2" t="str">
        <x:v>A0027</x:v>
      </x:c>
      <x:c r="C637" s="2" t="str">
        <x:v>圈内</x:v>
      </x:c>
      <x:c r="D637" s="10" t="n">
        <x:v>1</x:v>
      </x:c>
      <x:c r="E637" s="10" t="n">
        <x:v>5</x:v>
      </x:c>
      <x:c r="F637" s="10" t="n">
        <x:v>4</x:v>
      </x:c>
      <x:c r="G637" s="10" t="n">
        <x:v>1</x:v>
      </x:c>
      <x:c r="H637" s="10" t="n">
        <x:f>IF(G637=1,E637-D637,"")</x:f>
        <x:v>4</x:v>
      </x:c>
      <x:c r="I637" s="10" t="n">
        <x:f>MIN(F637,9)</x:f>
        <x:v>4</x:v>
      </x:c>
      <x:c r="J637" s="19" t="n">
        <x:v>0.4</x:v>
      </x:c>
      <x:c r="K637" s="2" t="n">
        <x:v>4</x:v>
      </x:c>
      <x:c r="L637" s="19" t="n">
        <x:v>0.2</x:v>
      </x:c>
      <x:c r="M637" s="19" t="n">
        <x:v>0.75</x:v>
      </x:c>
    </x:row>
    <x:row r="638" ht="23" customHeight="1">
      <x:c r="A638" s="2" t="str">
        <x:v>D040_T04_C020_G075</x:v>
      </x:c>
      <x:c r="B638" s="2" t="str">
        <x:v>A0028</x:v>
      </x:c>
      <x:c r="C638" s="2" t="str">
        <x:v>圈内</x:v>
      </x:c>
      <x:c r="D638" s="10" t="n">
        <x:v>1</x:v>
      </x:c>
      <x:c r="E638" s="10" t="n">
        <x:v>6</x:v>
      </x:c>
      <x:c r="F638" s="10" t="n">
        <x:v>5</x:v>
      </x:c>
      <x:c r="G638" s="10" t="n">
        <x:v>1</x:v>
      </x:c>
      <x:c r="H638" s="10" t="n">
        <x:f>IF(G638=1,E638-D638,"")</x:f>
        <x:v>5</x:v>
      </x:c>
      <x:c r="I638" s="10" t="n">
        <x:f>MIN(F638,9)</x:f>
        <x:v>5</x:v>
      </x:c>
      <x:c r="J638" s="19" t="n">
        <x:v>0.4</x:v>
      </x:c>
      <x:c r="K638" s="2" t="n">
        <x:v>4</x:v>
      </x:c>
      <x:c r="L638" s="19" t="n">
        <x:v>0.2</x:v>
      </x:c>
      <x:c r="M638" s="19" t="n">
        <x:v>0.75</x:v>
      </x:c>
    </x:row>
    <x:row r="639" ht="23" customHeight="1">
      <x:c r="A639" s="2" t="str">
        <x:v>D040_T04_C020_G075</x:v>
      </x:c>
      <x:c r="B639" s="2" t="str">
        <x:v>A0030</x:v>
      </x:c>
      <x:c r="C639" s="2" t="str">
        <x:v>圈内</x:v>
      </x:c>
      <x:c r="D639" s="10" t="n">
        <x:v>1</x:v>
      </x:c>
      <x:c r="E639" s="10"/>
      <x:c r="F639" s="10" t="n">
        <x:v>9</x:v>
      </x:c>
      <x:c r="G639" s="10" t="n">
        <x:v>0</x:v>
      </x:c>
      <x:c r="H639" s="10" t="str">
        <x:f>IF(G639=1,E639-D639,"")</x:f>
      </x:c>
      <x:c r="I639" s="10" t="n">
        <x:f>MIN(F639,9)</x:f>
        <x:v>9</x:v>
      </x:c>
      <x:c r="J639" s="19" t="n">
        <x:v>0.4</x:v>
      </x:c>
      <x:c r="K639" s="2" t="n">
        <x:v>4</x:v>
      </x:c>
      <x:c r="L639" s="19" t="n">
        <x:v>0.2</x:v>
      </x:c>
      <x:c r="M639" s="19" t="n">
        <x:v>0.75</x:v>
      </x:c>
    </x:row>
    <x:row r="640" ht="23" customHeight="1">
      <x:c r="A640" s="2" t="str">
        <x:v>D040_T04_C020_G075</x:v>
      </x:c>
      <x:c r="B640" s="2" t="str">
        <x:v>A0032</x:v>
      </x:c>
      <x:c r="C640" s="2" t="str">
        <x:v>圈内</x:v>
      </x:c>
      <x:c r="D640" s="10" t="n">
        <x:v>1</x:v>
      </x:c>
      <x:c r="E640" s="10" t="n">
        <x:v>5</x:v>
      </x:c>
      <x:c r="F640" s="10" t="n">
        <x:v>4</x:v>
      </x:c>
      <x:c r="G640" s="10" t="n">
        <x:v>1</x:v>
      </x:c>
      <x:c r="H640" s="10" t="n">
        <x:f>IF(G640=1,E640-D640,"")</x:f>
        <x:v>4</x:v>
      </x:c>
      <x:c r="I640" s="10" t="n">
        <x:f>MIN(F640,9)</x:f>
        <x:v>4</x:v>
      </x:c>
      <x:c r="J640" s="19" t="n">
        <x:v>0.4</x:v>
      </x:c>
      <x:c r="K640" s="2" t="n">
        <x:v>4</x:v>
      </x:c>
      <x:c r="L640" s="19" t="n">
        <x:v>0.2</x:v>
      </x:c>
      <x:c r="M640" s="19" t="n">
        <x:v>0.75</x:v>
      </x:c>
    </x:row>
    <x:row r="641" ht="23" customHeight="1">
      <x:c r="A641" s="2" t="str">
        <x:v>D040_T04_C020_G075</x:v>
      </x:c>
      <x:c r="B641" s="2" t="str">
        <x:v>A0033</x:v>
      </x:c>
      <x:c r="C641" s="2" t="str">
        <x:v>圈内</x:v>
      </x:c>
      <x:c r="D641" s="10" t="n">
        <x:v>1</x:v>
      </x:c>
      <x:c r="E641" s="10" t="n">
        <x:v>5</x:v>
      </x:c>
      <x:c r="F641" s="10" t="n">
        <x:v>4</x:v>
      </x:c>
      <x:c r="G641" s="10" t="n">
        <x:v>1</x:v>
      </x:c>
      <x:c r="H641" s="10" t="n">
        <x:f>IF(G641=1,E641-D641,"")</x:f>
        <x:v>4</x:v>
      </x:c>
      <x:c r="I641" s="10" t="n">
        <x:f>MIN(F641,9)</x:f>
        <x:v>4</x:v>
      </x:c>
      <x:c r="J641" s="19" t="n">
        <x:v>0.4</x:v>
      </x:c>
      <x:c r="K641" s="2" t="n">
        <x:v>4</x:v>
      </x:c>
      <x:c r="L641" s="19" t="n">
        <x:v>0.2</x:v>
      </x:c>
      <x:c r="M641" s="19" t="n">
        <x:v>0.75</x:v>
      </x:c>
    </x:row>
    <x:row r="642" ht="23" customHeight="1">
      <x:c r="A642" s="2" t="str">
        <x:v>D040_T04_C020_G075</x:v>
      </x:c>
      <x:c r="B642" s="2" t="str">
        <x:v>A0035</x:v>
      </x:c>
      <x:c r="C642" s="2" t="str">
        <x:v>圈内</x:v>
      </x:c>
      <x:c r="D642" s="10" t="n">
        <x:v>1</x:v>
      </x:c>
      <x:c r="E642" s="10" t="n">
        <x:v>7</x:v>
      </x:c>
      <x:c r="F642" s="10" t="n">
        <x:v>6</x:v>
      </x:c>
      <x:c r="G642" s="10" t="n">
        <x:v>1</x:v>
      </x:c>
      <x:c r="H642" s="10" t="n">
        <x:f>IF(G642=1,E642-D642,"")</x:f>
        <x:v>6</x:v>
      </x:c>
      <x:c r="I642" s="10" t="n">
        <x:f>MIN(F642,9)</x:f>
        <x:v>6</x:v>
      </x:c>
      <x:c r="J642" s="19" t="n">
        <x:v>0.4</x:v>
      </x:c>
      <x:c r="K642" s="2" t="n">
        <x:v>4</x:v>
      </x:c>
      <x:c r="L642" s="19" t="n">
        <x:v>0.2</x:v>
      </x:c>
      <x:c r="M642" s="19" t="n">
        <x:v>0.75</x:v>
      </x:c>
    </x:row>
    <x:row r="643" ht="23" customHeight="1">
      <x:c r="A643" s="2" t="str">
        <x:v>D040_T04_C020_G075</x:v>
      </x:c>
      <x:c r="B643" s="2" t="str">
        <x:v>A0036</x:v>
      </x:c>
      <x:c r="C643" s="2" t="str">
        <x:v>圈内</x:v>
      </x:c>
      <x:c r="D643" s="10" t="n">
        <x:v>1</x:v>
      </x:c>
      <x:c r="E643" s="10" t="n">
        <x:v>9</x:v>
      </x:c>
      <x:c r="F643" s="10" t="n">
        <x:v>8</x:v>
      </x:c>
      <x:c r="G643" s="10" t="n">
        <x:v>1</x:v>
      </x:c>
      <x:c r="H643" s="10" t="n">
        <x:f>IF(G643=1,E643-D643,"")</x:f>
        <x:v>8</x:v>
      </x:c>
      <x:c r="I643" s="10" t="n">
        <x:f>MIN(F643,9)</x:f>
        <x:v>8</x:v>
      </x:c>
      <x:c r="J643" s="19" t="n">
        <x:v>0.4</x:v>
      </x:c>
      <x:c r="K643" s="2" t="n">
        <x:v>4</x:v>
      </x:c>
      <x:c r="L643" s="19" t="n">
        <x:v>0.2</x:v>
      </x:c>
      <x:c r="M643" s="19" t="n">
        <x:v>0.75</x:v>
      </x:c>
    </x:row>
    <x:row r="644" ht="23" customHeight="1">
      <x:c r="A644" s="2" t="str">
        <x:v>D040_T04_C020_G075</x:v>
      </x:c>
      <x:c r="B644" s="2" t="str">
        <x:v>A0037</x:v>
      </x:c>
      <x:c r="C644" s="2" t="str">
        <x:v>圈内</x:v>
      </x:c>
      <x:c r="D644" s="10" t="n">
        <x:v>1</x:v>
      </x:c>
      <x:c r="E644" s="10" t="n">
        <x:v>6</x:v>
      </x:c>
      <x:c r="F644" s="10" t="n">
        <x:v>5</x:v>
      </x:c>
      <x:c r="G644" s="10" t="n">
        <x:v>1</x:v>
      </x:c>
      <x:c r="H644" s="10" t="n">
        <x:f>IF(G644=1,E644-D644,"")</x:f>
        <x:v>5</x:v>
      </x:c>
      <x:c r="I644" s="10" t="n">
        <x:f>MIN(F644,9)</x:f>
        <x:v>5</x:v>
      </x:c>
      <x:c r="J644" s="19" t="n">
        <x:v>0.4</x:v>
      </x:c>
      <x:c r="K644" s="2" t="n">
        <x:v>4</x:v>
      </x:c>
      <x:c r="L644" s="19" t="n">
        <x:v>0.2</x:v>
      </x:c>
      <x:c r="M644" s="19" t="n">
        <x:v>0.75</x:v>
      </x:c>
    </x:row>
    <x:row r="645" ht="23" customHeight="1">
      <x:c r="A645" s="2" t="str">
        <x:v>D040_T04_C020_G075</x:v>
      </x:c>
      <x:c r="B645" s="2" t="str">
        <x:v>A0038</x:v>
      </x:c>
      <x:c r="C645" s="2" t="str">
        <x:v>圈内</x:v>
      </x:c>
      <x:c r="D645" s="10" t="n">
        <x:v>1</x:v>
      </x:c>
      <x:c r="E645" s="10" t="n">
        <x:v>5</x:v>
      </x:c>
      <x:c r="F645" s="10" t="n">
        <x:v>4</x:v>
      </x:c>
      <x:c r="G645" s="10" t="n">
        <x:v>1</x:v>
      </x:c>
      <x:c r="H645" s="10" t="n">
        <x:f>IF(G645=1,E645-D645,"")</x:f>
        <x:v>4</x:v>
      </x:c>
      <x:c r="I645" s="10" t="n">
        <x:f>MIN(F645,9)</x:f>
        <x:v>4</x:v>
      </x:c>
      <x:c r="J645" s="19" t="n">
        <x:v>0.4</x:v>
      </x:c>
      <x:c r="K645" s="2" t="n">
        <x:v>4</x:v>
      </x:c>
      <x:c r="L645" s="19" t="n">
        <x:v>0.2</x:v>
      </x:c>
      <x:c r="M645" s="19" t="n">
        <x:v>0.75</x:v>
      </x:c>
    </x:row>
    <x:row r="646" ht="23" customHeight="1">
      <x:c r="A646" s="2" t="str">
        <x:v>D040_T04_C020_G075</x:v>
      </x:c>
      <x:c r="B646" s="2" t="str">
        <x:v>A0040</x:v>
      </x:c>
      <x:c r="C646" s="2" t="str">
        <x:v>圈内</x:v>
      </x:c>
      <x:c r="D646" s="10" t="n">
        <x:v>1</x:v>
      </x:c>
      <x:c r="E646" s="10" t="n">
        <x:v>6</x:v>
      </x:c>
      <x:c r="F646" s="10" t="n">
        <x:v>5</x:v>
      </x:c>
      <x:c r="G646" s="10" t="n">
        <x:v>1</x:v>
      </x:c>
      <x:c r="H646" s="10" t="n">
        <x:f>IF(G646=1,E646-D646,"")</x:f>
        <x:v>5</x:v>
      </x:c>
      <x:c r="I646" s="10" t="n">
        <x:f>MIN(F646,9)</x:f>
        <x:v>5</x:v>
      </x:c>
      <x:c r="J646" s="19" t="n">
        <x:v>0.4</x:v>
      </x:c>
      <x:c r="K646" s="2" t="n">
        <x:v>4</x:v>
      </x:c>
      <x:c r="L646" s="19" t="n">
        <x:v>0.2</x:v>
      </x:c>
      <x:c r="M646" s="19" t="n">
        <x:v>0.75</x:v>
      </x:c>
    </x:row>
    <x:row r="647" ht="23" customHeight="1">
      <x:c r="A647" s="2" t="str">
        <x:v>D040_T04_C020_G075</x:v>
      </x:c>
      <x:c r="B647" s="2" t="str">
        <x:v>A0041</x:v>
      </x:c>
      <x:c r="C647" s="2" t="str">
        <x:v>圈内</x:v>
      </x:c>
      <x:c r="D647" s="10" t="n">
        <x:v>1</x:v>
      </x:c>
      <x:c r="E647" s="10" t="n">
        <x:v>8</x:v>
      </x:c>
      <x:c r="F647" s="10" t="n">
        <x:v>7</x:v>
      </x:c>
      <x:c r="G647" s="10" t="n">
        <x:v>1</x:v>
      </x:c>
      <x:c r="H647" s="10" t="n">
        <x:f>IF(G647=1,E647-D647,"")</x:f>
        <x:v>7</x:v>
      </x:c>
      <x:c r="I647" s="10" t="n">
        <x:f>MIN(F647,9)</x:f>
        <x:v>7</x:v>
      </x:c>
      <x:c r="J647" s="19" t="n">
        <x:v>0.4</x:v>
      </x:c>
      <x:c r="K647" s="2" t="n">
        <x:v>4</x:v>
      </x:c>
      <x:c r="L647" s="19" t="n">
        <x:v>0.2</x:v>
      </x:c>
      <x:c r="M647" s="19" t="n">
        <x:v>0.75</x:v>
      </x:c>
    </x:row>
    <x:row r="648" ht="23" customHeight="1">
      <x:c r="A648" s="2" t="str">
        <x:v>D040_T04_C020_G075</x:v>
      </x:c>
      <x:c r="B648" s="2" t="str">
        <x:v>A0071</x:v>
      </x:c>
      <x:c r="C648" s="2" t="str">
        <x:v>圈内</x:v>
      </x:c>
      <x:c r="D648" s="10" t="n">
        <x:v>1</x:v>
      </x:c>
      <x:c r="E648" s="10" t="n">
        <x:v>6</x:v>
      </x:c>
      <x:c r="F648" s="10" t="n">
        <x:v>5</x:v>
      </x:c>
      <x:c r="G648" s="10" t="n">
        <x:v>1</x:v>
      </x:c>
      <x:c r="H648" s="10" t="n">
        <x:f>IF(G648=1,E648-D648,"")</x:f>
        <x:v>5</x:v>
      </x:c>
      <x:c r="I648" s="10" t="n">
        <x:f>MIN(F648,9)</x:f>
        <x:v>5</x:v>
      </x:c>
      <x:c r="J648" s="19" t="n">
        <x:v>0.4</x:v>
      </x:c>
      <x:c r="K648" s="2" t="n">
        <x:v>4</x:v>
      </x:c>
      <x:c r="L648" s="19" t="n">
        <x:v>0.2</x:v>
      </x:c>
      <x:c r="M648" s="19" t="n">
        <x:v>0.75</x:v>
      </x:c>
    </x:row>
    <x:row r="649" ht="23" customHeight="1">
      <x:c r="A649" s="2" t="str">
        <x:v>D040_T04_C020_G075</x:v>
      </x:c>
      <x:c r="B649" s="2" t="str">
        <x:v>A0090</x:v>
      </x:c>
      <x:c r="C649" s="2" t="str">
        <x:v>圈内</x:v>
      </x:c>
      <x:c r="D649" s="10" t="n">
        <x:v>1</x:v>
      </x:c>
      <x:c r="E649" s="10" t="n">
        <x:v>6</x:v>
      </x:c>
      <x:c r="F649" s="10" t="n">
        <x:v>5</x:v>
      </x:c>
      <x:c r="G649" s="10" t="n">
        <x:v>1</x:v>
      </x:c>
      <x:c r="H649" s="10" t="n">
        <x:f>IF(G649=1,E649-D649,"")</x:f>
        <x:v>5</x:v>
      </x:c>
      <x:c r="I649" s="10" t="n">
        <x:f>MIN(F649,9)</x:f>
        <x:v>5</x:v>
      </x:c>
      <x:c r="J649" s="19" t="n">
        <x:v>0.4</x:v>
      </x:c>
      <x:c r="K649" s="2" t="n">
        <x:v>4</x:v>
      </x:c>
      <x:c r="L649" s="19" t="n">
        <x:v>0.2</x:v>
      </x:c>
      <x:c r="M649" s="19" t="n">
        <x:v>0.75</x:v>
      </x:c>
    </x:row>
    <x:row r="650" ht="23" customHeight="1">
      <x:c r="A650" s="2" t="str">
        <x:v>D040_T04_C020_G075</x:v>
      </x:c>
      <x:c r="B650" s="2" t="str">
        <x:v>A0189</x:v>
      </x:c>
      <x:c r="C650" s="2" t="str">
        <x:v>圈内</x:v>
      </x:c>
      <x:c r="D650" s="10" t="n">
        <x:v>1</x:v>
      </x:c>
      <x:c r="E650" s="10" t="n">
        <x:v>6</x:v>
      </x:c>
      <x:c r="F650" s="10" t="n">
        <x:v>5</x:v>
      </x:c>
      <x:c r="G650" s="10" t="n">
        <x:v>1</x:v>
      </x:c>
      <x:c r="H650" s="10" t="n">
        <x:f>IF(G650=1,E650-D650,"")</x:f>
        <x:v>5</x:v>
      </x:c>
      <x:c r="I650" s="10" t="n">
        <x:f>MIN(F650,9)</x:f>
        <x:v>5</x:v>
      </x:c>
      <x:c r="J650" s="19" t="n">
        <x:v>0.4</x:v>
      </x:c>
      <x:c r="K650" s="2" t="n">
        <x:v>4</x:v>
      </x:c>
      <x:c r="L650" s="19" t="n">
        <x:v>0.2</x:v>
      </x:c>
      <x:c r="M650" s="19" t="n">
        <x:v>0.75</x:v>
      </x:c>
    </x:row>
    <x:row r="651" ht="23" customHeight="1">
      <x:c r="A651" s="2" t="str">
        <x:v>D040_T04_C020_G075</x:v>
      </x:c>
      <x:c r="B651" s="2" t="str">
        <x:v>A0206</x:v>
      </x:c>
      <x:c r="C651" s="2" t="str">
        <x:v>圈内</x:v>
      </x:c>
      <x:c r="D651" s="10" t="n">
        <x:v>1</x:v>
      </x:c>
      <x:c r="E651" s="10" t="n">
        <x:v>5</x:v>
      </x:c>
      <x:c r="F651" s="10" t="n">
        <x:v>4</x:v>
      </x:c>
      <x:c r="G651" s="10" t="n">
        <x:v>1</x:v>
      </x:c>
      <x:c r="H651" s="10" t="n">
        <x:f>IF(G651=1,E651-D651,"")</x:f>
        <x:v>4</x:v>
      </x:c>
      <x:c r="I651" s="10" t="n">
        <x:f>MIN(F651,9)</x:f>
        <x:v>4</x:v>
      </x:c>
      <x:c r="J651" s="19" t="n">
        <x:v>0.4</x:v>
      </x:c>
      <x:c r="K651" s="2" t="n">
        <x:v>4</x:v>
      </x:c>
      <x:c r="L651" s="19" t="n">
        <x:v>0.2</x:v>
      </x:c>
      <x:c r="M651" s="19" t="n">
        <x:v>0.75</x:v>
      </x:c>
    </x:row>
    <x:row r="652" ht="23" customHeight="1">
      <x:c r="A652" s="2" t="str">
        <x:v>D040_T04_C080_G025</x:v>
      </x:c>
      <x:c r="B652" s="2" t="str">
        <x:v>A0005</x:v>
      </x:c>
      <x:c r="C652" s="2" t="str">
        <x:v>圈内</x:v>
      </x:c>
      <x:c r="D652" s="10" t="n">
        <x:v>1</x:v>
      </x:c>
      <x:c r="E652" s="10" t="n">
        <x:v>6</x:v>
      </x:c>
      <x:c r="F652" s="10" t="n">
        <x:v>5</x:v>
      </x:c>
      <x:c r="G652" s="10" t="n">
        <x:v>1</x:v>
      </x:c>
      <x:c r="H652" s="10" t="n">
        <x:f>IF(G652=1,E652-D652,"")</x:f>
        <x:v>5</x:v>
      </x:c>
      <x:c r="I652" s="10" t="n">
        <x:f>MIN(F652,9)</x:f>
        <x:v>5</x:v>
      </x:c>
      <x:c r="J652" s="19" t="n">
        <x:v>0.4</x:v>
      </x:c>
      <x:c r="K652" s="2" t="n">
        <x:v>4</x:v>
      </x:c>
      <x:c r="L652" s="19" t="n">
        <x:v>0.8</x:v>
      </x:c>
      <x:c r="M652" s="19" t="n">
        <x:v>0.25</x:v>
      </x:c>
    </x:row>
    <x:row r="653" ht="23" customHeight="1">
      <x:c r="A653" s="2" t="str">
        <x:v>D040_T04_C080_G025</x:v>
      </x:c>
      <x:c r="B653" s="2" t="str">
        <x:v>A0008</x:v>
      </x:c>
      <x:c r="C653" s="2" t="str">
        <x:v>圈内</x:v>
      </x:c>
      <x:c r="D653" s="10" t="n">
        <x:v>1</x:v>
      </x:c>
      <x:c r="E653" s="10" t="n">
        <x:v>7</x:v>
      </x:c>
      <x:c r="F653" s="10" t="n">
        <x:v>6</x:v>
      </x:c>
      <x:c r="G653" s="10" t="n">
        <x:v>1</x:v>
      </x:c>
      <x:c r="H653" s="10" t="n">
        <x:f>IF(G653=1,E653-D653,"")</x:f>
        <x:v>6</x:v>
      </x:c>
      <x:c r="I653" s="10" t="n">
        <x:f>MIN(F653,9)</x:f>
        <x:v>6</x:v>
      </x:c>
      <x:c r="J653" s="19" t="n">
        <x:v>0.4</x:v>
      </x:c>
      <x:c r="K653" s="2" t="n">
        <x:v>4</x:v>
      </x:c>
      <x:c r="L653" s="19" t="n">
        <x:v>0.8</x:v>
      </x:c>
      <x:c r="M653" s="19" t="n">
        <x:v>0.25</x:v>
      </x:c>
    </x:row>
    <x:row r="654" ht="23" customHeight="1">
      <x:c r="A654" s="2" t="str">
        <x:v>D040_T04_C080_G025</x:v>
      </x:c>
      <x:c r="B654" s="2" t="str">
        <x:v>A0011</x:v>
      </x:c>
      <x:c r="C654" s="2" t="str">
        <x:v>圈内</x:v>
      </x:c>
      <x:c r="D654" s="10" t="n">
        <x:v>1</x:v>
      </x:c>
      <x:c r="E654" s="10"/>
      <x:c r="F654" s="10" t="n">
        <x:v>9</x:v>
      </x:c>
      <x:c r="G654" s="10" t="n">
        <x:v>0</x:v>
      </x:c>
      <x:c r="H654" s="10" t="str">
        <x:f>IF(G654=1,E654-D654,"")</x:f>
      </x:c>
      <x:c r="I654" s="10" t="n">
        <x:f>MIN(F654,9)</x:f>
        <x:v>9</x:v>
      </x:c>
      <x:c r="J654" s="19" t="n">
        <x:v>0.4</x:v>
      </x:c>
      <x:c r="K654" s="2" t="n">
        <x:v>4</x:v>
      </x:c>
      <x:c r="L654" s="19" t="n">
        <x:v>0.8</x:v>
      </x:c>
      <x:c r="M654" s="19" t="n">
        <x:v>0.25</x:v>
      </x:c>
    </x:row>
    <x:row r="655" ht="23" customHeight="1">
      <x:c r="A655" s="2" t="str">
        <x:v>D040_T04_C080_G025</x:v>
      </x:c>
      <x:c r="B655" s="2" t="str">
        <x:v>A0012</x:v>
      </x:c>
      <x:c r="C655" s="2" t="str">
        <x:v>圈内</x:v>
      </x:c>
      <x:c r="D655" s="10" t="n">
        <x:v>1</x:v>
      </x:c>
      <x:c r="E655" s="10"/>
      <x:c r="F655" s="10" t="n">
        <x:v>9</x:v>
      </x:c>
      <x:c r="G655" s="10" t="n">
        <x:v>0</x:v>
      </x:c>
      <x:c r="H655" s="10" t="str">
        <x:f>IF(G655=1,E655-D655,"")</x:f>
      </x:c>
      <x:c r="I655" s="10" t="n">
        <x:f>MIN(F655,9)</x:f>
        <x:v>9</x:v>
      </x:c>
      <x:c r="J655" s="19" t="n">
        <x:v>0.4</x:v>
      </x:c>
      <x:c r="K655" s="2" t="n">
        <x:v>4</x:v>
      </x:c>
      <x:c r="L655" s="19" t="n">
        <x:v>0.8</x:v>
      </x:c>
      <x:c r="M655" s="19" t="n">
        <x:v>0.25</x:v>
      </x:c>
    </x:row>
    <x:row r="656" ht="23" customHeight="1">
      <x:c r="A656" s="2" t="str">
        <x:v>D040_T04_C080_G025</x:v>
      </x:c>
      <x:c r="B656" s="2" t="str">
        <x:v>A0015</x:v>
      </x:c>
      <x:c r="C656" s="2" t="str">
        <x:v>圈内</x:v>
      </x:c>
      <x:c r="D656" s="10" t="n">
        <x:v>1</x:v>
      </x:c>
      <x:c r="E656" s="10"/>
      <x:c r="F656" s="10" t="n">
        <x:v>9</x:v>
      </x:c>
      <x:c r="G656" s="10" t="n">
        <x:v>0</x:v>
      </x:c>
      <x:c r="H656" s="10" t="str">
        <x:f>IF(G656=1,E656-D656,"")</x:f>
      </x:c>
      <x:c r="I656" s="10" t="n">
        <x:f>MIN(F656,9)</x:f>
        <x:v>9</x:v>
      </x:c>
      <x:c r="J656" s="19" t="n">
        <x:v>0.4</x:v>
      </x:c>
      <x:c r="K656" s="2" t="n">
        <x:v>4</x:v>
      </x:c>
      <x:c r="L656" s="19" t="n">
        <x:v>0.8</x:v>
      </x:c>
      <x:c r="M656" s="19" t="n">
        <x:v>0.25</x:v>
      </x:c>
    </x:row>
    <x:row r="657" ht="23" customHeight="1">
      <x:c r="A657" s="2" t="str">
        <x:v>D040_T04_C080_G025</x:v>
      </x:c>
      <x:c r="B657" s="2" t="str">
        <x:v>A0016</x:v>
      </x:c>
      <x:c r="C657" s="2" t="str">
        <x:v>圈内</x:v>
      </x:c>
      <x:c r="D657" s="10" t="n">
        <x:v>1</x:v>
      </x:c>
      <x:c r="E657" s="10" t="n">
        <x:v>6</x:v>
      </x:c>
      <x:c r="F657" s="10" t="n">
        <x:v>5</x:v>
      </x:c>
      <x:c r="G657" s="10" t="n">
        <x:v>1</x:v>
      </x:c>
      <x:c r="H657" s="10" t="n">
        <x:f>IF(G657=1,E657-D657,"")</x:f>
        <x:v>5</x:v>
      </x:c>
      <x:c r="I657" s="10" t="n">
        <x:f>MIN(F657,9)</x:f>
        <x:v>5</x:v>
      </x:c>
      <x:c r="J657" s="19" t="n">
        <x:v>0.4</x:v>
      </x:c>
      <x:c r="K657" s="2" t="n">
        <x:v>4</x:v>
      </x:c>
      <x:c r="L657" s="19" t="n">
        <x:v>0.8</x:v>
      </x:c>
      <x:c r="M657" s="19" t="n">
        <x:v>0.25</x:v>
      </x:c>
    </x:row>
    <x:row r="658" ht="23" customHeight="1">
      <x:c r="A658" s="2" t="str">
        <x:v>D040_T04_C080_G025</x:v>
      </x:c>
      <x:c r="B658" s="2" t="str">
        <x:v>A0017</x:v>
      </x:c>
      <x:c r="C658" s="2" t="str">
        <x:v>圈内</x:v>
      </x:c>
      <x:c r="D658" s="10" t="n">
        <x:v>1</x:v>
      </x:c>
      <x:c r="E658" s="10" t="n">
        <x:v>8</x:v>
      </x:c>
      <x:c r="F658" s="10" t="n">
        <x:v>7</x:v>
      </x:c>
      <x:c r="G658" s="10" t="n">
        <x:v>1</x:v>
      </x:c>
      <x:c r="H658" s="10" t="n">
        <x:f>IF(G658=1,E658-D658,"")</x:f>
        <x:v>7</x:v>
      </x:c>
      <x:c r="I658" s="10" t="n">
        <x:f>MIN(F658,9)</x:f>
        <x:v>7</x:v>
      </x:c>
      <x:c r="J658" s="19" t="n">
        <x:v>0.4</x:v>
      </x:c>
      <x:c r="K658" s="2" t="n">
        <x:v>4</x:v>
      </x:c>
      <x:c r="L658" s="19" t="n">
        <x:v>0.8</x:v>
      </x:c>
      <x:c r="M658" s="19" t="n">
        <x:v>0.25</x:v>
      </x:c>
    </x:row>
    <x:row r="659" ht="23" customHeight="1">
      <x:c r="A659" s="2" t="str">
        <x:v>D040_T04_C080_G025</x:v>
      </x:c>
      <x:c r="B659" s="2" t="str">
        <x:v>A0018</x:v>
      </x:c>
      <x:c r="C659" s="2" t="str">
        <x:v>圈内</x:v>
      </x:c>
      <x:c r="D659" s="10" t="n">
        <x:v>1</x:v>
      </x:c>
      <x:c r="E659" s="10"/>
      <x:c r="F659" s="10" t="n">
        <x:v>9</x:v>
      </x:c>
      <x:c r="G659" s="10" t="n">
        <x:v>0</x:v>
      </x:c>
      <x:c r="H659" s="10" t="str">
        <x:f>IF(G659=1,E659-D659,"")</x:f>
      </x:c>
      <x:c r="I659" s="10" t="n">
        <x:f>MIN(F659,9)</x:f>
        <x:v>9</x:v>
      </x:c>
      <x:c r="J659" s="19" t="n">
        <x:v>0.4</x:v>
      </x:c>
      <x:c r="K659" s="2" t="n">
        <x:v>4</x:v>
      </x:c>
      <x:c r="L659" s="19" t="n">
        <x:v>0.8</x:v>
      </x:c>
      <x:c r="M659" s="19" t="n">
        <x:v>0.25</x:v>
      </x:c>
    </x:row>
    <x:row r="660" ht="23" customHeight="1">
      <x:c r="A660" s="2" t="str">
        <x:v>D040_T04_C080_G025</x:v>
      </x:c>
      <x:c r="B660" s="2" t="str">
        <x:v>A0020</x:v>
      </x:c>
      <x:c r="C660" s="2" t="str">
        <x:v>圈内</x:v>
      </x:c>
      <x:c r="D660" s="10" t="n">
        <x:v>1</x:v>
      </x:c>
      <x:c r="E660" s="10" t="n">
        <x:v>5</x:v>
      </x:c>
      <x:c r="F660" s="10" t="n">
        <x:v>4</x:v>
      </x:c>
      <x:c r="G660" s="10" t="n">
        <x:v>1</x:v>
      </x:c>
      <x:c r="H660" s="10" t="n">
        <x:f>IF(G660=1,E660-D660,"")</x:f>
        <x:v>4</x:v>
      </x:c>
      <x:c r="I660" s="10" t="n">
        <x:f>MIN(F660,9)</x:f>
        <x:v>4</x:v>
      </x:c>
      <x:c r="J660" s="19" t="n">
        <x:v>0.4</x:v>
      </x:c>
      <x:c r="K660" s="2" t="n">
        <x:v>4</x:v>
      </x:c>
      <x:c r="L660" s="19" t="n">
        <x:v>0.8</x:v>
      </x:c>
      <x:c r="M660" s="19" t="n">
        <x:v>0.25</x:v>
      </x:c>
    </x:row>
    <x:row r="661" ht="23" customHeight="1">
      <x:c r="A661" s="2" t="str">
        <x:v>D040_T04_C080_G025</x:v>
      </x:c>
      <x:c r="B661" s="2" t="str">
        <x:v>A0023</x:v>
      </x:c>
      <x:c r="C661" s="2" t="str">
        <x:v>圈内</x:v>
      </x:c>
      <x:c r="D661" s="10" t="n">
        <x:v>1</x:v>
      </x:c>
      <x:c r="E661" s="10" t="n">
        <x:v>9</x:v>
      </x:c>
      <x:c r="F661" s="10" t="n">
        <x:v>8</x:v>
      </x:c>
      <x:c r="G661" s="10" t="n">
        <x:v>1</x:v>
      </x:c>
      <x:c r="H661" s="10" t="n">
        <x:f>IF(G661=1,E661-D661,"")</x:f>
        <x:v>8</x:v>
      </x:c>
      <x:c r="I661" s="10" t="n">
        <x:f>MIN(F661,9)</x:f>
        <x:v>8</x:v>
      </x:c>
      <x:c r="J661" s="19" t="n">
        <x:v>0.4</x:v>
      </x:c>
      <x:c r="K661" s="2" t="n">
        <x:v>4</x:v>
      </x:c>
      <x:c r="L661" s="19" t="n">
        <x:v>0.8</x:v>
      </x:c>
      <x:c r="M661" s="19" t="n">
        <x:v>0.25</x:v>
      </x:c>
    </x:row>
    <x:row r="662" ht="23" customHeight="1">
      <x:c r="A662" s="2" t="str">
        <x:v>D040_T04_C080_G025</x:v>
      </x:c>
      <x:c r="B662" s="2" t="str">
        <x:v>A0024</x:v>
      </x:c>
      <x:c r="C662" s="2" t="str">
        <x:v>圈内</x:v>
      </x:c>
      <x:c r="D662" s="10" t="n">
        <x:v>1</x:v>
      </x:c>
      <x:c r="E662" s="10" t="n">
        <x:v>10</x:v>
      </x:c>
      <x:c r="F662" s="10" t="n">
        <x:v>9</x:v>
      </x:c>
      <x:c r="G662" s="10" t="n">
        <x:v>1</x:v>
      </x:c>
      <x:c r="H662" s="10" t="n">
        <x:f>IF(G662=1,E662-D662,"")</x:f>
        <x:v>9</x:v>
      </x:c>
      <x:c r="I662" s="10" t="n">
        <x:f>MIN(F662,9)</x:f>
        <x:v>9</x:v>
      </x:c>
      <x:c r="J662" s="19" t="n">
        <x:v>0.4</x:v>
      </x:c>
      <x:c r="K662" s="2" t="n">
        <x:v>4</x:v>
      </x:c>
      <x:c r="L662" s="19" t="n">
        <x:v>0.8</x:v>
      </x:c>
      <x:c r="M662" s="19" t="n">
        <x:v>0.25</x:v>
      </x:c>
    </x:row>
    <x:row r="663" ht="23" customHeight="1">
      <x:c r="A663" s="2" t="str">
        <x:v>D040_T04_C080_G025</x:v>
      </x:c>
      <x:c r="B663" s="2" t="str">
        <x:v>A0025</x:v>
      </x:c>
      <x:c r="C663" s="2" t="str">
        <x:v>圈内</x:v>
      </x:c>
      <x:c r="D663" s="10" t="n">
        <x:v>1</x:v>
      </x:c>
      <x:c r="E663" s="10"/>
      <x:c r="F663" s="10" t="n">
        <x:v>9</x:v>
      </x:c>
      <x:c r="G663" s="10" t="n">
        <x:v>0</x:v>
      </x:c>
      <x:c r="H663" s="10" t="str">
        <x:f>IF(G663=1,E663-D663,"")</x:f>
      </x:c>
      <x:c r="I663" s="10" t="n">
        <x:f>MIN(F663,9)</x:f>
        <x:v>9</x:v>
      </x:c>
      <x:c r="J663" s="19" t="n">
        <x:v>0.4</x:v>
      </x:c>
      <x:c r="K663" s="2" t="n">
        <x:v>4</x:v>
      </x:c>
      <x:c r="L663" s="19" t="n">
        <x:v>0.8</x:v>
      </x:c>
      <x:c r="M663" s="19" t="n">
        <x:v>0.25</x:v>
      </x:c>
    </x:row>
    <x:row r="664" ht="23" customHeight="1">
      <x:c r="A664" s="2" t="str">
        <x:v>D040_T04_C080_G025</x:v>
      </x:c>
      <x:c r="B664" s="2" t="str">
        <x:v>A0026</x:v>
      </x:c>
      <x:c r="C664" s="2" t="str">
        <x:v>圈内</x:v>
      </x:c>
      <x:c r="D664" s="10" t="n">
        <x:v>1</x:v>
      </x:c>
      <x:c r="E664" s="10" t="n">
        <x:v>5</x:v>
      </x:c>
      <x:c r="F664" s="10" t="n">
        <x:v>4</x:v>
      </x:c>
      <x:c r="G664" s="10" t="n">
        <x:v>1</x:v>
      </x:c>
      <x:c r="H664" s="10" t="n">
        <x:f>IF(G664=1,E664-D664,"")</x:f>
        <x:v>4</x:v>
      </x:c>
      <x:c r="I664" s="10" t="n">
        <x:f>MIN(F664,9)</x:f>
        <x:v>4</x:v>
      </x:c>
      <x:c r="J664" s="19" t="n">
        <x:v>0.4</x:v>
      </x:c>
      <x:c r="K664" s="2" t="n">
        <x:v>4</x:v>
      </x:c>
      <x:c r="L664" s="19" t="n">
        <x:v>0.8</x:v>
      </x:c>
      <x:c r="M664" s="19" t="n">
        <x:v>0.25</x:v>
      </x:c>
    </x:row>
    <x:row r="665" ht="23" customHeight="1">
      <x:c r="A665" s="2" t="str">
        <x:v>D040_T04_C080_G025</x:v>
      </x:c>
      <x:c r="B665" s="2" t="str">
        <x:v>A0027</x:v>
      </x:c>
      <x:c r="C665" s="2" t="str">
        <x:v>圈内</x:v>
      </x:c>
      <x:c r="D665" s="10" t="n">
        <x:v>1</x:v>
      </x:c>
      <x:c r="E665" s="10" t="n">
        <x:v>8</x:v>
      </x:c>
      <x:c r="F665" s="10" t="n">
        <x:v>7</x:v>
      </x:c>
      <x:c r="G665" s="10" t="n">
        <x:v>1</x:v>
      </x:c>
      <x:c r="H665" s="10" t="n">
        <x:f>IF(G665=1,E665-D665,"")</x:f>
        <x:v>7</x:v>
      </x:c>
      <x:c r="I665" s="10" t="n">
        <x:f>MIN(F665,9)</x:f>
        <x:v>7</x:v>
      </x:c>
      <x:c r="J665" s="19" t="n">
        <x:v>0.4</x:v>
      </x:c>
      <x:c r="K665" s="2" t="n">
        <x:v>4</x:v>
      </x:c>
      <x:c r="L665" s="19" t="n">
        <x:v>0.8</x:v>
      </x:c>
      <x:c r="M665" s="19" t="n">
        <x:v>0.25</x:v>
      </x:c>
    </x:row>
    <x:row r="666" ht="23" customHeight="1">
      <x:c r="A666" s="2" t="str">
        <x:v>D040_T04_C080_G025</x:v>
      </x:c>
      <x:c r="B666" s="2" t="str">
        <x:v>A0029</x:v>
      </x:c>
      <x:c r="C666" s="2" t="str">
        <x:v>圈内</x:v>
      </x:c>
      <x:c r="D666" s="10" t="n">
        <x:v>1</x:v>
      </x:c>
      <x:c r="E666" s="10"/>
      <x:c r="F666" s="10" t="n">
        <x:v>9</x:v>
      </x:c>
      <x:c r="G666" s="10" t="n">
        <x:v>0</x:v>
      </x:c>
      <x:c r="H666" s="10" t="str">
        <x:f>IF(G666=1,E666-D666,"")</x:f>
      </x:c>
      <x:c r="I666" s="10" t="n">
        <x:f>MIN(F666,9)</x:f>
        <x:v>9</x:v>
      </x:c>
      <x:c r="J666" s="19" t="n">
        <x:v>0.4</x:v>
      </x:c>
      <x:c r="K666" s="2" t="n">
        <x:v>4</x:v>
      </x:c>
      <x:c r="L666" s="19" t="n">
        <x:v>0.8</x:v>
      </x:c>
      <x:c r="M666" s="19" t="n">
        <x:v>0.25</x:v>
      </x:c>
    </x:row>
    <x:row r="667" ht="23" customHeight="1">
      <x:c r="A667" s="2" t="str">
        <x:v>D040_T04_C080_G025</x:v>
      </x:c>
      <x:c r="B667" s="2" t="str">
        <x:v>A0030</x:v>
      </x:c>
      <x:c r="C667" s="2" t="str">
        <x:v>圈内</x:v>
      </x:c>
      <x:c r="D667" s="10" t="n">
        <x:v>1</x:v>
      </x:c>
      <x:c r="E667" s="10"/>
      <x:c r="F667" s="10" t="n">
        <x:v>9</x:v>
      </x:c>
      <x:c r="G667" s="10" t="n">
        <x:v>0</x:v>
      </x:c>
      <x:c r="H667" s="10" t="str">
        <x:f>IF(G667=1,E667-D667,"")</x:f>
      </x:c>
      <x:c r="I667" s="10" t="n">
        <x:f>MIN(F667,9)</x:f>
        <x:v>9</x:v>
      </x:c>
      <x:c r="J667" s="19" t="n">
        <x:v>0.4</x:v>
      </x:c>
      <x:c r="K667" s="2" t="n">
        <x:v>4</x:v>
      </x:c>
      <x:c r="L667" s="19" t="n">
        <x:v>0.8</x:v>
      </x:c>
      <x:c r="M667" s="19" t="n">
        <x:v>0.25</x:v>
      </x:c>
    </x:row>
    <x:row r="668" ht="23" customHeight="1">
      <x:c r="A668" s="2" t="str">
        <x:v>D040_T04_C080_G025</x:v>
      </x:c>
      <x:c r="B668" s="2" t="str">
        <x:v>A0031</x:v>
      </x:c>
      <x:c r="C668" s="2" t="str">
        <x:v>圈内</x:v>
      </x:c>
      <x:c r="D668" s="10" t="n">
        <x:v>1</x:v>
      </x:c>
      <x:c r="E668" s="10" t="n">
        <x:v>4</x:v>
      </x:c>
      <x:c r="F668" s="10" t="n">
        <x:v>3</x:v>
      </x:c>
      <x:c r="G668" s="10" t="n">
        <x:v>1</x:v>
      </x:c>
      <x:c r="H668" s="10" t="n">
        <x:f>IF(G668=1,E668-D668,"")</x:f>
        <x:v>3</x:v>
      </x:c>
      <x:c r="I668" s="10" t="n">
        <x:f>MIN(F668,9)</x:f>
        <x:v>3</x:v>
      </x:c>
      <x:c r="J668" s="19" t="n">
        <x:v>0.4</x:v>
      </x:c>
      <x:c r="K668" s="2" t="n">
        <x:v>4</x:v>
      </x:c>
      <x:c r="L668" s="19" t="n">
        <x:v>0.8</x:v>
      </x:c>
      <x:c r="M668" s="19" t="n">
        <x:v>0.25</x:v>
      </x:c>
    </x:row>
    <x:row r="669" ht="23" customHeight="1">
      <x:c r="A669" s="2" t="str">
        <x:v>D040_T04_C080_G025</x:v>
      </x:c>
      <x:c r="B669" s="2" t="str">
        <x:v>A0032</x:v>
      </x:c>
      <x:c r="C669" s="2" t="str">
        <x:v>圈内</x:v>
      </x:c>
      <x:c r="D669" s="10" t="n">
        <x:v>1</x:v>
      </x:c>
      <x:c r="E669" s="10"/>
      <x:c r="F669" s="10" t="n">
        <x:v>9</x:v>
      </x:c>
      <x:c r="G669" s="10" t="n">
        <x:v>0</x:v>
      </x:c>
      <x:c r="H669" s="10" t="str">
        <x:f>IF(G669=1,E669-D669,"")</x:f>
      </x:c>
      <x:c r="I669" s="10" t="n">
        <x:f>MIN(F669,9)</x:f>
        <x:v>9</x:v>
      </x:c>
      <x:c r="J669" s="19" t="n">
        <x:v>0.4</x:v>
      </x:c>
      <x:c r="K669" s="2" t="n">
        <x:v>4</x:v>
      </x:c>
      <x:c r="L669" s="19" t="n">
        <x:v>0.8</x:v>
      </x:c>
      <x:c r="M669" s="19" t="n">
        <x:v>0.25</x:v>
      </x:c>
    </x:row>
    <x:row r="670" ht="23" customHeight="1">
      <x:c r="A670" s="2" t="str">
        <x:v>D040_T04_C080_G025</x:v>
      </x:c>
      <x:c r="B670" s="2" t="str">
        <x:v>A0033</x:v>
      </x:c>
      <x:c r="C670" s="2" t="str">
        <x:v>圈内</x:v>
      </x:c>
      <x:c r="D670" s="10" t="n">
        <x:v>1</x:v>
      </x:c>
      <x:c r="E670" s="10" t="n">
        <x:v>6</x:v>
      </x:c>
      <x:c r="F670" s="10" t="n">
        <x:v>5</x:v>
      </x:c>
      <x:c r="G670" s="10" t="n">
        <x:v>1</x:v>
      </x:c>
      <x:c r="H670" s="10" t="n">
        <x:f>IF(G670=1,E670-D670,"")</x:f>
        <x:v>5</x:v>
      </x:c>
      <x:c r="I670" s="10" t="n">
        <x:f>MIN(F670,9)</x:f>
        <x:v>5</x:v>
      </x:c>
      <x:c r="J670" s="19" t="n">
        <x:v>0.4</x:v>
      </x:c>
      <x:c r="K670" s="2" t="n">
        <x:v>4</x:v>
      </x:c>
      <x:c r="L670" s="19" t="n">
        <x:v>0.8</x:v>
      </x:c>
      <x:c r="M670" s="19" t="n">
        <x:v>0.25</x:v>
      </x:c>
    </x:row>
    <x:row r="671" ht="23" customHeight="1">
      <x:c r="A671" s="2" t="str">
        <x:v>D040_T04_C080_G025</x:v>
      </x:c>
      <x:c r="B671" s="2" t="str">
        <x:v>A0034</x:v>
      </x:c>
      <x:c r="C671" s="2" t="str">
        <x:v>圈内</x:v>
      </x:c>
      <x:c r="D671" s="10" t="n">
        <x:v>1</x:v>
      </x:c>
      <x:c r="E671" s="10" t="n">
        <x:v>4</x:v>
      </x:c>
      <x:c r="F671" s="10" t="n">
        <x:v>3</x:v>
      </x:c>
      <x:c r="G671" s="10" t="n">
        <x:v>1</x:v>
      </x:c>
      <x:c r="H671" s="10" t="n">
        <x:f>IF(G671=1,E671-D671,"")</x:f>
        <x:v>3</x:v>
      </x:c>
      <x:c r="I671" s="10" t="n">
        <x:f>MIN(F671,9)</x:f>
        <x:v>3</x:v>
      </x:c>
      <x:c r="J671" s="19" t="n">
        <x:v>0.4</x:v>
      </x:c>
      <x:c r="K671" s="2" t="n">
        <x:v>4</x:v>
      </x:c>
      <x:c r="L671" s="19" t="n">
        <x:v>0.8</x:v>
      </x:c>
      <x:c r="M671" s="19" t="n">
        <x:v>0.25</x:v>
      </x:c>
    </x:row>
    <x:row r="672" ht="23" customHeight="1">
      <x:c r="A672" s="2" t="str">
        <x:v>D040_T04_C080_G025</x:v>
      </x:c>
      <x:c r="B672" s="2" t="str">
        <x:v>A0035</x:v>
      </x:c>
      <x:c r="C672" s="2" t="str">
        <x:v>圈内</x:v>
      </x:c>
      <x:c r="D672" s="10" t="n">
        <x:v>1</x:v>
      </x:c>
      <x:c r="E672" s="10"/>
      <x:c r="F672" s="10" t="n">
        <x:v>9</x:v>
      </x:c>
      <x:c r="G672" s="10" t="n">
        <x:v>0</x:v>
      </x:c>
      <x:c r="H672" s="10" t="str">
        <x:f>IF(G672=1,E672-D672,"")</x:f>
      </x:c>
      <x:c r="I672" s="10" t="n">
        <x:f>MIN(F672,9)</x:f>
        <x:v>9</x:v>
      </x:c>
      <x:c r="J672" s="19" t="n">
        <x:v>0.4</x:v>
      </x:c>
      <x:c r="K672" s="2" t="n">
        <x:v>4</x:v>
      </x:c>
      <x:c r="L672" s="19" t="n">
        <x:v>0.8</x:v>
      </x:c>
      <x:c r="M672" s="19" t="n">
        <x:v>0.25</x:v>
      </x:c>
    </x:row>
    <x:row r="673" ht="23" customHeight="1">
      <x:c r="A673" s="2" t="str">
        <x:v>D040_T04_C080_G025</x:v>
      </x:c>
      <x:c r="B673" s="2" t="str">
        <x:v>A0036</x:v>
      </x:c>
      <x:c r="C673" s="2" t="str">
        <x:v>圈内</x:v>
      </x:c>
      <x:c r="D673" s="10" t="n">
        <x:v>1</x:v>
      </x:c>
      <x:c r="E673" s="10" t="n">
        <x:v>6</x:v>
      </x:c>
      <x:c r="F673" s="10" t="n">
        <x:v>5</x:v>
      </x:c>
      <x:c r="G673" s="10" t="n">
        <x:v>1</x:v>
      </x:c>
      <x:c r="H673" s="10" t="n">
        <x:f>IF(G673=1,E673-D673,"")</x:f>
        <x:v>5</x:v>
      </x:c>
      <x:c r="I673" s="10" t="n">
        <x:f>MIN(F673,9)</x:f>
        <x:v>5</x:v>
      </x:c>
      <x:c r="J673" s="19" t="n">
        <x:v>0.4</x:v>
      </x:c>
      <x:c r="K673" s="2" t="n">
        <x:v>4</x:v>
      </x:c>
      <x:c r="L673" s="19" t="n">
        <x:v>0.8</x:v>
      </x:c>
      <x:c r="M673" s="19" t="n">
        <x:v>0.25</x:v>
      </x:c>
    </x:row>
    <x:row r="674" ht="23" customHeight="1">
      <x:c r="A674" s="2" t="str">
        <x:v>D040_T04_C080_G025</x:v>
      </x:c>
      <x:c r="B674" s="2" t="str">
        <x:v>A0037</x:v>
      </x:c>
      <x:c r="C674" s="2" t="str">
        <x:v>圈内</x:v>
      </x:c>
      <x:c r="D674" s="10" t="n">
        <x:v>1</x:v>
      </x:c>
      <x:c r="E674" s="10" t="n">
        <x:v>9</x:v>
      </x:c>
      <x:c r="F674" s="10" t="n">
        <x:v>8</x:v>
      </x:c>
      <x:c r="G674" s="10" t="n">
        <x:v>1</x:v>
      </x:c>
      <x:c r="H674" s="10" t="n">
        <x:f>IF(G674=1,E674-D674,"")</x:f>
        <x:v>8</x:v>
      </x:c>
      <x:c r="I674" s="10" t="n">
        <x:f>MIN(F674,9)</x:f>
        <x:v>8</x:v>
      </x:c>
      <x:c r="J674" s="19" t="n">
        <x:v>0.4</x:v>
      </x:c>
      <x:c r="K674" s="2" t="n">
        <x:v>4</x:v>
      </x:c>
      <x:c r="L674" s="19" t="n">
        <x:v>0.8</x:v>
      </x:c>
      <x:c r="M674" s="19" t="n">
        <x:v>0.25</x:v>
      </x:c>
    </x:row>
    <x:row r="675" ht="23" customHeight="1">
      <x:c r="A675" s="2" t="str">
        <x:v>D040_T04_C080_G025</x:v>
      </x:c>
      <x:c r="B675" s="2" t="str">
        <x:v>A0038</x:v>
      </x:c>
      <x:c r="C675" s="2" t="str">
        <x:v>圈内</x:v>
      </x:c>
      <x:c r="D675" s="10" t="n">
        <x:v>1</x:v>
      </x:c>
      <x:c r="E675" s="10" t="n">
        <x:v>10</x:v>
      </x:c>
      <x:c r="F675" s="10" t="n">
        <x:v>9</x:v>
      </x:c>
      <x:c r="G675" s="10" t="n">
        <x:v>1</x:v>
      </x:c>
      <x:c r="H675" s="10" t="n">
        <x:f>IF(G675=1,E675-D675,"")</x:f>
        <x:v>9</x:v>
      </x:c>
      <x:c r="I675" s="10" t="n">
        <x:f>MIN(F675,9)</x:f>
        <x:v>9</x:v>
      </x:c>
      <x:c r="J675" s="19" t="n">
        <x:v>0.4</x:v>
      </x:c>
      <x:c r="K675" s="2" t="n">
        <x:v>4</x:v>
      </x:c>
      <x:c r="L675" s="19" t="n">
        <x:v>0.8</x:v>
      </x:c>
      <x:c r="M675" s="19" t="n">
        <x:v>0.25</x:v>
      </x:c>
    </x:row>
    <x:row r="676" ht="23" customHeight="1">
      <x:c r="A676" s="2" t="str">
        <x:v>D040_T04_C080_G025</x:v>
      </x:c>
      <x:c r="B676" s="2" t="str">
        <x:v>A0040</x:v>
      </x:c>
      <x:c r="C676" s="2" t="str">
        <x:v>圈内</x:v>
      </x:c>
      <x:c r="D676" s="10" t="n">
        <x:v>1</x:v>
      </x:c>
      <x:c r="E676" s="10"/>
      <x:c r="F676" s="10" t="n">
        <x:v>9</x:v>
      </x:c>
      <x:c r="G676" s="10" t="n">
        <x:v>0</x:v>
      </x:c>
      <x:c r="H676" s="10" t="str">
        <x:f>IF(G676=1,E676-D676,"")</x:f>
      </x:c>
      <x:c r="I676" s="10" t="n">
        <x:f>MIN(F676,9)</x:f>
        <x:v>9</x:v>
      </x:c>
      <x:c r="J676" s="19" t="n">
        <x:v>0.4</x:v>
      </x:c>
      <x:c r="K676" s="2" t="n">
        <x:v>4</x:v>
      </x:c>
      <x:c r="L676" s="19" t="n">
        <x:v>0.8</x:v>
      </x:c>
      <x:c r="M676" s="19" t="n">
        <x:v>0.25</x:v>
      </x:c>
    </x:row>
    <x:row r="677" ht="23" customHeight="1">
      <x:c r="A677" s="2" t="str">
        <x:v>D040_T04_C080_G025</x:v>
      </x:c>
      <x:c r="B677" s="2" t="str">
        <x:v>A0041</x:v>
      </x:c>
      <x:c r="C677" s="2" t="str">
        <x:v>圈内</x:v>
      </x:c>
      <x:c r="D677" s="10" t="n">
        <x:v>1</x:v>
      </x:c>
      <x:c r="E677" s="10" t="n">
        <x:v>9</x:v>
      </x:c>
      <x:c r="F677" s="10" t="n">
        <x:v>8</x:v>
      </x:c>
      <x:c r="G677" s="10" t="n">
        <x:v>1</x:v>
      </x:c>
      <x:c r="H677" s="10" t="n">
        <x:f>IF(G677=1,E677-D677,"")</x:f>
        <x:v>8</x:v>
      </x:c>
      <x:c r="I677" s="10" t="n">
        <x:f>MIN(F677,9)</x:f>
        <x:v>8</x:v>
      </x:c>
      <x:c r="J677" s="19" t="n">
        <x:v>0.4</x:v>
      </x:c>
      <x:c r="K677" s="2" t="n">
        <x:v>4</x:v>
      </x:c>
      <x:c r="L677" s="19" t="n">
        <x:v>0.8</x:v>
      </x:c>
      <x:c r="M677" s="19" t="n">
        <x:v>0.25</x:v>
      </x:c>
    </x:row>
    <x:row r="678" ht="23" customHeight="1">
      <x:c r="A678" s="2" t="str">
        <x:v>D040_T04_C080_G025</x:v>
      </x:c>
      <x:c r="B678" s="2" t="str">
        <x:v>A0071</x:v>
      </x:c>
      <x:c r="C678" s="2" t="str">
        <x:v>圈内</x:v>
      </x:c>
      <x:c r="D678" s="10" t="n">
        <x:v>1</x:v>
      </x:c>
      <x:c r="E678" s="10"/>
      <x:c r="F678" s="10" t="n">
        <x:v>9</x:v>
      </x:c>
      <x:c r="G678" s="10" t="n">
        <x:v>0</x:v>
      </x:c>
      <x:c r="H678" s="10" t="str">
        <x:f>IF(G678=1,E678-D678,"")</x:f>
      </x:c>
      <x:c r="I678" s="10" t="n">
        <x:f>MIN(F678,9)</x:f>
        <x:v>9</x:v>
      </x:c>
      <x:c r="J678" s="19" t="n">
        <x:v>0.4</x:v>
      </x:c>
      <x:c r="K678" s="2" t="n">
        <x:v>4</x:v>
      </x:c>
      <x:c r="L678" s="19" t="n">
        <x:v>0.8</x:v>
      </x:c>
      <x:c r="M678" s="19" t="n">
        <x:v>0.25</x:v>
      </x:c>
    </x:row>
    <x:row r="679" ht="23" customHeight="1">
      <x:c r="A679" s="2" t="str">
        <x:v>D040_T04_C080_G025</x:v>
      </x:c>
      <x:c r="B679" s="2" t="str">
        <x:v>A0090</x:v>
      </x:c>
      <x:c r="C679" s="2" t="str">
        <x:v>圈内</x:v>
      </x:c>
      <x:c r="D679" s="10" t="n">
        <x:v>1</x:v>
      </x:c>
      <x:c r="E679" s="10"/>
      <x:c r="F679" s="10" t="n">
        <x:v>9</x:v>
      </x:c>
      <x:c r="G679" s="10" t="n">
        <x:v>0</x:v>
      </x:c>
      <x:c r="H679" s="10" t="str">
        <x:f>IF(G679=1,E679-D679,"")</x:f>
      </x:c>
      <x:c r="I679" s="10" t="n">
        <x:f>MIN(F679,9)</x:f>
        <x:v>9</x:v>
      </x:c>
      <x:c r="J679" s="19" t="n">
        <x:v>0.4</x:v>
      </x:c>
      <x:c r="K679" s="2" t="n">
        <x:v>4</x:v>
      </x:c>
      <x:c r="L679" s="19" t="n">
        <x:v>0.8</x:v>
      </x:c>
      <x:c r="M679" s="19" t="n">
        <x:v>0.25</x:v>
      </x:c>
    </x:row>
    <x:row r="680" ht="23" customHeight="1">
      <x:c r="A680" s="2" t="str">
        <x:v>D040_T04_C080_G025</x:v>
      </x:c>
      <x:c r="B680" s="2" t="str">
        <x:v>A0189</x:v>
      </x:c>
      <x:c r="C680" s="2" t="str">
        <x:v>圈内</x:v>
      </x:c>
      <x:c r="D680" s="10" t="n">
        <x:v>1</x:v>
      </x:c>
      <x:c r="E680" s="10"/>
      <x:c r="F680" s="10" t="n">
        <x:v>9</x:v>
      </x:c>
      <x:c r="G680" s="10" t="n">
        <x:v>0</x:v>
      </x:c>
      <x:c r="H680" s="10" t="str">
        <x:f>IF(G680=1,E680-D680,"")</x:f>
      </x:c>
      <x:c r="I680" s="10" t="n">
        <x:f>MIN(F680,9)</x:f>
        <x:v>9</x:v>
      </x:c>
      <x:c r="J680" s="19" t="n">
        <x:v>0.4</x:v>
      </x:c>
      <x:c r="K680" s="2" t="n">
        <x:v>4</x:v>
      </x:c>
      <x:c r="L680" s="19" t="n">
        <x:v>0.8</x:v>
      </x:c>
      <x:c r="M680" s="19" t="n">
        <x:v>0.25</x:v>
      </x:c>
    </x:row>
    <x:row r="681" ht="23" customHeight="1">
      <x:c r="A681" s="2" t="str">
        <x:v>D040_T04_C080_G025</x:v>
      </x:c>
      <x:c r="B681" s="2" t="str">
        <x:v>A0206</x:v>
      </x:c>
      <x:c r="C681" s="2" t="str">
        <x:v>圈内</x:v>
      </x:c>
      <x:c r="D681" s="10" t="n">
        <x:v>1</x:v>
      </x:c>
      <x:c r="E681" s="10" t="n">
        <x:v>5</x:v>
      </x:c>
      <x:c r="F681" s="10" t="n">
        <x:v>4</x:v>
      </x:c>
      <x:c r="G681" s="10" t="n">
        <x:v>1</x:v>
      </x:c>
      <x:c r="H681" s="10" t="n">
        <x:f>IF(G681=1,E681-D681,"")</x:f>
        <x:v>4</x:v>
      </x:c>
      <x:c r="I681" s="10" t="n">
        <x:f>MIN(F681,9)</x:f>
        <x:v>4</x:v>
      </x:c>
      <x:c r="J681" s="19" t="n">
        <x:v>0.4</x:v>
      </x:c>
      <x:c r="K681" s="2" t="n">
        <x:v>4</x:v>
      </x:c>
      <x:c r="L681" s="19" t="n">
        <x:v>0.8</x:v>
      </x:c>
      <x:c r="M681" s="19" t="n">
        <x:v>0.25</x:v>
      </x:c>
    </x:row>
    <x:row r="682" ht="23" customHeight="1">
      <x:c r="A682" s="2" t="str">
        <x:v>D040_T04_C080_G050</x:v>
      </x:c>
      <x:c r="B682" s="2" t="str">
        <x:v>A0002</x:v>
      </x:c>
      <x:c r="C682" s="2" t="str">
        <x:v>圈内</x:v>
      </x:c>
      <x:c r="D682" s="10" t="n">
        <x:v>1</x:v>
      </x:c>
      <x:c r="E682" s="10" t="n">
        <x:v>5</x:v>
      </x:c>
      <x:c r="F682" s="10" t="n">
        <x:v>4</x:v>
      </x:c>
      <x:c r="G682" s="10" t="n">
        <x:v>1</x:v>
      </x:c>
      <x:c r="H682" s="10" t="n">
        <x:f>IF(G682=1,E682-D682,"")</x:f>
        <x:v>4</x:v>
      </x:c>
      <x:c r="I682" s="10" t="n">
        <x:f>MIN(F682,9)</x:f>
        <x:v>4</x:v>
      </x:c>
      <x:c r="J682" s="19" t="n">
        <x:v>0.4</x:v>
      </x:c>
      <x:c r="K682" s="2" t="n">
        <x:v>4</x:v>
      </x:c>
      <x:c r="L682" s="19" t="n">
        <x:v>0.8</x:v>
      </x:c>
      <x:c r="M682" s="19" t="n">
        <x:v>0.5</x:v>
      </x:c>
    </x:row>
    <x:row r="683" ht="23" customHeight="1">
      <x:c r="A683" s="2" t="str">
        <x:v>D040_T04_C080_G050</x:v>
      </x:c>
      <x:c r="B683" s="2" t="str">
        <x:v>A0005</x:v>
      </x:c>
      <x:c r="C683" s="2" t="str">
        <x:v>圈内</x:v>
      </x:c>
      <x:c r="D683" s="10" t="n">
        <x:v>1</x:v>
      </x:c>
      <x:c r="E683" s="10" t="n">
        <x:v>5</x:v>
      </x:c>
      <x:c r="F683" s="10" t="n">
        <x:v>4</x:v>
      </x:c>
      <x:c r="G683" s="10" t="n">
        <x:v>1</x:v>
      </x:c>
      <x:c r="H683" s="10" t="n">
        <x:f>IF(G683=1,E683-D683,"")</x:f>
        <x:v>4</x:v>
      </x:c>
      <x:c r="I683" s="10" t="n">
        <x:f>MIN(F683,9)</x:f>
        <x:v>4</x:v>
      </x:c>
      <x:c r="J683" s="19" t="n">
        <x:v>0.4</x:v>
      </x:c>
      <x:c r="K683" s="2" t="n">
        <x:v>4</x:v>
      </x:c>
      <x:c r="L683" s="19" t="n">
        <x:v>0.8</x:v>
      </x:c>
      <x:c r="M683" s="19" t="n">
        <x:v>0.5</x:v>
      </x:c>
    </x:row>
    <x:row r="684" ht="23" customHeight="1">
      <x:c r="A684" s="2" t="str">
        <x:v>D040_T04_C080_G050</x:v>
      </x:c>
      <x:c r="B684" s="2" t="str">
        <x:v>A0006</x:v>
      </x:c>
      <x:c r="C684" s="2" t="str">
        <x:v>圈内</x:v>
      </x:c>
      <x:c r="D684" s="10" t="n">
        <x:v>1</x:v>
      </x:c>
      <x:c r="E684" s="10" t="n">
        <x:v>6</x:v>
      </x:c>
      <x:c r="F684" s="10" t="n">
        <x:v>5</x:v>
      </x:c>
      <x:c r="G684" s="10" t="n">
        <x:v>1</x:v>
      </x:c>
      <x:c r="H684" s="10" t="n">
        <x:f>IF(G684=1,E684-D684,"")</x:f>
        <x:v>5</x:v>
      </x:c>
      <x:c r="I684" s="10" t="n">
        <x:f>MIN(F684,9)</x:f>
        <x:v>5</x:v>
      </x:c>
      <x:c r="J684" s="19" t="n">
        <x:v>0.4</x:v>
      </x:c>
      <x:c r="K684" s="2" t="n">
        <x:v>4</x:v>
      </x:c>
      <x:c r="L684" s="19" t="n">
        <x:v>0.8</x:v>
      </x:c>
      <x:c r="M684" s="19" t="n">
        <x:v>0.5</x:v>
      </x:c>
    </x:row>
    <x:row r="685" ht="23" customHeight="1">
      <x:c r="A685" s="2" t="str">
        <x:v>D040_T04_C080_G050</x:v>
      </x:c>
      <x:c r="B685" s="2" t="str">
        <x:v>A0011</x:v>
      </x:c>
      <x:c r="C685" s="2" t="str">
        <x:v>圈内</x:v>
      </x:c>
      <x:c r="D685" s="10" t="n">
        <x:v>1</x:v>
      </x:c>
      <x:c r="E685" s="10" t="n">
        <x:v>8</x:v>
      </x:c>
      <x:c r="F685" s="10" t="n">
        <x:v>7</x:v>
      </x:c>
      <x:c r="G685" s="10" t="n">
        <x:v>1</x:v>
      </x:c>
      <x:c r="H685" s="10" t="n">
        <x:f>IF(G685=1,E685-D685,"")</x:f>
        <x:v>7</x:v>
      </x:c>
      <x:c r="I685" s="10" t="n">
        <x:f>MIN(F685,9)</x:f>
        <x:v>7</x:v>
      </x:c>
      <x:c r="J685" s="19" t="n">
        <x:v>0.4</x:v>
      </x:c>
      <x:c r="K685" s="2" t="n">
        <x:v>4</x:v>
      </x:c>
      <x:c r="L685" s="19" t="n">
        <x:v>0.8</x:v>
      </x:c>
      <x:c r="M685" s="19" t="n">
        <x:v>0.5</x:v>
      </x:c>
    </x:row>
    <x:row r="686" ht="23" customHeight="1">
      <x:c r="A686" s="2" t="str">
        <x:v>D040_T04_C080_G050</x:v>
      </x:c>
      <x:c r="B686" s="2" t="str">
        <x:v>A0012</x:v>
      </x:c>
      <x:c r="C686" s="2" t="str">
        <x:v>圈内</x:v>
      </x:c>
      <x:c r="D686" s="10" t="n">
        <x:v>1</x:v>
      </x:c>
      <x:c r="E686" s="10" t="n">
        <x:v>6</x:v>
      </x:c>
      <x:c r="F686" s="10" t="n">
        <x:v>5</x:v>
      </x:c>
      <x:c r="G686" s="10" t="n">
        <x:v>1</x:v>
      </x:c>
      <x:c r="H686" s="10" t="n">
        <x:f>IF(G686=1,E686-D686,"")</x:f>
        <x:v>5</x:v>
      </x:c>
      <x:c r="I686" s="10" t="n">
        <x:f>MIN(F686,9)</x:f>
        <x:v>5</x:v>
      </x:c>
      <x:c r="J686" s="19" t="n">
        <x:v>0.4</x:v>
      </x:c>
      <x:c r="K686" s="2" t="n">
        <x:v>4</x:v>
      </x:c>
      <x:c r="L686" s="19" t="n">
        <x:v>0.8</x:v>
      </x:c>
      <x:c r="M686" s="19" t="n">
        <x:v>0.5</x:v>
      </x:c>
    </x:row>
    <x:row r="687" ht="23" customHeight="1">
      <x:c r="A687" s="2" t="str">
        <x:v>D040_T04_C080_G050</x:v>
      </x:c>
      <x:c r="B687" s="2" t="str">
        <x:v>A0014</x:v>
      </x:c>
      <x:c r="C687" s="2" t="str">
        <x:v>圈内</x:v>
      </x:c>
      <x:c r="D687" s="10" t="n">
        <x:v>1</x:v>
      </x:c>
      <x:c r="E687" s="10" t="n">
        <x:v>4</x:v>
      </x:c>
      <x:c r="F687" s="10" t="n">
        <x:v>3</x:v>
      </x:c>
      <x:c r="G687" s="10" t="n">
        <x:v>1</x:v>
      </x:c>
      <x:c r="H687" s="10" t="n">
        <x:f>IF(G687=1,E687-D687,"")</x:f>
        <x:v>3</x:v>
      </x:c>
      <x:c r="I687" s="10" t="n">
        <x:f>MIN(F687,9)</x:f>
        <x:v>3</x:v>
      </x:c>
      <x:c r="J687" s="19" t="n">
        <x:v>0.4</x:v>
      </x:c>
      <x:c r="K687" s="2" t="n">
        <x:v>4</x:v>
      </x:c>
      <x:c r="L687" s="19" t="n">
        <x:v>0.8</x:v>
      </x:c>
      <x:c r="M687" s="19" t="n">
        <x:v>0.5</x:v>
      </x:c>
    </x:row>
    <x:row r="688" ht="23" customHeight="1">
      <x:c r="A688" s="2" t="str">
        <x:v>D040_T04_C080_G050</x:v>
      </x:c>
      <x:c r="B688" s="2" t="str">
        <x:v>A0016</x:v>
      </x:c>
      <x:c r="C688" s="2" t="str">
        <x:v>圈内</x:v>
      </x:c>
      <x:c r="D688" s="10" t="n">
        <x:v>1</x:v>
      </x:c>
      <x:c r="E688" s="10" t="n">
        <x:v>4</x:v>
      </x:c>
      <x:c r="F688" s="10" t="n">
        <x:v>3</x:v>
      </x:c>
      <x:c r="G688" s="10" t="n">
        <x:v>1</x:v>
      </x:c>
      <x:c r="H688" s="10" t="n">
        <x:f>IF(G688=1,E688-D688,"")</x:f>
        <x:v>3</x:v>
      </x:c>
      <x:c r="I688" s="10" t="n">
        <x:f>MIN(F688,9)</x:f>
        <x:v>3</x:v>
      </x:c>
      <x:c r="J688" s="19" t="n">
        <x:v>0.4</x:v>
      </x:c>
      <x:c r="K688" s="2" t="n">
        <x:v>4</x:v>
      </x:c>
      <x:c r="L688" s="19" t="n">
        <x:v>0.8</x:v>
      </x:c>
      <x:c r="M688" s="19" t="n">
        <x:v>0.5</x:v>
      </x:c>
    </x:row>
    <x:row r="689" ht="23" customHeight="1">
      <x:c r="A689" s="2" t="str">
        <x:v>D040_T04_C080_G050</x:v>
      </x:c>
      <x:c r="B689" s="2" t="str">
        <x:v>A0017</x:v>
      </x:c>
      <x:c r="C689" s="2" t="str">
        <x:v>圈内</x:v>
      </x:c>
      <x:c r="D689" s="10" t="n">
        <x:v>1</x:v>
      </x:c>
      <x:c r="E689" s="10" t="n">
        <x:v>7</x:v>
      </x:c>
      <x:c r="F689" s="10" t="n">
        <x:v>6</x:v>
      </x:c>
      <x:c r="G689" s="10" t="n">
        <x:v>1</x:v>
      </x:c>
      <x:c r="H689" s="10" t="n">
        <x:f>IF(G689=1,E689-D689,"")</x:f>
        <x:v>6</x:v>
      </x:c>
      <x:c r="I689" s="10" t="n">
        <x:f>MIN(F689,9)</x:f>
        <x:v>6</x:v>
      </x:c>
      <x:c r="J689" s="19" t="n">
        <x:v>0.4</x:v>
      </x:c>
      <x:c r="K689" s="2" t="n">
        <x:v>4</x:v>
      </x:c>
      <x:c r="L689" s="19" t="n">
        <x:v>0.8</x:v>
      </x:c>
      <x:c r="M689" s="19" t="n">
        <x:v>0.5</x:v>
      </x:c>
    </x:row>
    <x:row r="690" ht="23" customHeight="1">
      <x:c r="A690" s="2" t="str">
        <x:v>D040_T04_C080_G050</x:v>
      </x:c>
      <x:c r="B690" s="2" t="str">
        <x:v>A0018</x:v>
      </x:c>
      <x:c r="C690" s="2" t="str">
        <x:v>圈内</x:v>
      </x:c>
      <x:c r="D690" s="10" t="n">
        <x:v>1</x:v>
      </x:c>
      <x:c r="E690" s="10" t="n">
        <x:v>5</x:v>
      </x:c>
      <x:c r="F690" s="10" t="n">
        <x:v>4</x:v>
      </x:c>
      <x:c r="G690" s="10" t="n">
        <x:v>1</x:v>
      </x:c>
      <x:c r="H690" s="10" t="n">
        <x:f>IF(G690=1,E690-D690,"")</x:f>
        <x:v>4</x:v>
      </x:c>
      <x:c r="I690" s="10" t="n">
        <x:f>MIN(F690,9)</x:f>
        <x:v>4</x:v>
      </x:c>
      <x:c r="J690" s="19" t="n">
        <x:v>0.4</x:v>
      </x:c>
      <x:c r="K690" s="2" t="n">
        <x:v>4</x:v>
      </x:c>
      <x:c r="L690" s="19" t="n">
        <x:v>0.8</x:v>
      </x:c>
      <x:c r="M690" s="19" t="n">
        <x:v>0.5</x:v>
      </x:c>
    </x:row>
    <x:row r="691" ht="23" customHeight="1">
      <x:c r="A691" s="2" t="str">
        <x:v>D040_T04_C080_G050</x:v>
      </x:c>
      <x:c r="B691" s="2" t="str">
        <x:v>A0019</x:v>
      </x:c>
      <x:c r="C691" s="2" t="str">
        <x:v>圈内</x:v>
      </x:c>
      <x:c r="D691" s="10" t="n">
        <x:v>1</x:v>
      </x:c>
      <x:c r="E691" s="10" t="n">
        <x:v>4</x:v>
      </x:c>
      <x:c r="F691" s="10" t="n">
        <x:v>3</x:v>
      </x:c>
      <x:c r="G691" s="10" t="n">
        <x:v>1</x:v>
      </x:c>
      <x:c r="H691" s="10" t="n">
        <x:f>IF(G691=1,E691-D691,"")</x:f>
        <x:v>3</x:v>
      </x:c>
      <x:c r="I691" s="10" t="n">
        <x:f>MIN(F691,9)</x:f>
        <x:v>3</x:v>
      </x:c>
      <x:c r="J691" s="19" t="n">
        <x:v>0.4</x:v>
      </x:c>
      <x:c r="K691" s="2" t="n">
        <x:v>4</x:v>
      </x:c>
      <x:c r="L691" s="19" t="n">
        <x:v>0.8</x:v>
      </x:c>
      <x:c r="M691" s="19" t="n">
        <x:v>0.5</x:v>
      </x:c>
    </x:row>
    <x:row r="692" ht="23" customHeight="1">
      <x:c r="A692" s="2" t="str">
        <x:v>D040_T04_C080_G050</x:v>
      </x:c>
      <x:c r="B692" s="2" t="str">
        <x:v>A0020</x:v>
      </x:c>
      <x:c r="C692" s="2" t="str">
        <x:v>圈内</x:v>
      </x:c>
      <x:c r="D692" s="10" t="n">
        <x:v>1</x:v>
      </x:c>
      <x:c r="E692" s="10" t="n">
        <x:v>5</x:v>
      </x:c>
      <x:c r="F692" s="10" t="n">
        <x:v>4</x:v>
      </x:c>
      <x:c r="G692" s="10" t="n">
        <x:v>1</x:v>
      </x:c>
      <x:c r="H692" s="10" t="n">
        <x:f>IF(G692=1,E692-D692,"")</x:f>
        <x:v>4</x:v>
      </x:c>
      <x:c r="I692" s="10" t="n">
        <x:f>MIN(F692,9)</x:f>
        <x:v>4</x:v>
      </x:c>
      <x:c r="J692" s="19" t="n">
        <x:v>0.4</x:v>
      </x:c>
      <x:c r="K692" s="2" t="n">
        <x:v>4</x:v>
      </x:c>
      <x:c r="L692" s="19" t="n">
        <x:v>0.8</x:v>
      </x:c>
      <x:c r="M692" s="19" t="n">
        <x:v>0.5</x:v>
      </x:c>
    </x:row>
    <x:row r="693" ht="23" customHeight="1">
      <x:c r="A693" s="2" t="str">
        <x:v>D040_T04_C080_G050</x:v>
      </x:c>
      <x:c r="B693" s="2" t="str">
        <x:v>A0022</x:v>
      </x:c>
      <x:c r="C693" s="2" t="str">
        <x:v>圈内</x:v>
      </x:c>
      <x:c r="D693" s="10" t="n">
        <x:v>1</x:v>
      </x:c>
      <x:c r="E693" s="10" t="n">
        <x:v>4</x:v>
      </x:c>
      <x:c r="F693" s="10" t="n">
        <x:v>3</x:v>
      </x:c>
      <x:c r="G693" s="10" t="n">
        <x:v>1</x:v>
      </x:c>
      <x:c r="H693" s="10" t="n">
        <x:f>IF(G693=1,E693-D693,"")</x:f>
        <x:v>3</x:v>
      </x:c>
      <x:c r="I693" s="10" t="n">
        <x:f>MIN(F693,9)</x:f>
        <x:v>3</x:v>
      </x:c>
      <x:c r="J693" s="19" t="n">
        <x:v>0.4</x:v>
      </x:c>
      <x:c r="K693" s="2" t="n">
        <x:v>4</x:v>
      </x:c>
      <x:c r="L693" s="19" t="n">
        <x:v>0.8</x:v>
      </x:c>
      <x:c r="M693" s="19" t="n">
        <x:v>0.5</x:v>
      </x:c>
    </x:row>
    <x:row r="694" ht="23" customHeight="1">
      <x:c r="A694" s="2" t="str">
        <x:v>D040_T04_C080_G050</x:v>
      </x:c>
      <x:c r="B694" s="2" t="str">
        <x:v>A0023</x:v>
      </x:c>
      <x:c r="C694" s="2" t="str">
        <x:v>圈内</x:v>
      </x:c>
      <x:c r="D694" s="10" t="n">
        <x:v>1</x:v>
      </x:c>
      <x:c r="E694" s="10" t="n">
        <x:v>4</x:v>
      </x:c>
      <x:c r="F694" s="10" t="n">
        <x:v>3</x:v>
      </x:c>
      <x:c r="G694" s="10" t="n">
        <x:v>1</x:v>
      </x:c>
      <x:c r="H694" s="10" t="n">
        <x:f>IF(G694=1,E694-D694,"")</x:f>
        <x:v>3</x:v>
      </x:c>
      <x:c r="I694" s="10" t="n">
        <x:f>MIN(F694,9)</x:f>
        <x:v>3</x:v>
      </x:c>
      <x:c r="J694" s="19" t="n">
        <x:v>0.4</x:v>
      </x:c>
      <x:c r="K694" s="2" t="n">
        <x:v>4</x:v>
      </x:c>
      <x:c r="L694" s="19" t="n">
        <x:v>0.8</x:v>
      </x:c>
      <x:c r="M694" s="19" t="n">
        <x:v>0.5</x:v>
      </x:c>
    </x:row>
    <x:row r="695" ht="23" customHeight="1">
      <x:c r="A695" s="2" t="str">
        <x:v>D040_T04_C080_G050</x:v>
      </x:c>
      <x:c r="B695" s="2" t="str">
        <x:v>A0024</x:v>
      </x:c>
      <x:c r="C695" s="2" t="str">
        <x:v>圈内</x:v>
      </x:c>
      <x:c r="D695" s="10" t="n">
        <x:v>1</x:v>
      </x:c>
      <x:c r="E695" s="10" t="n">
        <x:v>8</x:v>
      </x:c>
      <x:c r="F695" s="10" t="n">
        <x:v>7</x:v>
      </x:c>
      <x:c r="G695" s="10" t="n">
        <x:v>1</x:v>
      </x:c>
      <x:c r="H695" s="10" t="n">
        <x:f>IF(G695=1,E695-D695,"")</x:f>
        <x:v>7</x:v>
      </x:c>
      <x:c r="I695" s="10" t="n">
        <x:f>MIN(F695,9)</x:f>
        <x:v>7</x:v>
      </x:c>
      <x:c r="J695" s="19" t="n">
        <x:v>0.4</x:v>
      </x:c>
      <x:c r="K695" s="2" t="n">
        <x:v>4</x:v>
      </x:c>
      <x:c r="L695" s="19" t="n">
        <x:v>0.8</x:v>
      </x:c>
      <x:c r="M695" s="19" t="n">
        <x:v>0.5</x:v>
      </x:c>
    </x:row>
    <x:row r="696" ht="23" customHeight="1">
      <x:c r="A696" s="2" t="str">
        <x:v>D040_T04_C080_G050</x:v>
      </x:c>
      <x:c r="B696" s="2" t="str">
        <x:v>A0025</x:v>
      </x:c>
      <x:c r="C696" s="2" t="str">
        <x:v>圈内</x:v>
      </x:c>
      <x:c r="D696" s="10" t="n">
        <x:v>1</x:v>
      </x:c>
      <x:c r="E696" s="10" t="n">
        <x:v>5</x:v>
      </x:c>
      <x:c r="F696" s="10" t="n">
        <x:v>4</x:v>
      </x:c>
      <x:c r="G696" s="10" t="n">
        <x:v>1</x:v>
      </x:c>
      <x:c r="H696" s="10" t="n">
        <x:f>IF(G696=1,E696-D696,"")</x:f>
        <x:v>4</x:v>
      </x:c>
      <x:c r="I696" s="10" t="n">
        <x:f>MIN(F696,9)</x:f>
        <x:v>4</x:v>
      </x:c>
      <x:c r="J696" s="19" t="n">
        <x:v>0.4</x:v>
      </x:c>
      <x:c r="K696" s="2" t="n">
        <x:v>4</x:v>
      </x:c>
      <x:c r="L696" s="19" t="n">
        <x:v>0.8</x:v>
      </x:c>
      <x:c r="M696" s="19" t="n">
        <x:v>0.5</x:v>
      </x:c>
    </x:row>
    <x:row r="697" ht="23" customHeight="1">
      <x:c r="A697" s="2" t="str">
        <x:v>D040_T04_C080_G050</x:v>
      </x:c>
      <x:c r="B697" s="2" t="str">
        <x:v>A0026</x:v>
      </x:c>
      <x:c r="C697" s="2" t="str">
        <x:v>圈内</x:v>
      </x:c>
      <x:c r="D697" s="10" t="n">
        <x:v>1</x:v>
      </x:c>
      <x:c r="E697" s="10" t="n">
        <x:v>4</x:v>
      </x:c>
      <x:c r="F697" s="10" t="n">
        <x:v>3</x:v>
      </x:c>
      <x:c r="G697" s="10" t="n">
        <x:v>1</x:v>
      </x:c>
      <x:c r="H697" s="10" t="n">
        <x:f>IF(G697=1,E697-D697,"")</x:f>
        <x:v>3</x:v>
      </x:c>
      <x:c r="I697" s="10" t="n">
        <x:f>MIN(F697,9)</x:f>
        <x:v>3</x:v>
      </x:c>
      <x:c r="J697" s="19" t="n">
        <x:v>0.4</x:v>
      </x:c>
      <x:c r="K697" s="2" t="n">
        <x:v>4</x:v>
      </x:c>
      <x:c r="L697" s="19" t="n">
        <x:v>0.8</x:v>
      </x:c>
      <x:c r="M697" s="19" t="n">
        <x:v>0.5</x:v>
      </x:c>
    </x:row>
    <x:row r="698" ht="23" customHeight="1">
      <x:c r="A698" s="2" t="str">
        <x:v>D040_T04_C080_G050</x:v>
      </x:c>
      <x:c r="B698" s="2" t="str">
        <x:v>A0027</x:v>
      </x:c>
      <x:c r="C698" s="2" t="str">
        <x:v>圈内</x:v>
      </x:c>
      <x:c r="D698" s="10" t="n">
        <x:v>1</x:v>
      </x:c>
      <x:c r="E698" s="10" t="n">
        <x:v>5</x:v>
      </x:c>
      <x:c r="F698" s="10" t="n">
        <x:v>4</x:v>
      </x:c>
      <x:c r="G698" s="10" t="n">
        <x:v>1</x:v>
      </x:c>
      <x:c r="H698" s="10" t="n">
        <x:f>IF(G698=1,E698-D698,"")</x:f>
        <x:v>4</x:v>
      </x:c>
      <x:c r="I698" s="10" t="n">
        <x:f>MIN(F698,9)</x:f>
        <x:v>4</x:v>
      </x:c>
      <x:c r="J698" s="19" t="n">
        <x:v>0.4</x:v>
      </x:c>
      <x:c r="K698" s="2" t="n">
        <x:v>4</x:v>
      </x:c>
      <x:c r="L698" s="19" t="n">
        <x:v>0.8</x:v>
      </x:c>
      <x:c r="M698" s="19" t="n">
        <x:v>0.5</x:v>
      </x:c>
    </x:row>
    <x:row r="699" ht="23" customHeight="1">
      <x:c r="A699" s="2" t="str">
        <x:v>D040_T04_C080_G050</x:v>
      </x:c>
      <x:c r="B699" s="2" t="str">
        <x:v>A0029</x:v>
      </x:c>
      <x:c r="C699" s="2" t="str">
        <x:v>圈内</x:v>
      </x:c>
      <x:c r="D699" s="10" t="n">
        <x:v>1</x:v>
      </x:c>
      <x:c r="E699" s="10" t="n">
        <x:v>5</x:v>
      </x:c>
      <x:c r="F699" s="10" t="n">
        <x:v>4</x:v>
      </x:c>
      <x:c r="G699" s="10" t="n">
        <x:v>1</x:v>
      </x:c>
      <x:c r="H699" s="10" t="n">
        <x:f>IF(G699=1,E699-D699,"")</x:f>
        <x:v>4</x:v>
      </x:c>
      <x:c r="I699" s="10" t="n">
        <x:f>MIN(F699,9)</x:f>
        <x:v>4</x:v>
      </x:c>
      <x:c r="J699" s="19" t="n">
        <x:v>0.4</x:v>
      </x:c>
      <x:c r="K699" s="2" t="n">
        <x:v>4</x:v>
      </x:c>
      <x:c r="L699" s="19" t="n">
        <x:v>0.8</x:v>
      </x:c>
      <x:c r="M699" s="19" t="n">
        <x:v>0.5</x:v>
      </x:c>
    </x:row>
    <x:row r="700" ht="23" customHeight="1">
      <x:c r="A700" s="2" t="str">
        <x:v>D040_T04_C080_G050</x:v>
      </x:c>
      <x:c r="B700" s="2" t="str">
        <x:v>A0030</x:v>
      </x:c>
      <x:c r="C700" s="2" t="str">
        <x:v>圈内</x:v>
      </x:c>
      <x:c r="D700" s="10" t="n">
        <x:v>1</x:v>
      </x:c>
      <x:c r="E700" s="10" t="n">
        <x:v>7</x:v>
      </x:c>
      <x:c r="F700" s="10" t="n">
        <x:v>6</x:v>
      </x:c>
      <x:c r="G700" s="10" t="n">
        <x:v>1</x:v>
      </x:c>
      <x:c r="H700" s="10" t="n">
        <x:f>IF(G700=1,E700-D700,"")</x:f>
        <x:v>6</x:v>
      </x:c>
      <x:c r="I700" s="10" t="n">
        <x:f>MIN(F700,9)</x:f>
        <x:v>6</x:v>
      </x:c>
      <x:c r="J700" s="19" t="n">
        <x:v>0.4</x:v>
      </x:c>
      <x:c r="K700" s="2" t="n">
        <x:v>4</x:v>
      </x:c>
      <x:c r="L700" s="19" t="n">
        <x:v>0.8</x:v>
      </x:c>
      <x:c r="M700" s="19" t="n">
        <x:v>0.5</x:v>
      </x:c>
    </x:row>
    <x:row r="701" ht="23" customHeight="1">
      <x:c r="A701" s="2" t="str">
        <x:v>D040_T04_C080_G050</x:v>
      </x:c>
      <x:c r="B701" s="2" t="str">
        <x:v>A0032</x:v>
      </x:c>
      <x:c r="C701" s="2" t="str">
        <x:v>圈内</x:v>
      </x:c>
      <x:c r="D701" s="10" t="n">
        <x:v>1</x:v>
      </x:c>
      <x:c r="E701" s="10" t="n">
        <x:v>4</x:v>
      </x:c>
      <x:c r="F701" s="10" t="n">
        <x:v>3</x:v>
      </x:c>
      <x:c r="G701" s="10" t="n">
        <x:v>1</x:v>
      </x:c>
      <x:c r="H701" s="10" t="n">
        <x:f>IF(G701=1,E701-D701,"")</x:f>
        <x:v>3</x:v>
      </x:c>
      <x:c r="I701" s="10" t="n">
        <x:f>MIN(F701,9)</x:f>
        <x:v>3</x:v>
      </x:c>
      <x:c r="J701" s="19" t="n">
        <x:v>0.4</x:v>
      </x:c>
      <x:c r="K701" s="2" t="n">
        <x:v>4</x:v>
      </x:c>
      <x:c r="L701" s="19" t="n">
        <x:v>0.8</x:v>
      </x:c>
      <x:c r="M701" s="19" t="n">
        <x:v>0.5</x:v>
      </x:c>
    </x:row>
    <x:row r="702" ht="23" customHeight="1">
      <x:c r="A702" s="2" t="str">
        <x:v>D040_T04_C080_G050</x:v>
      </x:c>
      <x:c r="B702" s="2" t="str">
        <x:v>A0033</x:v>
      </x:c>
      <x:c r="C702" s="2" t="str">
        <x:v>圈内</x:v>
      </x:c>
      <x:c r="D702" s="10" t="n">
        <x:v>1</x:v>
      </x:c>
      <x:c r="E702" s="10" t="n">
        <x:v>4</x:v>
      </x:c>
      <x:c r="F702" s="10" t="n">
        <x:v>3</x:v>
      </x:c>
      <x:c r="G702" s="10" t="n">
        <x:v>1</x:v>
      </x:c>
      <x:c r="H702" s="10" t="n">
        <x:f>IF(G702=1,E702-D702,"")</x:f>
        <x:v>3</x:v>
      </x:c>
      <x:c r="I702" s="10" t="n">
        <x:f>MIN(F702,9)</x:f>
        <x:v>3</x:v>
      </x:c>
      <x:c r="J702" s="19" t="n">
        <x:v>0.4</x:v>
      </x:c>
      <x:c r="K702" s="2" t="n">
        <x:v>4</x:v>
      </x:c>
      <x:c r="L702" s="19" t="n">
        <x:v>0.8</x:v>
      </x:c>
      <x:c r="M702" s="19" t="n">
        <x:v>0.5</x:v>
      </x:c>
    </x:row>
    <x:row r="703" ht="23" customHeight="1">
      <x:c r="A703" s="2" t="str">
        <x:v>D040_T04_C080_G050</x:v>
      </x:c>
      <x:c r="B703" s="2" t="str">
        <x:v>A0035</x:v>
      </x:c>
      <x:c r="C703" s="2" t="str">
        <x:v>圈内</x:v>
      </x:c>
      <x:c r="D703" s="10" t="n">
        <x:v>1</x:v>
      </x:c>
      <x:c r="E703" s="10" t="n">
        <x:v>4</x:v>
      </x:c>
      <x:c r="F703" s="10" t="n">
        <x:v>3</x:v>
      </x:c>
      <x:c r="G703" s="10" t="n">
        <x:v>1</x:v>
      </x:c>
      <x:c r="H703" s="10" t="n">
        <x:f>IF(G703=1,E703-D703,"")</x:f>
        <x:v>3</x:v>
      </x:c>
      <x:c r="I703" s="10" t="n">
        <x:f>MIN(F703,9)</x:f>
        <x:v>3</x:v>
      </x:c>
      <x:c r="J703" s="19" t="n">
        <x:v>0.4</x:v>
      </x:c>
      <x:c r="K703" s="2" t="n">
        <x:v>4</x:v>
      </x:c>
      <x:c r="L703" s="19" t="n">
        <x:v>0.8</x:v>
      </x:c>
      <x:c r="M703" s="19" t="n">
        <x:v>0.5</x:v>
      </x:c>
    </x:row>
    <x:row r="704" ht="23" customHeight="1">
      <x:c r="A704" s="2" t="str">
        <x:v>D040_T04_C080_G050</x:v>
      </x:c>
      <x:c r="B704" s="2" t="str">
        <x:v>A0036</x:v>
      </x:c>
      <x:c r="C704" s="2" t="str">
        <x:v>圈内</x:v>
      </x:c>
      <x:c r="D704" s="10" t="n">
        <x:v>1</x:v>
      </x:c>
      <x:c r="E704" s="10" t="n">
        <x:v>6</x:v>
      </x:c>
      <x:c r="F704" s="10" t="n">
        <x:v>5</x:v>
      </x:c>
      <x:c r="G704" s="10" t="n">
        <x:v>1</x:v>
      </x:c>
      <x:c r="H704" s="10" t="n">
        <x:f>IF(G704=1,E704-D704,"")</x:f>
        <x:v>5</x:v>
      </x:c>
      <x:c r="I704" s="10" t="n">
        <x:f>MIN(F704,9)</x:f>
        <x:v>5</x:v>
      </x:c>
      <x:c r="J704" s="19" t="n">
        <x:v>0.4</x:v>
      </x:c>
      <x:c r="K704" s="2" t="n">
        <x:v>4</x:v>
      </x:c>
      <x:c r="L704" s="19" t="n">
        <x:v>0.8</x:v>
      </x:c>
      <x:c r="M704" s="19" t="n">
        <x:v>0.5</x:v>
      </x:c>
    </x:row>
    <x:row r="705" ht="23" customHeight="1">
      <x:c r="A705" s="2" t="str">
        <x:v>D040_T04_C080_G050</x:v>
      </x:c>
      <x:c r="B705" s="2" t="str">
        <x:v>A0037</x:v>
      </x:c>
      <x:c r="C705" s="2" t="str">
        <x:v>圈内</x:v>
      </x:c>
      <x:c r="D705" s="10" t="n">
        <x:v>1</x:v>
      </x:c>
      <x:c r="E705" s="10" t="n">
        <x:v>6</x:v>
      </x:c>
      <x:c r="F705" s="10" t="n">
        <x:v>5</x:v>
      </x:c>
      <x:c r="G705" s="10" t="n">
        <x:v>1</x:v>
      </x:c>
      <x:c r="H705" s="10" t="n">
        <x:f>IF(G705=1,E705-D705,"")</x:f>
        <x:v>5</x:v>
      </x:c>
      <x:c r="I705" s="10" t="n">
        <x:f>MIN(F705,9)</x:f>
        <x:v>5</x:v>
      </x:c>
      <x:c r="J705" s="19" t="n">
        <x:v>0.4</x:v>
      </x:c>
      <x:c r="K705" s="2" t="n">
        <x:v>4</x:v>
      </x:c>
      <x:c r="L705" s="19" t="n">
        <x:v>0.8</x:v>
      </x:c>
      <x:c r="M705" s="19" t="n">
        <x:v>0.5</x:v>
      </x:c>
    </x:row>
    <x:row r="706" ht="23" customHeight="1">
      <x:c r="A706" s="2" t="str">
        <x:v>D040_T04_C080_G050</x:v>
      </x:c>
      <x:c r="B706" s="2" t="str">
        <x:v>A0038</x:v>
      </x:c>
      <x:c r="C706" s="2" t="str">
        <x:v>圈内</x:v>
      </x:c>
      <x:c r="D706" s="10" t="n">
        <x:v>1</x:v>
      </x:c>
      <x:c r="E706" s="10" t="n">
        <x:v>7</x:v>
      </x:c>
      <x:c r="F706" s="10" t="n">
        <x:v>6</x:v>
      </x:c>
      <x:c r="G706" s="10" t="n">
        <x:v>1</x:v>
      </x:c>
      <x:c r="H706" s="10" t="n">
        <x:f>IF(G706=1,E706-D706,"")</x:f>
        <x:v>6</x:v>
      </x:c>
      <x:c r="I706" s="10" t="n">
        <x:f>MIN(F706,9)</x:f>
        <x:v>6</x:v>
      </x:c>
      <x:c r="J706" s="19" t="n">
        <x:v>0.4</x:v>
      </x:c>
      <x:c r="K706" s="2" t="n">
        <x:v>4</x:v>
      </x:c>
      <x:c r="L706" s="19" t="n">
        <x:v>0.8</x:v>
      </x:c>
      <x:c r="M706" s="19" t="n">
        <x:v>0.5</x:v>
      </x:c>
    </x:row>
    <x:row r="707" ht="23" customHeight="1">
      <x:c r="A707" s="2" t="str">
        <x:v>D040_T04_C080_G050</x:v>
      </x:c>
      <x:c r="B707" s="2" t="str">
        <x:v>A0040</x:v>
      </x:c>
      <x:c r="C707" s="2" t="str">
        <x:v>圈内</x:v>
      </x:c>
      <x:c r="D707" s="10" t="n">
        <x:v>1</x:v>
      </x:c>
      <x:c r="E707" s="10" t="n">
        <x:v>4</x:v>
      </x:c>
      <x:c r="F707" s="10" t="n">
        <x:v>3</x:v>
      </x:c>
      <x:c r="G707" s="10" t="n">
        <x:v>1</x:v>
      </x:c>
      <x:c r="H707" s="10" t="n">
        <x:f>IF(G707=1,E707-D707,"")</x:f>
        <x:v>3</x:v>
      </x:c>
      <x:c r="I707" s="10" t="n">
        <x:f>MIN(F707,9)</x:f>
        <x:v>3</x:v>
      </x:c>
      <x:c r="J707" s="19" t="n">
        <x:v>0.4</x:v>
      </x:c>
      <x:c r="K707" s="2" t="n">
        <x:v>4</x:v>
      </x:c>
      <x:c r="L707" s="19" t="n">
        <x:v>0.8</x:v>
      </x:c>
      <x:c r="M707" s="19" t="n">
        <x:v>0.5</x:v>
      </x:c>
    </x:row>
    <x:row r="708" ht="23" customHeight="1">
      <x:c r="A708" s="2" t="str">
        <x:v>D040_T04_C080_G050</x:v>
      </x:c>
      <x:c r="B708" s="2" t="str">
        <x:v>A0041</x:v>
      </x:c>
      <x:c r="C708" s="2" t="str">
        <x:v>圈内</x:v>
      </x:c>
      <x:c r="D708" s="10" t="n">
        <x:v>1</x:v>
      </x:c>
      <x:c r="E708" s="10" t="n">
        <x:v>6</x:v>
      </x:c>
      <x:c r="F708" s="10" t="n">
        <x:v>5</x:v>
      </x:c>
      <x:c r="G708" s="10" t="n">
        <x:v>1</x:v>
      </x:c>
      <x:c r="H708" s="10" t="n">
        <x:f>IF(G708=1,E708-D708,"")</x:f>
        <x:v>5</x:v>
      </x:c>
      <x:c r="I708" s="10" t="n">
        <x:f>MIN(F708,9)</x:f>
        <x:v>5</x:v>
      </x:c>
      <x:c r="J708" s="19" t="n">
        <x:v>0.4</x:v>
      </x:c>
      <x:c r="K708" s="2" t="n">
        <x:v>4</x:v>
      </x:c>
      <x:c r="L708" s="19" t="n">
        <x:v>0.8</x:v>
      </x:c>
      <x:c r="M708" s="19" t="n">
        <x:v>0.5</x:v>
      </x:c>
    </x:row>
    <x:row r="709" ht="23" customHeight="1">
      <x:c r="A709" s="2" t="str">
        <x:v>D040_T04_C080_G050</x:v>
      </x:c>
      <x:c r="B709" s="2" t="str">
        <x:v>A0071</x:v>
      </x:c>
      <x:c r="C709" s="2" t="str">
        <x:v>圈内</x:v>
      </x:c>
      <x:c r="D709" s="10" t="n">
        <x:v>1</x:v>
      </x:c>
      <x:c r="E709" s="10" t="n">
        <x:v>5</x:v>
      </x:c>
      <x:c r="F709" s="10" t="n">
        <x:v>4</x:v>
      </x:c>
      <x:c r="G709" s="10" t="n">
        <x:v>1</x:v>
      </x:c>
      <x:c r="H709" s="10" t="n">
        <x:f>IF(G709=1,E709-D709,"")</x:f>
        <x:v>4</x:v>
      </x:c>
      <x:c r="I709" s="10" t="n">
        <x:f>MIN(F709,9)</x:f>
        <x:v>4</x:v>
      </x:c>
      <x:c r="J709" s="19" t="n">
        <x:v>0.4</x:v>
      </x:c>
      <x:c r="K709" s="2" t="n">
        <x:v>4</x:v>
      </x:c>
      <x:c r="L709" s="19" t="n">
        <x:v>0.8</x:v>
      </x:c>
      <x:c r="M709" s="19" t="n">
        <x:v>0.5</x:v>
      </x:c>
    </x:row>
    <x:row r="710" ht="23" customHeight="1">
      <x:c r="A710" s="2" t="str">
        <x:v>D040_T04_C080_G050</x:v>
      </x:c>
      <x:c r="B710" s="2" t="str">
        <x:v>A0090</x:v>
      </x:c>
      <x:c r="C710" s="2" t="str">
        <x:v>圈内</x:v>
      </x:c>
      <x:c r="D710" s="10" t="n">
        <x:v>1</x:v>
      </x:c>
      <x:c r="E710" s="10"/>
      <x:c r="F710" s="10" t="n">
        <x:v>9</x:v>
      </x:c>
      <x:c r="G710" s="10" t="n">
        <x:v>0</x:v>
      </x:c>
      <x:c r="H710" s="10" t="str">
        <x:f>IF(G710=1,E710-D710,"")</x:f>
      </x:c>
      <x:c r="I710" s="10" t="n">
        <x:f>MIN(F710,9)</x:f>
        <x:v>9</x:v>
      </x:c>
      <x:c r="J710" s="19" t="n">
        <x:v>0.4</x:v>
      </x:c>
      <x:c r="K710" s="2" t="n">
        <x:v>4</x:v>
      </x:c>
      <x:c r="L710" s="19" t="n">
        <x:v>0.8</x:v>
      </x:c>
      <x:c r="M710" s="19" t="n">
        <x:v>0.5</x:v>
      </x:c>
    </x:row>
    <x:row r="711" ht="23" customHeight="1">
      <x:c r="A711" s="2" t="str">
        <x:v>D040_T04_C080_G050</x:v>
      </x:c>
      <x:c r="B711" s="2" t="str">
        <x:v>A0189</x:v>
      </x:c>
      <x:c r="C711" s="2" t="str">
        <x:v>圈内</x:v>
      </x:c>
      <x:c r="D711" s="10" t="n">
        <x:v>1</x:v>
      </x:c>
      <x:c r="E711" s="10" t="n">
        <x:v>8</x:v>
      </x:c>
      <x:c r="F711" s="10" t="n">
        <x:v>7</x:v>
      </x:c>
      <x:c r="G711" s="10" t="n">
        <x:v>1</x:v>
      </x:c>
      <x:c r="H711" s="10" t="n">
        <x:f>IF(G711=1,E711-D711,"")</x:f>
        <x:v>7</x:v>
      </x:c>
      <x:c r="I711" s="10" t="n">
        <x:f>MIN(F711,9)</x:f>
        <x:v>7</x:v>
      </x:c>
      <x:c r="J711" s="19" t="n">
        <x:v>0.4</x:v>
      </x:c>
      <x:c r="K711" s="2" t="n">
        <x:v>4</x:v>
      </x:c>
      <x:c r="L711" s="19" t="n">
        <x:v>0.8</x:v>
      </x:c>
      <x:c r="M711" s="19" t="n">
        <x:v>0.5</x:v>
      </x:c>
    </x:row>
    <x:row r="712" ht="23" customHeight="1">
      <x:c r="A712" s="2" t="str">
        <x:v>D040_T04_C080_G050</x:v>
      </x:c>
      <x:c r="B712" s="2" t="str">
        <x:v>A0206</x:v>
      </x:c>
      <x:c r="C712" s="2" t="str">
        <x:v>圈内</x:v>
      </x:c>
      <x:c r="D712" s="10" t="n">
        <x:v>1</x:v>
      </x:c>
      <x:c r="E712" s="10" t="n">
        <x:v>4</x:v>
      </x:c>
      <x:c r="F712" s="10" t="n">
        <x:v>3</x:v>
      </x:c>
      <x:c r="G712" s="10" t="n">
        <x:v>1</x:v>
      </x:c>
      <x:c r="H712" s="10" t="n">
        <x:f>IF(G712=1,E712-D712,"")</x:f>
        <x:v>3</x:v>
      </x:c>
      <x:c r="I712" s="10" t="n">
        <x:f>MIN(F712,9)</x:f>
        <x:v>3</x:v>
      </x:c>
      <x:c r="J712" s="19" t="n">
        <x:v>0.4</x:v>
      </x:c>
      <x:c r="K712" s="2" t="n">
        <x:v>4</x:v>
      </x:c>
      <x:c r="L712" s="19" t="n">
        <x:v>0.8</x:v>
      </x:c>
      <x:c r="M712" s="19" t="n">
        <x:v>0.5</x:v>
      </x:c>
    </x:row>
    <x:row r="713" ht="23" customHeight="1">
      <x:c r="A713" s="2" t="str">
        <x:v>D040_T04_C080_G075</x:v>
      </x:c>
      <x:c r="B713" s="2" t="str">
        <x:v>A0001</x:v>
      </x:c>
      <x:c r="C713" s="2" t="str">
        <x:v>圈内</x:v>
      </x:c>
      <x:c r="D713" s="10" t="n">
        <x:v>1</x:v>
      </x:c>
      <x:c r="E713" s="10" t="n">
        <x:v>4</x:v>
      </x:c>
      <x:c r="F713" s="10" t="n">
        <x:v>3</x:v>
      </x:c>
      <x:c r="G713" s="10" t="n">
        <x:v>1</x:v>
      </x:c>
      <x:c r="H713" s="10" t="n">
        <x:f>IF(G713=1,E713-D713,"")</x:f>
        <x:v>3</x:v>
      </x:c>
      <x:c r="I713" s="10" t="n">
        <x:f>MIN(F713,9)</x:f>
        <x:v>3</x:v>
      </x:c>
      <x:c r="J713" s="19" t="n">
        <x:v>0.4</x:v>
      </x:c>
      <x:c r="K713" s="2" t="n">
        <x:v>4</x:v>
      </x:c>
      <x:c r="L713" s="19" t="n">
        <x:v>0.8</x:v>
      </x:c>
      <x:c r="M713" s="19" t="n">
        <x:v>0.75</x:v>
      </x:c>
    </x:row>
    <x:row r="714" ht="23" customHeight="1">
      <x:c r="A714" s="2" t="str">
        <x:v>D040_T04_C080_G075</x:v>
      </x:c>
      <x:c r="B714" s="2" t="str">
        <x:v>A0005</x:v>
      </x:c>
      <x:c r="C714" s="2" t="str">
        <x:v>圈内</x:v>
      </x:c>
      <x:c r="D714" s="10" t="n">
        <x:v>1</x:v>
      </x:c>
      <x:c r="E714" s="10" t="n">
        <x:v>4</x:v>
      </x:c>
      <x:c r="F714" s="10" t="n">
        <x:v>3</x:v>
      </x:c>
      <x:c r="G714" s="10" t="n">
        <x:v>1</x:v>
      </x:c>
      <x:c r="H714" s="10" t="n">
        <x:f>IF(G714=1,E714-D714,"")</x:f>
        <x:v>3</x:v>
      </x:c>
      <x:c r="I714" s="10" t="n">
        <x:f>MIN(F714,9)</x:f>
        <x:v>3</x:v>
      </x:c>
      <x:c r="J714" s="19" t="n">
        <x:v>0.4</x:v>
      </x:c>
      <x:c r="K714" s="2" t="n">
        <x:v>4</x:v>
      </x:c>
      <x:c r="L714" s="19" t="n">
        <x:v>0.8</x:v>
      </x:c>
      <x:c r="M714" s="19" t="n">
        <x:v>0.75</x:v>
      </x:c>
    </x:row>
    <x:row r="715" ht="23" customHeight="1">
      <x:c r="A715" s="2" t="str">
        <x:v>D040_T04_C080_G075</x:v>
      </x:c>
      <x:c r="B715" s="2" t="str">
        <x:v>A0010</x:v>
      </x:c>
      <x:c r="C715" s="2" t="str">
        <x:v>圈内</x:v>
      </x:c>
      <x:c r="D715" s="10" t="n">
        <x:v>1</x:v>
      </x:c>
      <x:c r="E715" s="10" t="n">
        <x:v>5</x:v>
      </x:c>
      <x:c r="F715" s="10" t="n">
        <x:v>4</x:v>
      </x:c>
      <x:c r="G715" s="10" t="n">
        <x:v>1</x:v>
      </x:c>
      <x:c r="H715" s="10" t="n">
        <x:f>IF(G715=1,E715-D715,"")</x:f>
        <x:v>4</x:v>
      </x:c>
      <x:c r="I715" s="10" t="n">
        <x:f>MIN(F715,9)</x:f>
        <x:v>4</x:v>
      </x:c>
      <x:c r="J715" s="19" t="n">
        <x:v>0.4</x:v>
      </x:c>
      <x:c r="K715" s="2" t="n">
        <x:v>4</x:v>
      </x:c>
      <x:c r="L715" s="19" t="n">
        <x:v>0.8</x:v>
      </x:c>
      <x:c r="M715" s="19" t="n">
        <x:v>0.75</x:v>
      </x:c>
    </x:row>
    <x:row r="716" ht="23" customHeight="1">
      <x:c r="A716" s="2" t="str">
        <x:v>D040_T04_C080_G075</x:v>
      </x:c>
      <x:c r="B716" s="2" t="str">
        <x:v>A0011</x:v>
      </x:c>
      <x:c r="C716" s="2" t="str">
        <x:v>圈内</x:v>
      </x:c>
      <x:c r="D716" s="10" t="n">
        <x:v>1</x:v>
      </x:c>
      <x:c r="E716" s="10" t="n">
        <x:v>5</x:v>
      </x:c>
      <x:c r="F716" s="10" t="n">
        <x:v>4</x:v>
      </x:c>
      <x:c r="G716" s="10" t="n">
        <x:v>1</x:v>
      </x:c>
      <x:c r="H716" s="10" t="n">
        <x:f>IF(G716=1,E716-D716,"")</x:f>
        <x:v>4</x:v>
      </x:c>
      <x:c r="I716" s="10" t="n">
        <x:f>MIN(F716,9)</x:f>
        <x:v>4</x:v>
      </x:c>
      <x:c r="J716" s="19" t="n">
        <x:v>0.4</x:v>
      </x:c>
      <x:c r="K716" s="2" t="n">
        <x:v>4</x:v>
      </x:c>
      <x:c r="L716" s="19" t="n">
        <x:v>0.8</x:v>
      </x:c>
      <x:c r="M716" s="19" t="n">
        <x:v>0.75</x:v>
      </x:c>
    </x:row>
    <x:row r="717" ht="23" customHeight="1">
      <x:c r="A717" s="2" t="str">
        <x:v>D040_T04_C080_G075</x:v>
      </x:c>
      <x:c r="B717" s="2" t="str">
        <x:v>A0012</x:v>
      </x:c>
      <x:c r="C717" s="2" t="str">
        <x:v>圈内</x:v>
      </x:c>
      <x:c r="D717" s="10" t="n">
        <x:v>1</x:v>
      </x:c>
      <x:c r="E717" s="10" t="n">
        <x:v>4</x:v>
      </x:c>
      <x:c r="F717" s="10" t="n">
        <x:v>3</x:v>
      </x:c>
      <x:c r="G717" s="10" t="n">
        <x:v>1</x:v>
      </x:c>
      <x:c r="H717" s="10" t="n">
        <x:f>IF(G717=1,E717-D717,"")</x:f>
        <x:v>3</x:v>
      </x:c>
      <x:c r="I717" s="10" t="n">
        <x:f>MIN(F717,9)</x:f>
        <x:v>3</x:v>
      </x:c>
      <x:c r="J717" s="19" t="n">
        <x:v>0.4</x:v>
      </x:c>
      <x:c r="K717" s="2" t="n">
        <x:v>4</x:v>
      </x:c>
      <x:c r="L717" s="19" t="n">
        <x:v>0.8</x:v>
      </x:c>
      <x:c r="M717" s="19" t="n">
        <x:v>0.75</x:v>
      </x:c>
    </x:row>
    <x:row r="718" ht="23" customHeight="1">
      <x:c r="A718" s="2" t="str">
        <x:v>D040_T04_C080_G075</x:v>
      </x:c>
      <x:c r="B718" s="2" t="str">
        <x:v>A0017</x:v>
      </x:c>
      <x:c r="C718" s="2" t="str">
        <x:v>圈内</x:v>
      </x:c>
      <x:c r="D718" s="10" t="n">
        <x:v>1</x:v>
      </x:c>
      <x:c r="E718" s="10" t="n">
        <x:v>5</x:v>
      </x:c>
      <x:c r="F718" s="10" t="n">
        <x:v>4</x:v>
      </x:c>
      <x:c r="G718" s="10" t="n">
        <x:v>1</x:v>
      </x:c>
      <x:c r="H718" s="10" t="n">
        <x:f>IF(G718=1,E718-D718,"")</x:f>
        <x:v>4</x:v>
      </x:c>
      <x:c r="I718" s="10" t="n">
        <x:f>MIN(F718,9)</x:f>
        <x:v>4</x:v>
      </x:c>
      <x:c r="J718" s="19" t="n">
        <x:v>0.4</x:v>
      </x:c>
      <x:c r="K718" s="2" t="n">
        <x:v>4</x:v>
      </x:c>
      <x:c r="L718" s="19" t="n">
        <x:v>0.8</x:v>
      </x:c>
      <x:c r="M718" s="19" t="n">
        <x:v>0.75</x:v>
      </x:c>
    </x:row>
    <x:row r="719" ht="23" customHeight="1">
      <x:c r="A719" s="2" t="str">
        <x:v>D040_T04_C080_G075</x:v>
      </x:c>
      <x:c r="B719" s="2" t="str">
        <x:v>A0018</x:v>
      </x:c>
      <x:c r="C719" s="2" t="str">
        <x:v>圈内</x:v>
      </x:c>
      <x:c r="D719" s="10" t="n">
        <x:v>1</x:v>
      </x:c>
      <x:c r="E719" s="10" t="n">
        <x:v>4</x:v>
      </x:c>
      <x:c r="F719" s="10" t="n">
        <x:v>3</x:v>
      </x:c>
      <x:c r="G719" s="10" t="n">
        <x:v>1</x:v>
      </x:c>
      <x:c r="H719" s="10" t="n">
        <x:f>IF(G719=1,E719-D719,"")</x:f>
        <x:v>3</x:v>
      </x:c>
      <x:c r="I719" s="10" t="n">
        <x:f>MIN(F719,9)</x:f>
        <x:v>3</x:v>
      </x:c>
      <x:c r="J719" s="19" t="n">
        <x:v>0.4</x:v>
      </x:c>
      <x:c r="K719" s="2" t="n">
        <x:v>4</x:v>
      </x:c>
      <x:c r="L719" s="19" t="n">
        <x:v>0.8</x:v>
      </x:c>
      <x:c r="M719" s="19" t="n">
        <x:v>0.75</x:v>
      </x:c>
    </x:row>
    <x:row r="720" ht="23" customHeight="1">
      <x:c r="A720" s="2" t="str">
        <x:v>D040_T04_C080_G075</x:v>
      </x:c>
      <x:c r="B720" s="2" t="str">
        <x:v>A0019</x:v>
      </x:c>
      <x:c r="C720" s="2" t="str">
        <x:v>圈内</x:v>
      </x:c>
      <x:c r="D720" s="10" t="n">
        <x:v>1</x:v>
      </x:c>
      <x:c r="E720" s="10" t="n">
        <x:v>4</x:v>
      </x:c>
      <x:c r="F720" s="10" t="n">
        <x:v>3</x:v>
      </x:c>
      <x:c r="G720" s="10" t="n">
        <x:v>1</x:v>
      </x:c>
      <x:c r="H720" s="10" t="n">
        <x:f>IF(G720=1,E720-D720,"")</x:f>
        <x:v>3</x:v>
      </x:c>
      <x:c r="I720" s="10" t="n">
        <x:f>MIN(F720,9)</x:f>
        <x:v>3</x:v>
      </x:c>
      <x:c r="J720" s="19" t="n">
        <x:v>0.4</x:v>
      </x:c>
      <x:c r="K720" s="2" t="n">
        <x:v>4</x:v>
      </x:c>
      <x:c r="L720" s="19" t="n">
        <x:v>0.8</x:v>
      </x:c>
      <x:c r="M720" s="19" t="n">
        <x:v>0.75</x:v>
      </x:c>
    </x:row>
    <x:row r="721" ht="23" customHeight="1">
      <x:c r="A721" s="2" t="str">
        <x:v>D040_T04_C080_G075</x:v>
      </x:c>
      <x:c r="B721" s="2" t="str">
        <x:v>A0022</x:v>
      </x:c>
      <x:c r="C721" s="2" t="str">
        <x:v>圈内</x:v>
      </x:c>
      <x:c r="D721" s="10" t="n">
        <x:v>1</x:v>
      </x:c>
      <x:c r="E721" s="10" t="n">
        <x:v>4</x:v>
      </x:c>
      <x:c r="F721" s="10" t="n">
        <x:v>3</x:v>
      </x:c>
      <x:c r="G721" s="10" t="n">
        <x:v>1</x:v>
      </x:c>
      <x:c r="H721" s="10" t="n">
        <x:f>IF(G721=1,E721-D721,"")</x:f>
        <x:v>3</x:v>
      </x:c>
      <x:c r="I721" s="10" t="n">
        <x:f>MIN(F721,9)</x:f>
        <x:v>3</x:v>
      </x:c>
      <x:c r="J721" s="19" t="n">
        <x:v>0.4</x:v>
      </x:c>
      <x:c r="K721" s="2" t="n">
        <x:v>4</x:v>
      </x:c>
      <x:c r="L721" s="19" t="n">
        <x:v>0.8</x:v>
      </x:c>
      <x:c r="M721" s="19" t="n">
        <x:v>0.75</x:v>
      </x:c>
    </x:row>
    <x:row r="722" ht="23" customHeight="1">
      <x:c r="A722" s="2" t="str">
        <x:v>D040_T04_C080_G075</x:v>
      </x:c>
      <x:c r="B722" s="2" t="str">
        <x:v>A0023</x:v>
      </x:c>
      <x:c r="C722" s="2" t="str">
        <x:v>圈内</x:v>
      </x:c>
      <x:c r="D722" s="10" t="n">
        <x:v>1</x:v>
      </x:c>
      <x:c r="E722" s="10" t="n">
        <x:v>4</x:v>
      </x:c>
      <x:c r="F722" s="10" t="n">
        <x:v>3</x:v>
      </x:c>
      <x:c r="G722" s="10" t="n">
        <x:v>1</x:v>
      </x:c>
      <x:c r="H722" s="10" t="n">
        <x:f>IF(G722=1,E722-D722,"")</x:f>
        <x:v>3</x:v>
      </x:c>
      <x:c r="I722" s="10" t="n">
        <x:f>MIN(F722,9)</x:f>
        <x:v>3</x:v>
      </x:c>
      <x:c r="J722" s="19" t="n">
        <x:v>0.4</x:v>
      </x:c>
      <x:c r="K722" s="2" t="n">
        <x:v>4</x:v>
      </x:c>
      <x:c r="L722" s="19" t="n">
        <x:v>0.8</x:v>
      </x:c>
      <x:c r="M722" s="19" t="n">
        <x:v>0.75</x:v>
      </x:c>
    </x:row>
    <x:row r="723" ht="23" customHeight="1">
      <x:c r="A723" s="2" t="str">
        <x:v>D040_T04_C080_G075</x:v>
      </x:c>
      <x:c r="B723" s="2" t="str">
        <x:v>A0024</x:v>
      </x:c>
      <x:c r="C723" s="2" t="str">
        <x:v>圈内</x:v>
      </x:c>
      <x:c r="D723" s="10" t="n">
        <x:v>1</x:v>
      </x:c>
      <x:c r="E723" s="10" t="n">
        <x:v>5</x:v>
      </x:c>
      <x:c r="F723" s="10" t="n">
        <x:v>4</x:v>
      </x:c>
      <x:c r="G723" s="10" t="n">
        <x:v>1</x:v>
      </x:c>
      <x:c r="H723" s="10" t="n">
        <x:f>IF(G723=1,E723-D723,"")</x:f>
        <x:v>4</x:v>
      </x:c>
      <x:c r="I723" s="10" t="n">
        <x:f>MIN(F723,9)</x:f>
        <x:v>4</x:v>
      </x:c>
      <x:c r="J723" s="19" t="n">
        <x:v>0.4</x:v>
      </x:c>
      <x:c r="K723" s="2" t="n">
        <x:v>4</x:v>
      </x:c>
      <x:c r="L723" s="19" t="n">
        <x:v>0.8</x:v>
      </x:c>
      <x:c r="M723" s="19" t="n">
        <x:v>0.75</x:v>
      </x:c>
    </x:row>
    <x:row r="724" ht="23" customHeight="1">
      <x:c r="A724" s="2" t="str">
        <x:v>D040_T04_C080_G075</x:v>
      </x:c>
      <x:c r="B724" s="2" t="str">
        <x:v>A0025</x:v>
      </x:c>
      <x:c r="C724" s="2" t="str">
        <x:v>圈内</x:v>
      </x:c>
      <x:c r="D724" s="10" t="n">
        <x:v>1</x:v>
      </x:c>
      <x:c r="E724" s="10" t="n">
        <x:v>4</x:v>
      </x:c>
      <x:c r="F724" s="10" t="n">
        <x:v>3</x:v>
      </x:c>
      <x:c r="G724" s="10" t="n">
        <x:v>1</x:v>
      </x:c>
      <x:c r="H724" s="10" t="n">
        <x:f>IF(G724=1,E724-D724,"")</x:f>
        <x:v>3</x:v>
      </x:c>
      <x:c r="I724" s="10" t="n">
        <x:f>MIN(F724,9)</x:f>
        <x:v>3</x:v>
      </x:c>
      <x:c r="J724" s="19" t="n">
        <x:v>0.4</x:v>
      </x:c>
      <x:c r="K724" s="2" t="n">
        <x:v>4</x:v>
      </x:c>
      <x:c r="L724" s="19" t="n">
        <x:v>0.8</x:v>
      </x:c>
      <x:c r="M724" s="19" t="n">
        <x:v>0.75</x:v>
      </x:c>
    </x:row>
    <x:row r="725" ht="23" customHeight="1">
      <x:c r="A725" s="2" t="str">
        <x:v>D040_T04_C080_G075</x:v>
      </x:c>
      <x:c r="B725" s="2" t="str">
        <x:v>A0027</x:v>
      </x:c>
      <x:c r="C725" s="2" t="str">
        <x:v>圈内</x:v>
      </x:c>
      <x:c r="D725" s="10" t="n">
        <x:v>1</x:v>
      </x:c>
      <x:c r="E725" s="10" t="n">
        <x:v>4</x:v>
      </x:c>
      <x:c r="F725" s="10" t="n">
        <x:v>3</x:v>
      </x:c>
      <x:c r="G725" s="10" t="n">
        <x:v>1</x:v>
      </x:c>
      <x:c r="H725" s="10" t="n">
        <x:f>IF(G725=1,E725-D725,"")</x:f>
        <x:v>3</x:v>
      </x:c>
      <x:c r="I725" s="10" t="n">
        <x:f>MIN(F725,9)</x:f>
        <x:v>3</x:v>
      </x:c>
      <x:c r="J725" s="19" t="n">
        <x:v>0.4</x:v>
      </x:c>
      <x:c r="K725" s="2" t="n">
        <x:v>4</x:v>
      </x:c>
      <x:c r="L725" s="19" t="n">
        <x:v>0.8</x:v>
      </x:c>
      <x:c r="M725" s="19" t="n">
        <x:v>0.75</x:v>
      </x:c>
    </x:row>
    <x:row r="726" ht="23" customHeight="1">
      <x:c r="A726" s="2" t="str">
        <x:v>D040_T04_C080_G075</x:v>
      </x:c>
      <x:c r="B726" s="2" t="str">
        <x:v>A0029</x:v>
      </x:c>
      <x:c r="C726" s="2" t="str">
        <x:v>圈内</x:v>
      </x:c>
      <x:c r="D726" s="10" t="n">
        <x:v>1</x:v>
      </x:c>
      <x:c r="E726" s="10" t="n">
        <x:v>4</x:v>
      </x:c>
      <x:c r="F726" s="10" t="n">
        <x:v>3</x:v>
      </x:c>
      <x:c r="G726" s="10" t="n">
        <x:v>1</x:v>
      </x:c>
      <x:c r="H726" s="10" t="n">
        <x:f>IF(G726=1,E726-D726,"")</x:f>
        <x:v>3</x:v>
      </x:c>
      <x:c r="I726" s="10" t="n">
        <x:f>MIN(F726,9)</x:f>
        <x:v>3</x:v>
      </x:c>
      <x:c r="J726" s="19" t="n">
        <x:v>0.4</x:v>
      </x:c>
      <x:c r="K726" s="2" t="n">
        <x:v>4</x:v>
      </x:c>
      <x:c r="L726" s="19" t="n">
        <x:v>0.8</x:v>
      </x:c>
      <x:c r="M726" s="19" t="n">
        <x:v>0.75</x:v>
      </x:c>
    </x:row>
    <x:row r="727" ht="23" customHeight="1">
      <x:c r="A727" s="2" t="str">
        <x:v>D040_T04_C080_G075</x:v>
      </x:c>
      <x:c r="B727" s="2" t="str">
        <x:v>A0030</x:v>
      </x:c>
      <x:c r="C727" s="2" t="str">
        <x:v>圈内</x:v>
      </x:c>
      <x:c r="D727" s="10" t="n">
        <x:v>1</x:v>
      </x:c>
      <x:c r="E727" s="10" t="n">
        <x:v>4</x:v>
      </x:c>
      <x:c r="F727" s="10" t="n">
        <x:v>3</x:v>
      </x:c>
      <x:c r="G727" s="10" t="n">
        <x:v>1</x:v>
      </x:c>
      <x:c r="H727" s="10" t="n">
        <x:f>IF(G727=1,E727-D727,"")</x:f>
        <x:v>3</x:v>
      </x:c>
      <x:c r="I727" s="10" t="n">
        <x:f>MIN(F727,9)</x:f>
        <x:v>3</x:v>
      </x:c>
      <x:c r="J727" s="19" t="n">
        <x:v>0.4</x:v>
      </x:c>
      <x:c r="K727" s="2" t="n">
        <x:v>4</x:v>
      </x:c>
      <x:c r="L727" s="19" t="n">
        <x:v>0.8</x:v>
      </x:c>
      <x:c r="M727" s="19" t="n">
        <x:v>0.75</x:v>
      </x:c>
    </x:row>
    <x:row r="728" ht="23" customHeight="1">
      <x:c r="A728" s="2" t="str">
        <x:v>D040_T04_C080_G075</x:v>
      </x:c>
      <x:c r="B728" s="2" t="str">
        <x:v>A0032</x:v>
      </x:c>
      <x:c r="C728" s="2" t="str">
        <x:v>圈内</x:v>
      </x:c>
      <x:c r="D728" s="10" t="n">
        <x:v>1</x:v>
      </x:c>
      <x:c r="E728" s="10" t="n">
        <x:v>4</x:v>
      </x:c>
      <x:c r="F728" s="10" t="n">
        <x:v>3</x:v>
      </x:c>
      <x:c r="G728" s="10" t="n">
        <x:v>1</x:v>
      </x:c>
      <x:c r="H728" s="10" t="n">
        <x:f>IF(G728=1,E728-D728,"")</x:f>
        <x:v>3</x:v>
      </x:c>
      <x:c r="I728" s="10" t="n">
        <x:f>MIN(F728,9)</x:f>
        <x:v>3</x:v>
      </x:c>
      <x:c r="J728" s="19" t="n">
        <x:v>0.4</x:v>
      </x:c>
      <x:c r="K728" s="2" t="n">
        <x:v>4</x:v>
      </x:c>
      <x:c r="L728" s="19" t="n">
        <x:v>0.8</x:v>
      </x:c>
      <x:c r="M728" s="19" t="n">
        <x:v>0.75</x:v>
      </x:c>
    </x:row>
    <x:row r="729" ht="23" customHeight="1">
      <x:c r="A729" s="2" t="str">
        <x:v>D040_T04_C080_G075</x:v>
      </x:c>
      <x:c r="B729" s="2" t="str">
        <x:v>A0033</x:v>
      </x:c>
      <x:c r="C729" s="2" t="str">
        <x:v>圈内</x:v>
      </x:c>
      <x:c r="D729" s="10" t="n">
        <x:v>1</x:v>
      </x:c>
      <x:c r="E729" s="10" t="n">
        <x:v>4</x:v>
      </x:c>
      <x:c r="F729" s="10" t="n">
        <x:v>3</x:v>
      </x:c>
      <x:c r="G729" s="10" t="n">
        <x:v>1</x:v>
      </x:c>
      <x:c r="H729" s="10" t="n">
        <x:f>IF(G729=1,E729-D729,"")</x:f>
        <x:v>3</x:v>
      </x:c>
      <x:c r="I729" s="10" t="n">
        <x:f>MIN(F729,9)</x:f>
        <x:v>3</x:v>
      </x:c>
      <x:c r="J729" s="19" t="n">
        <x:v>0.4</x:v>
      </x:c>
      <x:c r="K729" s="2" t="n">
        <x:v>4</x:v>
      </x:c>
      <x:c r="L729" s="19" t="n">
        <x:v>0.8</x:v>
      </x:c>
      <x:c r="M729" s="19" t="n">
        <x:v>0.75</x:v>
      </x:c>
    </x:row>
    <x:row r="730" ht="23" customHeight="1">
      <x:c r="A730" s="2" t="str">
        <x:v>D040_T04_C080_G075</x:v>
      </x:c>
      <x:c r="B730" s="2" t="str">
        <x:v>A0035</x:v>
      </x:c>
      <x:c r="C730" s="2" t="str">
        <x:v>圈内</x:v>
      </x:c>
      <x:c r="D730" s="10" t="n">
        <x:v>1</x:v>
      </x:c>
      <x:c r="E730" s="10" t="n">
        <x:v>4</x:v>
      </x:c>
      <x:c r="F730" s="10" t="n">
        <x:v>3</x:v>
      </x:c>
      <x:c r="G730" s="10" t="n">
        <x:v>1</x:v>
      </x:c>
      <x:c r="H730" s="10" t="n">
        <x:f>IF(G730=1,E730-D730,"")</x:f>
        <x:v>3</x:v>
      </x:c>
      <x:c r="I730" s="10" t="n">
        <x:f>MIN(F730,9)</x:f>
        <x:v>3</x:v>
      </x:c>
      <x:c r="J730" s="19" t="n">
        <x:v>0.4</x:v>
      </x:c>
      <x:c r="K730" s="2" t="n">
        <x:v>4</x:v>
      </x:c>
      <x:c r="L730" s="19" t="n">
        <x:v>0.8</x:v>
      </x:c>
      <x:c r="M730" s="19" t="n">
        <x:v>0.75</x:v>
      </x:c>
    </x:row>
    <x:row r="731" ht="23" customHeight="1">
      <x:c r="A731" s="2" t="str">
        <x:v>D040_T04_C080_G075</x:v>
      </x:c>
      <x:c r="B731" s="2" t="str">
        <x:v>A0036</x:v>
      </x:c>
      <x:c r="C731" s="2" t="str">
        <x:v>圈内</x:v>
      </x:c>
      <x:c r="D731" s="10" t="n">
        <x:v>1</x:v>
      </x:c>
      <x:c r="E731" s="10" t="n">
        <x:v>4</x:v>
      </x:c>
      <x:c r="F731" s="10" t="n">
        <x:v>3</x:v>
      </x:c>
      <x:c r="G731" s="10" t="n">
        <x:v>1</x:v>
      </x:c>
      <x:c r="H731" s="10" t="n">
        <x:f>IF(G731=1,E731-D731,"")</x:f>
        <x:v>3</x:v>
      </x:c>
      <x:c r="I731" s="10" t="n">
        <x:f>MIN(F731,9)</x:f>
        <x:v>3</x:v>
      </x:c>
      <x:c r="J731" s="19" t="n">
        <x:v>0.4</x:v>
      </x:c>
      <x:c r="K731" s="2" t="n">
        <x:v>4</x:v>
      </x:c>
      <x:c r="L731" s="19" t="n">
        <x:v>0.8</x:v>
      </x:c>
      <x:c r="M731" s="19" t="n">
        <x:v>0.75</x:v>
      </x:c>
    </x:row>
    <x:row r="732" ht="23" customHeight="1">
      <x:c r="A732" s="2" t="str">
        <x:v>D040_T04_C080_G075</x:v>
      </x:c>
      <x:c r="B732" s="2" t="str">
        <x:v>A0037</x:v>
      </x:c>
      <x:c r="C732" s="2" t="str">
        <x:v>圈内</x:v>
      </x:c>
      <x:c r="D732" s="10" t="n">
        <x:v>1</x:v>
      </x:c>
      <x:c r="E732" s="10" t="n">
        <x:v>5</x:v>
      </x:c>
      <x:c r="F732" s="10" t="n">
        <x:v>4</x:v>
      </x:c>
      <x:c r="G732" s="10" t="n">
        <x:v>1</x:v>
      </x:c>
      <x:c r="H732" s="10" t="n">
        <x:f>IF(G732=1,E732-D732,"")</x:f>
        <x:v>4</x:v>
      </x:c>
      <x:c r="I732" s="10" t="n">
        <x:f>MIN(F732,9)</x:f>
        <x:v>4</x:v>
      </x:c>
      <x:c r="J732" s="19" t="n">
        <x:v>0.4</x:v>
      </x:c>
      <x:c r="K732" s="2" t="n">
        <x:v>4</x:v>
      </x:c>
      <x:c r="L732" s="19" t="n">
        <x:v>0.8</x:v>
      </x:c>
      <x:c r="M732" s="19" t="n">
        <x:v>0.75</x:v>
      </x:c>
    </x:row>
    <x:row r="733" ht="23" customHeight="1">
      <x:c r="A733" s="2" t="str">
        <x:v>D040_T04_C080_G075</x:v>
      </x:c>
      <x:c r="B733" s="2" t="str">
        <x:v>A0038</x:v>
      </x:c>
      <x:c r="C733" s="2" t="str">
        <x:v>圈内</x:v>
      </x:c>
      <x:c r="D733" s="10" t="n">
        <x:v>1</x:v>
      </x:c>
      <x:c r="E733" s="10" t="n">
        <x:v>5</x:v>
      </x:c>
      <x:c r="F733" s="10" t="n">
        <x:v>4</x:v>
      </x:c>
      <x:c r="G733" s="10" t="n">
        <x:v>1</x:v>
      </x:c>
      <x:c r="H733" s="10" t="n">
        <x:f>IF(G733=1,E733-D733,"")</x:f>
        <x:v>4</x:v>
      </x:c>
      <x:c r="I733" s="10" t="n">
        <x:f>MIN(F733,9)</x:f>
        <x:v>4</x:v>
      </x:c>
      <x:c r="J733" s="19" t="n">
        <x:v>0.4</x:v>
      </x:c>
      <x:c r="K733" s="2" t="n">
        <x:v>4</x:v>
      </x:c>
      <x:c r="L733" s="19" t="n">
        <x:v>0.8</x:v>
      </x:c>
      <x:c r="M733" s="19" t="n">
        <x:v>0.75</x:v>
      </x:c>
    </x:row>
    <x:row r="734" ht="23" customHeight="1">
      <x:c r="A734" s="2" t="str">
        <x:v>D040_T04_C080_G075</x:v>
      </x:c>
      <x:c r="B734" s="2" t="str">
        <x:v>A0040</x:v>
      </x:c>
      <x:c r="C734" s="2" t="str">
        <x:v>圈内</x:v>
      </x:c>
      <x:c r="D734" s="10" t="n">
        <x:v>1</x:v>
      </x:c>
      <x:c r="E734" s="10" t="n">
        <x:v>4</x:v>
      </x:c>
      <x:c r="F734" s="10" t="n">
        <x:v>3</x:v>
      </x:c>
      <x:c r="G734" s="10" t="n">
        <x:v>1</x:v>
      </x:c>
      <x:c r="H734" s="10" t="n">
        <x:f>IF(G734=1,E734-D734,"")</x:f>
        <x:v>3</x:v>
      </x:c>
      <x:c r="I734" s="10" t="n">
        <x:f>MIN(F734,9)</x:f>
        <x:v>3</x:v>
      </x:c>
      <x:c r="J734" s="19" t="n">
        <x:v>0.4</x:v>
      </x:c>
      <x:c r="K734" s="2" t="n">
        <x:v>4</x:v>
      </x:c>
      <x:c r="L734" s="19" t="n">
        <x:v>0.8</x:v>
      </x:c>
      <x:c r="M734" s="19" t="n">
        <x:v>0.75</x:v>
      </x:c>
    </x:row>
    <x:row r="735" ht="23" customHeight="1">
      <x:c r="A735" s="2" t="str">
        <x:v>D040_T04_C080_G075</x:v>
      </x:c>
      <x:c r="B735" s="2" t="str">
        <x:v>A0041</x:v>
      </x:c>
      <x:c r="C735" s="2" t="str">
        <x:v>圈内</x:v>
      </x:c>
      <x:c r="D735" s="10" t="n">
        <x:v>1</x:v>
      </x:c>
      <x:c r="E735" s="10" t="n">
        <x:v>4</x:v>
      </x:c>
      <x:c r="F735" s="10" t="n">
        <x:v>3</x:v>
      </x:c>
      <x:c r="G735" s="10" t="n">
        <x:v>1</x:v>
      </x:c>
      <x:c r="H735" s="10" t="n">
        <x:f>IF(G735=1,E735-D735,"")</x:f>
        <x:v>3</x:v>
      </x:c>
      <x:c r="I735" s="10" t="n">
        <x:f>MIN(F735,9)</x:f>
        <x:v>3</x:v>
      </x:c>
      <x:c r="J735" s="19" t="n">
        <x:v>0.4</x:v>
      </x:c>
      <x:c r="K735" s="2" t="n">
        <x:v>4</x:v>
      </x:c>
      <x:c r="L735" s="19" t="n">
        <x:v>0.8</x:v>
      </x:c>
      <x:c r="M735" s="19" t="n">
        <x:v>0.75</x:v>
      </x:c>
    </x:row>
    <x:row r="736" ht="23" customHeight="1">
      <x:c r="A736" s="2" t="str">
        <x:v>D040_T04_C080_G075</x:v>
      </x:c>
      <x:c r="B736" s="2" t="str">
        <x:v>A0071</x:v>
      </x:c>
      <x:c r="C736" s="2" t="str">
        <x:v>圈内</x:v>
      </x:c>
      <x:c r="D736" s="10" t="n">
        <x:v>1</x:v>
      </x:c>
      <x:c r="E736" s="10" t="n">
        <x:v>5</x:v>
      </x:c>
      <x:c r="F736" s="10" t="n">
        <x:v>4</x:v>
      </x:c>
      <x:c r="G736" s="10" t="n">
        <x:v>1</x:v>
      </x:c>
      <x:c r="H736" s="10" t="n">
        <x:f>IF(G736=1,E736-D736,"")</x:f>
        <x:v>4</x:v>
      </x:c>
      <x:c r="I736" s="10" t="n">
        <x:f>MIN(F736,9)</x:f>
        <x:v>4</x:v>
      </x:c>
      <x:c r="J736" s="19" t="n">
        <x:v>0.4</x:v>
      </x:c>
      <x:c r="K736" s="2" t="n">
        <x:v>4</x:v>
      </x:c>
      <x:c r="L736" s="19" t="n">
        <x:v>0.8</x:v>
      </x:c>
      <x:c r="M736" s="19" t="n">
        <x:v>0.75</x:v>
      </x:c>
    </x:row>
    <x:row r="737" ht="23" customHeight="1">
      <x:c r="A737" s="2" t="str">
        <x:v>D040_T04_C080_G075</x:v>
      </x:c>
      <x:c r="B737" s="2" t="str">
        <x:v>A0189</x:v>
      </x:c>
      <x:c r="C737" s="2" t="str">
        <x:v>圈内</x:v>
      </x:c>
      <x:c r="D737" s="10" t="n">
        <x:v>1</x:v>
      </x:c>
      <x:c r="E737" s="10" t="n">
        <x:v>5</x:v>
      </x:c>
      <x:c r="F737" s="10" t="n">
        <x:v>4</x:v>
      </x:c>
      <x:c r="G737" s="10" t="n">
        <x:v>1</x:v>
      </x:c>
      <x:c r="H737" s="10" t="n">
        <x:f>IF(G737=1,E737-D737,"")</x:f>
        <x:v>4</x:v>
      </x:c>
      <x:c r="I737" s="10" t="n">
        <x:f>MIN(F737,9)</x:f>
        <x:v>4</x:v>
      </x:c>
      <x:c r="J737" s="19" t="n">
        <x:v>0.4</x:v>
      </x:c>
      <x:c r="K737" s="2" t="n">
        <x:v>4</x:v>
      </x:c>
      <x:c r="L737" s="19" t="n">
        <x:v>0.8</x:v>
      </x:c>
      <x:c r="M737" s="19" t="n">
        <x:v>0.75</x:v>
      </x:c>
    </x:row>
    <x:row r="738" ht="23" customHeight="1">
      <x:c r="A738" s="2" t="str">
        <x:v>D040_T04_C080_G075</x:v>
      </x:c>
      <x:c r="B738" s="2" t="str">
        <x:v>A0206</x:v>
      </x:c>
      <x:c r="C738" s="2" t="str">
        <x:v>圈内</x:v>
      </x:c>
      <x:c r="D738" s="10" t="n">
        <x:v>1</x:v>
      </x:c>
      <x:c r="E738" s="10" t="n">
        <x:v>4</x:v>
      </x:c>
      <x:c r="F738" s="10" t="n">
        <x:v>3</x:v>
      </x:c>
      <x:c r="G738" s="10" t="n">
        <x:v>1</x:v>
      </x:c>
      <x:c r="H738" s="10" t="n">
        <x:f>IF(G738=1,E738-D738,"")</x:f>
        <x:v>3</x:v>
      </x:c>
      <x:c r="I738" s="10" t="n">
        <x:f>MIN(F738,9)</x:f>
        <x:v>3</x:v>
      </x:c>
      <x:c r="J738" s="19" t="n">
        <x:v>0.4</x:v>
      </x:c>
      <x:c r="K738" s="2" t="n">
        <x:v>4</x:v>
      </x:c>
      <x:c r="L738" s="19" t="n">
        <x:v>0.8</x:v>
      </x:c>
      <x:c r="M738" s="19" t="n">
        <x:v>0.75</x:v>
      </x:c>
    </x:row>
    <x:row r="739" ht="23" customHeight="1">
      <x:c r="A739" s="2" t="str">
        <x:v>D040_T07_C020_G025</x:v>
      </x:c>
      <x:c r="B739" s="2" t="str">
        <x:v>A0001</x:v>
      </x:c>
      <x:c r="C739" s="2" t="str">
        <x:v>圈内</x:v>
      </x:c>
      <x:c r="D739" s="10" t="n">
        <x:v>1</x:v>
      </x:c>
      <x:c r="E739" s="10" t="n">
        <x:v>9</x:v>
      </x:c>
      <x:c r="F739" s="10" t="n">
        <x:v>8</x:v>
      </x:c>
      <x:c r="G739" s="10" t="n">
        <x:v>1</x:v>
      </x:c>
      <x:c r="H739" s="10" t="n">
        <x:f>IF(G739=1,E739-D739,"")</x:f>
        <x:v>8</x:v>
      </x:c>
      <x:c r="I739" s="10" t="n">
        <x:f>MIN(F739,9)</x:f>
        <x:v>8</x:v>
      </x:c>
      <x:c r="J739" s="19" t="n">
        <x:v>0.4</x:v>
      </x:c>
      <x:c r="K739" s="2" t="n">
        <x:v>7</x:v>
      </x:c>
      <x:c r="L739" s="19" t="n">
        <x:v>0.2</x:v>
      </x:c>
      <x:c r="M739" s="19" t="n">
        <x:v>0.25</x:v>
      </x:c>
    </x:row>
    <x:row r="740" ht="23" customHeight="1">
      <x:c r="A740" s="2" t="str">
        <x:v>D040_T07_C020_G025</x:v>
      </x:c>
      <x:c r="B740" s="2" t="str">
        <x:v>A0002</x:v>
      </x:c>
      <x:c r="C740" s="2" t="str">
        <x:v>圈内</x:v>
      </x:c>
      <x:c r="D740" s="10" t="n">
        <x:v>1</x:v>
      </x:c>
      <x:c r="E740" s="10"/>
      <x:c r="F740" s="10" t="n">
        <x:v>9</x:v>
      </x:c>
      <x:c r="G740" s="10" t="n">
        <x:v>0</x:v>
      </x:c>
      <x:c r="H740" s="10" t="str">
        <x:f>IF(G740=1,E740-D740,"")</x:f>
      </x:c>
      <x:c r="I740" s="10" t="n">
        <x:f>MIN(F740,9)</x:f>
        <x:v>9</x:v>
      </x:c>
      <x:c r="J740" s="19" t="n">
        <x:v>0.4</x:v>
      </x:c>
      <x:c r="K740" s="2" t="n">
        <x:v>7</x:v>
      </x:c>
      <x:c r="L740" s="19" t="n">
        <x:v>0.2</x:v>
      </x:c>
      <x:c r="M740" s="19" t="n">
        <x:v>0.25</x:v>
      </x:c>
    </x:row>
    <x:row r="741" ht="23" customHeight="1">
      <x:c r="A741" s="2" t="str">
        <x:v>D040_T07_C020_G025</x:v>
      </x:c>
      <x:c r="B741" s="2" t="str">
        <x:v>A0005</x:v>
      </x:c>
      <x:c r="C741" s="2" t="str">
        <x:v>圈内</x:v>
      </x:c>
      <x:c r="D741" s="10" t="n">
        <x:v>1</x:v>
      </x:c>
      <x:c r="E741" s="10"/>
      <x:c r="F741" s="10" t="n">
        <x:v>9</x:v>
      </x:c>
      <x:c r="G741" s="10" t="n">
        <x:v>0</x:v>
      </x:c>
      <x:c r="H741" s="10" t="str">
        <x:f>IF(G741=1,E741-D741,"")</x:f>
      </x:c>
      <x:c r="I741" s="10" t="n">
        <x:f>MIN(F741,9)</x:f>
        <x:v>9</x:v>
      </x:c>
      <x:c r="J741" s="19" t="n">
        <x:v>0.4</x:v>
      </x:c>
      <x:c r="K741" s="2" t="n">
        <x:v>7</x:v>
      </x:c>
      <x:c r="L741" s="19" t="n">
        <x:v>0.2</x:v>
      </x:c>
      <x:c r="M741" s="19" t="n">
        <x:v>0.25</x:v>
      </x:c>
    </x:row>
    <x:row r="742" ht="23" customHeight="1">
      <x:c r="A742" s="2" t="str">
        <x:v>D040_T07_C020_G025</x:v>
      </x:c>
      <x:c r="B742" s="2" t="str">
        <x:v>A0008</x:v>
      </x:c>
      <x:c r="C742" s="2" t="str">
        <x:v>圈内</x:v>
      </x:c>
      <x:c r="D742" s="10" t="n">
        <x:v>1</x:v>
      </x:c>
      <x:c r="E742" s="10"/>
      <x:c r="F742" s="10" t="n">
        <x:v>9</x:v>
      </x:c>
      <x:c r="G742" s="10" t="n">
        <x:v>0</x:v>
      </x:c>
      <x:c r="H742" s="10" t="str">
        <x:f>IF(G742=1,E742-D742,"")</x:f>
      </x:c>
      <x:c r="I742" s="10" t="n">
        <x:f>MIN(F742,9)</x:f>
        <x:v>9</x:v>
      </x:c>
      <x:c r="J742" s="19" t="n">
        <x:v>0.4</x:v>
      </x:c>
      <x:c r="K742" s="2" t="n">
        <x:v>7</x:v>
      </x:c>
      <x:c r="L742" s="19" t="n">
        <x:v>0.2</x:v>
      </x:c>
      <x:c r="M742" s="19" t="n">
        <x:v>0.25</x:v>
      </x:c>
    </x:row>
    <x:row r="743" ht="23" customHeight="1">
      <x:c r="A743" s="2" t="str">
        <x:v>D040_T07_C020_G025</x:v>
      </x:c>
      <x:c r="B743" s="2" t="str">
        <x:v>A0009</x:v>
      </x:c>
      <x:c r="C743" s="2" t="str">
        <x:v>圈内</x:v>
      </x:c>
      <x:c r="D743" s="10" t="n">
        <x:v>1</x:v>
      </x:c>
      <x:c r="E743" s="10"/>
      <x:c r="F743" s="10" t="n">
        <x:v>9</x:v>
      </x:c>
      <x:c r="G743" s="10" t="n">
        <x:v>0</x:v>
      </x:c>
      <x:c r="H743" s="10" t="str">
        <x:f>IF(G743=1,E743-D743,"")</x:f>
      </x:c>
      <x:c r="I743" s="10" t="n">
        <x:f>MIN(F743,9)</x:f>
        <x:v>9</x:v>
      </x:c>
      <x:c r="J743" s="19" t="n">
        <x:v>0.4</x:v>
      </x:c>
      <x:c r="K743" s="2" t="n">
        <x:v>7</x:v>
      </x:c>
      <x:c r="L743" s="19" t="n">
        <x:v>0.2</x:v>
      </x:c>
      <x:c r="M743" s="19" t="n">
        <x:v>0.25</x:v>
      </x:c>
    </x:row>
    <x:row r="744" ht="23" customHeight="1">
      <x:c r="A744" s="2" t="str">
        <x:v>D040_T07_C020_G025</x:v>
      </x:c>
      <x:c r="B744" s="2" t="str">
        <x:v>A0011</x:v>
      </x:c>
      <x:c r="C744" s="2" t="str">
        <x:v>圈内</x:v>
      </x:c>
      <x:c r="D744" s="10" t="n">
        <x:v>1</x:v>
      </x:c>
      <x:c r="E744" s="10"/>
      <x:c r="F744" s="10" t="n">
        <x:v>9</x:v>
      </x:c>
      <x:c r="G744" s="10" t="n">
        <x:v>0</x:v>
      </x:c>
      <x:c r="H744" s="10" t="str">
        <x:f>IF(G744=1,E744-D744,"")</x:f>
      </x:c>
      <x:c r="I744" s="10" t="n">
        <x:f>MIN(F744,9)</x:f>
        <x:v>9</x:v>
      </x:c>
      <x:c r="J744" s="19" t="n">
        <x:v>0.4</x:v>
      </x:c>
      <x:c r="K744" s="2" t="n">
        <x:v>7</x:v>
      </x:c>
      <x:c r="L744" s="19" t="n">
        <x:v>0.2</x:v>
      </x:c>
      <x:c r="M744" s="19" t="n">
        <x:v>0.25</x:v>
      </x:c>
    </x:row>
    <x:row r="745" ht="23" customHeight="1">
      <x:c r="A745" s="2" t="str">
        <x:v>D040_T07_C020_G025</x:v>
      </x:c>
      <x:c r="B745" s="2" t="str">
        <x:v>A0012</x:v>
      </x:c>
      <x:c r="C745" s="2" t="str">
        <x:v>圈内</x:v>
      </x:c>
      <x:c r="D745" s="10" t="n">
        <x:v>1</x:v>
      </x:c>
      <x:c r="E745" s="10"/>
      <x:c r="F745" s="10" t="n">
        <x:v>9</x:v>
      </x:c>
      <x:c r="G745" s="10" t="n">
        <x:v>0</x:v>
      </x:c>
      <x:c r="H745" s="10" t="str">
        <x:f>IF(G745=1,E745-D745,"")</x:f>
      </x:c>
      <x:c r="I745" s="10" t="n">
        <x:f>MIN(F745,9)</x:f>
        <x:v>9</x:v>
      </x:c>
      <x:c r="J745" s="19" t="n">
        <x:v>0.4</x:v>
      </x:c>
      <x:c r="K745" s="2" t="n">
        <x:v>7</x:v>
      </x:c>
      <x:c r="L745" s="19" t="n">
        <x:v>0.2</x:v>
      </x:c>
      <x:c r="M745" s="19" t="n">
        <x:v>0.25</x:v>
      </x:c>
    </x:row>
    <x:row r="746" ht="23" customHeight="1">
      <x:c r="A746" s="2" t="str">
        <x:v>D040_T07_C020_G025</x:v>
      </x:c>
      <x:c r="B746" s="2" t="str">
        <x:v>A0014</x:v>
      </x:c>
      <x:c r="C746" s="2" t="str">
        <x:v>圈内</x:v>
      </x:c>
      <x:c r="D746" s="10" t="n">
        <x:v>1</x:v>
      </x:c>
      <x:c r="E746" s="10" t="n">
        <x:v>9</x:v>
      </x:c>
      <x:c r="F746" s="10" t="n">
        <x:v>8</x:v>
      </x:c>
      <x:c r="G746" s="10" t="n">
        <x:v>1</x:v>
      </x:c>
      <x:c r="H746" s="10" t="n">
        <x:f>IF(G746=1,E746-D746,"")</x:f>
        <x:v>8</x:v>
      </x:c>
      <x:c r="I746" s="10" t="n">
        <x:f>MIN(F746,9)</x:f>
        <x:v>8</x:v>
      </x:c>
      <x:c r="J746" s="19" t="n">
        <x:v>0.4</x:v>
      </x:c>
      <x:c r="K746" s="2" t="n">
        <x:v>7</x:v>
      </x:c>
      <x:c r="L746" s="19" t="n">
        <x:v>0.2</x:v>
      </x:c>
      <x:c r="M746" s="19" t="n">
        <x:v>0.25</x:v>
      </x:c>
    </x:row>
    <x:row r="747" ht="23" customHeight="1">
      <x:c r="A747" s="2" t="str">
        <x:v>D040_T07_C020_G025</x:v>
      </x:c>
      <x:c r="B747" s="2" t="str">
        <x:v>A0016</x:v>
      </x:c>
      <x:c r="C747" s="2" t="str">
        <x:v>圈内</x:v>
      </x:c>
      <x:c r="D747" s="10" t="n">
        <x:v>1</x:v>
      </x:c>
      <x:c r="E747" s="10"/>
      <x:c r="F747" s="10" t="n">
        <x:v>9</x:v>
      </x:c>
      <x:c r="G747" s="10" t="n">
        <x:v>0</x:v>
      </x:c>
      <x:c r="H747" s="10" t="str">
        <x:f>IF(G747=1,E747-D747,"")</x:f>
      </x:c>
      <x:c r="I747" s="10" t="n">
        <x:f>MIN(F747,9)</x:f>
        <x:v>9</x:v>
      </x:c>
      <x:c r="J747" s="19" t="n">
        <x:v>0.4</x:v>
      </x:c>
      <x:c r="K747" s="2" t="n">
        <x:v>7</x:v>
      </x:c>
      <x:c r="L747" s="19" t="n">
        <x:v>0.2</x:v>
      </x:c>
      <x:c r="M747" s="19" t="n">
        <x:v>0.25</x:v>
      </x:c>
    </x:row>
    <x:row r="748" ht="23" customHeight="1">
      <x:c r="A748" s="2" t="str">
        <x:v>D040_T07_C020_G025</x:v>
      </x:c>
      <x:c r="B748" s="2" t="str">
        <x:v>A0017</x:v>
      </x:c>
      <x:c r="C748" s="2" t="str">
        <x:v>圈内</x:v>
      </x:c>
      <x:c r="D748" s="10" t="n">
        <x:v>1</x:v>
      </x:c>
      <x:c r="E748" s="10"/>
      <x:c r="F748" s="10" t="n">
        <x:v>9</x:v>
      </x:c>
      <x:c r="G748" s="10" t="n">
        <x:v>0</x:v>
      </x:c>
      <x:c r="H748" s="10" t="str">
        <x:f>IF(G748=1,E748-D748,"")</x:f>
      </x:c>
      <x:c r="I748" s="10" t="n">
        <x:f>MIN(F748,9)</x:f>
        <x:v>9</x:v>
      </x:c>
      <x:c r="J748" s="19" t="n">
        <x:v>0.4</x:v>
      </x:c>
      <x:c r="K748" s="2" t="n">
        <x:v>7</x:v>
      </x:c>
      <x:c r="L748" s="19" t="n">
        <x:v>0.2</x:v>
      </x:c>
      <x:c r="M748" s="19" t="n">
        <x:v>0.25</x:v>
      </x:c>
    </x:row>
    <x:row r="749" ht="23" customHeight="1">
      <x:c r="A749" s="2" t="str">
        <x:v>D040_T07_C020_G025</x:v>
      </x:c>
      <x:c r="B749" s="2" t="str">
        <x:v>A0018</x:v>
      </x:c>
      <x:c r="C749" s="2" t="str">
        <x:v>圈内</x:v>
      </x:c>
      <x:c r="D749" s="10" t="n">
        <x:v>1</x:v>
      </x:c>
      <x:c r="E749" s="10"/>
      <x:c r="F749" s="10" t="n">
        <x:v>9</x:v>
      </x:c>
      <x:c r="G749" s="10" t="n">
        <x:v>0</x:v>
      </x:c>
      <x:c r="H749" s="10" t="str">
        <x:f>IF(G749=1,E749-D749,"")</x:f>
      </x:c>
      <x:c r="I749" s="10" t="n">
        <x:f>MIN(F749,9)</x:f>
        <x:v>9</x:v>
      </x:c>
      <x:c r="J749" s="19" t="n">
        <x:v>0.4</x:v>
      </x:c>
      <x:c r="K749" s="2" t="n">
        <x:v>7</x:v>
      </x:c>
      <x:c r="L749" s="19" t="n">
        <x:v>0.2</x:v>
      </x:c>
      <x:c r="M749" s="19" t="n">
        <x:v>0.25</x:v>
      </x:c>
    </x:row>
    <x:row r="750" ht="23" customHeight="1">
      <x:c r="A750" s="2" t="str">
        <x:v>D040_T07_C020_G025</x:v>
      </x:c>
      <x:c r="B750" s="2" t="str">
        <x:v>A0019</x:v>
      </x:c>
      <x:c r="C750" s="2" t="str">
        <x:v>圈内</x:v>
      </x:c>
      <x:c r="D750" s="10" t="n">
        <x:v>1</x:v>
      </x:c>
      <x:c r="E750" s="10"/>
      <x:c r="F750" s="10" t="n">
        <x:v>9</x:v>
      </x:c>
      <x:c r="G750" s="10" t="n">
        <x:v>0</x:v>
      </x:c>
      <x:c r="H750" s="10" t="str">
        <x:f>IF(G750=1,E750-D750,"")</x:f>
      </x:c>
      <x:c r="I750" s="10" t="n">
        <x:f>MIN(F750,9)</x:f>
        <x:v>9</x:v>
      </x:c>
      <x:c r="J750" s="19" t="n">
        <x:v>0.4</x:v>
      </x:c>
      <x:c r="K750" s="2" t="n">
        <x:v>7</x:v>
      </x:c>
      <x:c r="L750" s="19" t="n">
        <x:v>0.2</x:v>
      </x:c>
      <x:c r="M750" s="19" t="n">
        <x:v>0.25</x:v>
      </x:c>
    </x:row>
    <x:row r="751" ht="23" customHeight="1">
      <x:c r="A751" s="2" t="str">
        <x:v>D040_T07_C020_G025</x:v>
      </x:c>
      <x:c r="B751" s="2" t="str">
        <x:v>A0020</x:v>
      </x:c>
      <x:c r="C751" s="2" t="str">
        <x:v>圈内</x:v>
      </x:c>
      <x:c r="D751" s="10" t="n">
        <x:v>1</x:v>
      </x:c>
      <x:c r="E751" s="10"/>
      <x:c r="F751" s="10" t="n">
        <x:v>9</x:v>
      </x:c>
      <x:c r="G751" s="10" t="n">
        <x:v>0</x:v>
      </x:c>
      <x:c r="H751" s="10" t="str">
        <x:f>IF(G751=1,E751-D751,"")</x:f>
      </x:c>
      <x:c r="I751" s="10" t="n">
        <x:f>MIN(F751,9)</x:f>
        <x:v>9</x:v>
      </x:c>
      <x:c r="J751" s="19" t="n">
        <x:v>0.4</x:v>
      </x:c>
      <x:c r="K751" s="2" t="n">
        <x:v>7</x:v>
      </x:c>
      <x:c r="L751" s="19" t="n">
        <x:v>0.2</x:v>
      </x:c>
      <x:c r="M751" s="19" t="n">
        <x:v>0.25</x:v>
      </x:c>
    </x:row>
    <x:row r="752" ht="23" customHeight="1">
      <x:c r="A752" s="2" t="str">
        <x:v>D040_T07_C020_G025</x:v>
      </x:c>
      <x:c r="B752" s="2" t="str">
        <x:v>A0022</x:v>
      </x:c>
      <x:c r="C752" s="2" t="str">
        <x:v>圈内</x:v>
      </x:c>
      <x:c r="D752" s="10" t="n">
        <x:v>1</x:v>
      </x:c>
      <x:c r="E752" s="10"/>
      <x:c r="F752" s="10" t="n">
        <x:v>9</x:v>
      </x:c>
      <x:c r="G752" s="10" t="n">
        <x:v>0</x:v>
      </x:c>
      <x:c r="H752" s="10" t="str">
        <x:f>IF(G752=1,E752-D752,"")</x:f>
      </x:c>
      <x:c r="I752" s="10" t="n">
        <x:f>MIN(F752,9)</x:f>
        <x:v>9</x:v>
      </x:c>
      <x:c r="J752" s="19" t="n">
        <x:v>0.4</x:v>
      </x:c>
      <x:c r="K752" s="2" t="n">
        <x:v>7</x:v>
      </x:c>
      <x:c r="L752" s="19" t="n">
        <x:v>0.2</x:v>
      </x:c>
      <x:c r="M752" s="19" t="n">
        <x:v>0.25</x:v>
      </x:c>
    </x:row>
    <x:row r="753" ht="23" customHeight="1">
      <x:c r="A753" s="2" t="str">
        <x:v>D040_T07_C020_G025</x:v>
      </x:c>
      <x:c r="B753" s="2" t="str">
        <x:v>A0024</x:v>
      </x:c>
      <x:c r="C753" s="2" t="str">
        <x:v>圈内</x:v>
      </x:c>
      <x:c r="D753" s="10" t="n">
        <x:v>1</x:v>
      </x:c>
      <x:c r="E753" s="10"/>
      <x:c r="F753" s="10" t="n">
        <x:v>9</x:v>
      </x:c>
      <x:c r="G753" s="10" t="n">
        <x:v>0</x:v>
      </x:c>
      <x:c r="H753" s="10" t="str">
        <x:f>IF(G753=1,E753-D753,"")</x:f>
      </x:c>
      <x:c r="I753" s="10" t="n">
        <x:f>MIN(F753,9)</x:f>
        <x:v>9</x:v>
      </x:c>
      <x:c r="J753" s="19" t="n">
        <x:v>0.4</x:v>
      </x:c>
      <x:c r="K753" s="2" t="n">
        <x:v>7</x:v>
      </x:c>
      <x:c r="L753" s="19" t="n">
        <x:v>0.2</x:v>
      </x:c>
      <x:c r="M753" s="19" t="n">
        <x:v>0.25</x:v>
      </x:c>
    </x:row>
    <x:row r="754" ht="23" customHeight="1">
      <x:c r="A754" s="2" t="str">
        <x:v>D040_T07_C020_G025</x:v>
      </x:c>
      <x:c r="B754" s="2" t="str">
        <x:v>A0025</x:v>
      </x:c>
      <x:c r="C754" s="2" t="str">
        <x:v>圈内</x:v>
      </x:c>
      <x:c r="D754" s="10" t="n">
        <x:v>1</x:v>
      </x:c>
      <x:c r="E754" s="10"/>
      <x:c r="F754" s="10" t="n">
        <x:v>9</x:v>
      </x:c>
      <x:c r="G754" s="10" t="n">
        <x:v>0</x:v>
      </x:c>
      <x:c r="H754" s="10" t="str">
        <x:f>IF(G754=1,E754-D754,"")</x:f>
      </x:c>
      <x:c r="I754" s="10" t="n">
        <x:f>MIN(F754,9)</x:f>
        <x:v>9</x:v>
      </x:c>
      <x:c r="J754" s="19" t="n">
        <x:v>0.4</x:v>
      </x:c>
      <x:c r="K754" s="2" t="n">
        <x:v>7</x:v>
      </x:c>
      <x:c r="L754" s="19" t="n">
        <x:v>0.2</x:v>
      </x:c>
      <x:c r="M754" s="19" t="n">
        <x:v>0.25</x:v>
      </x:c>
    </x:row>
    <x:row r="755" ht="23" customHeight="1">
      <x:c r="A755" s="2" t="str">
        <x:v>D040_T07_C020_G025</x:v>
      </x:c>
      <x:c r="B755" s="2" t="str">
        <x:v>A0026</x:v>
      </x:c>
      <x:c r="C755" s="2" t="str">
        <x:v>圈内</x:v>
      </x:c>
      <x:c r="D755" s="10" t="n">
        <x:v>1</x:v>
      </x:c>
      <x:c r="E755" s="10"/>
      <x:c r="F755" s="10" t="n">
        <x:v>9</x:v>
      </x:c>
      <x:c r="G755" s="10" t="n">
        <x:v>0</x:v>
      </x:c>
      <x:c r="H755" s="10" t="str">
        <x:f>IF(G755=1,E755-D755,"")</x:f>
      </x:c>
      <x:c r="I755" s="10" t="n">
        <x:f>MIN(F755,9)</x:f>
        <x:v>9</x:v>
      </x:c>
      <x:c r="J755" s="19" t="n">
        <x:v>0.4</x:v>
      </x:c>
      <x:c r="K755" s="2" t="n">
        <x:v>7</x:v>
      </x:c>
      <x:c r="L755" s="19" t="n">
        <x:v>0.2</x:v>
      </x:c>
      <x:c r="M755" s="19" t="n">
        <x:v>0.25</x:v>
      </x:c>
    </x:row>
    <x:row r="756" ht="23" customHeight="1">
      <x:c r="A756" s="2" t="str">
        <x:v>D040_T07_C020_G025</x:v>
      </x:c>
      <x:c r="B756" s="2" t="str">
        <x:v>A0027</x:v>
      </x:c>
      <x:c r="C756" s="2" t="str">
        <x:v>圈内</x:v>
      </x:c>
      <x:c r="D756" s="10" t="n">
        <x:v>1</x:v>
      </x:c>
      <x:c r="E756" s="10"/>
      <x:c r="F756" s="10" t="n">
        <x:v>9</x:v>
      </x:c>
      <x:c r="G756" s="10" t="n">
        <x:v>0</x:v>
      </x:c>
      <x:c r="H756" s="10" t="str">
        <x:f>IF(G756=1,E756-D756,"")</x:f>
      </x:c>
      <x:c r="I756" s="10" t="n">
        <x:f>MIN(F756,9)</x:f>
        <x:v>9</x:v>
      </x:c>
      <x:c r="J756" s="19" t="n">
        <x:v>0.4</x:v>
      </x:c>
      <x:c r="K756" s="2" t="n">
        <x:v>7</x:v>
      </x:c>
      <x:c r="L756" s="19" t="n">
        <x:v>0.2</x:v>
      </x:c>
      <x:c r="M756" s="19" t="n">
        <x:v>0.25</x:v>
      </x:c>
    </x:row>
    <x:row r="757" ht="23" customHeight="1">
      <x:c r="A757" s="2" t="str">
        <x:v>D040_T07_C020_G025</x:v>
      </x:c>
      <x:c r="B757" s="2" t="str">
        <x:v>A0029</x:v>
      </x:c>
      <x:c r="C757" s="2" t="str">
        <x:v>圈内</x:v>
      </x:c>
      <x:c r="D757" s="10" t="n">
        <x:v>1</x:v>
      </x:c>
      <x:c r="E757" s="10"/>
      <x:c r="F757" s="10" t="n">
        <x:v>9</x:v>
      </x:c>
      <x:c r="G757" s="10" t="n">
        <x:v>0</x:v>
      </x:c>
      <x:c r="H757" s="10" t="str">
        <x:f>IF(G757=1,E757-D757,"")</x:f>
      </x:c>
      <x:c r="I757" s="10" t="n">
        <x:f>MIN(F757,9)</x:f>
        <x:v>9</x:v>
      </x:c>
      <x:c r="J757" s="19" t="n">
        <x:v>0.4</x:v>
      </x:c>
      <x:c r="K757" s="2" t="n">
        <x:v>7</x:v>
      </x:c>
      <x:c r="L757" s="19" t="n">
        <x:v>0.2</x:v>
      </x:c>
      <x:c r="M757" s="19" t="n">
        <x:v>0.25</x:v>
      </x:c>
    </x:row>
    <x:row r="758" ht="23" customHeight="1">
      <x:c r="A758" s="2" t="str">
        <x:v>D040_T07_C020_G025</x:v>
      </x:c>
      <x:c r="B758" s="2" t="str">
        <x:v>A0030</x:v>
      </x:c>
      <x:c r="C758" s="2" t="str">
        <x:v>圈内</x:v>
      </x:c>
      <x:c r="D758" s="10" t="n">
        <x:v>1</x:v>
      </x:c>
      <x:c r="E758" s="10"/>
      <x:c r="F758" s="10" t="n">
        <x:v>9</x:v>
      </x:c>
      <x:c r="G758" s="10" t="n">
        <x:v>0</x:v>
      </x:c>
      <x:c r="H758" s="10" t="str">
        <x:f>IF(G758=1,E758-D758,"")</x:f>
      </x:c>
      <x:c r="I758" s="10" t="n">
        <x:f>MIN(F758,9)</x:f>
        <x:v>9</x:v>
      </x:c>
      <x:c r="J758" s="19" t="n">
        <x:v>0.4</x:v>
      </x:c>
      <x:c r="K758" s="2" t="n">
        <x:v>7</x:v>
      </x:c>
      <x:c r="L758" s="19" t="n">
        <x:v>0.2</x:v>
      </x:c>
      <x:c r="M758" s="19" t="n">
        <x:v>0.25</x:v>
      </x:c>
    </x:row>
    <x:row r="759" ht="23" customHeight="1">
      <x:c r="A759" s="2" t="str">
        <x:v>D040_T07_C020_G025</x:v>
      </x:c>
      <x:c r="B759" s="2" t="str">
        <x:v>A0031</x:v>
      </x:c>
      <x:c r="C759" s="2" t="str">
        <x:v>圈内</x:v>
      </x:c>
      <x:c r="D759" s="10" t="n">
        <x:v>1</x:v>
      </x:c>
      <x:c r="E759" s="10" t="n">
        <x:v>9</x:v>
      </x:c>
      <x:c r="F759" s="10" t="n">
        <x:v>8</x:v>
      </x:c>
      <x:c r="G759" s="10" t="n">
        <x:v>1</x:v>
      </x:c>
      <x:c r="H759" s="10" t="n">
        <x:f>IF(G759=1,E759-D759,"")</x:f>
        <x:v>8</x:v>
      </x:c>
      <x:c r="I759" s="10" t="n">
        <x:f>MIN(F759,9)</x:f>
        <x:v>8</x:v>
      </x:c>
      <x:c r="J759" s="19" t="n">
        <x:v>0.4</x:v>
      </x:c>
      <x:c r="K759" s="2" t="n">
        <x:v>7</x:v>
      </x:c>
      <x:c r="L759" s="19" t="n">
        <x:v>0.2</x:v>
      </x:c>
      <x:c r="M759" s="19" t="n">
        <x:v>0.25</x:v>
      </x:c>
    </x:row>
    <x:row r="760" ht="23" customHeight="1">
      <x:c r="A760" s="2" t="str">
        <x:v>D040_T07_C020_G025</x:v>
      </x:c>
      <x:c r="B760" s="2" t="str">
        <x:v>A0032</x:v>
      </x:c>
      <x:c r="C760" s="2" t="str">
        <x:v>圈内</x:v>
      </x:c>
      <x:c r="D760" s="10" t="n">
        <x:v>1</x:v>
      </x:c>
      <x:c r="E760" s="10"/>
      <x:c r="F760" s="10" t="n">
        <x:v>9</x:v>
      </x:c>
      <x:c r="G760" s="10" t="n">
        <x:v>0</x:v>
      </x:c>
      <x:c r="H760" s="10" t="str">
        <x:f>IF(G760=1,E760-D760,"")</x:f>
      </x:c>
      <x:c r="I760" s="10" t="n">
        <x:f>MIN(F760,9)</x:f>
        <x:v>9</x:v>
      </x:c>
      <x:c r="J760" s="19" t="n">
        <x:v>0.4</x:v>
      </x:c>
      <x:c r="K760" s="2" t="n">
        <x:v>7</x:v>
      </x:c>
      <x:c r="L760" s="19" t="n">
        <x:v>0.2</x:v>
      </x:c>
      <x:c r="M760" s="19" t="n">
        <x:v>0.25</x:v>
      </x:c>
    </x:row>
    <x:row r="761" ht="23" customHeight="1">
      <x:c r="A761" s="2" t="str">
        <x:v>D040_T07_C020_G025</x:v>
      </x:c>
      <x:c r="B761" s="2" t="str">
        <x:v>A0033</x:v>
      </x:c>
      <x:c r="C761" s="2" t="str">
        <x:v>圈内</x:v>
      </x:c>
      <x:c r="D761" s="10" t="n">
        <x:v>1</x:v>
      </x:c>
      <x:c r="E761" s="10"/>
      <x:c r="F761" s="10" t="n">
        <x:v>9</x:v>
      </x:c>
      <x:c r="G761" s="10" t="n">
        <x:v>0</x:v>
      </x:c>
      <x:c r="H761" s="10" t="str">
        <x:f>IF(G761=1,E761-D761,"")</x:f>
      </x:c>
      <x:c r="I761" s="10" t="n">
        <x:f>MIN(F761,9)</x:f>
        <x:v>9</x:v>
      </x:c>
      <x:c r="J761" s="19" t="n">
        <x:v>0.4</x:v>
      </x:c>
      <x:c r="K761" s="2" t="n">
        <x:v>7</x:v>
      </x:c>
      <x:c r="L761" s="19" t="n">
        <x:v>0.2</x:v>
      </x:c>
      <x:c r="M761" s="19" t="n">
        <x:v>0.25</x:v>
      </x:c>
    </x:row>
    <x:row r="762" ht="23" customHeight="1">
      <x:c r="A762" s="2" t="str">
        <x:v>D040_T07_C020_G025</x:v>
      </x:c>
      <x:c r="B762" s="2" t="str">
        <x:v>A0035</x:v>
      </x:c>
      <x:c r="C762" s="2" t="str">
        <x:v>圈内</x:v>
      </x:c>
      <x:c r="D762" s="10" t="n">
        <x:v>1</x:v>
      </x:c>
      <x:c r="E762" s="10"/>
      <x:c r="F762" s="10" t="n">
        <x:v>9</x:v>
      </x:c>
      <x:c r="G762" s="10" t="n">
        <x:v>0</x:v>
      </x:c>
      <x:c r="H762" s="10" t="str">
        <x:f>IF(G762=1,E762-D762,"")</x:f>
      </x:c>
      <x:c r="I762" s="10" t="n">
        <x:f>MIN(F762,9)</x:f>
        <x:v>9</x:v>
      </x:c>
      <x:c r="J762" s="19" t="n">
        <x:v>0.4</x:v>
      </x:c>
      <x:c r="K762" s="2" t="n">
        <x:v>7</x:v>
      </x:c>
      <x:c r="L762" s="19" t="n">
        <x:v>0.2</x:v>
      </x:c>
      <x:c r="M762" s="19" t="n">
        <x:v>0.25</x:v>
      </x:c>
    </x:row>
    <x:row r="763" ht="23" customHeight="1">
      <x:c r="A763" s="2" t="str">
        <x:v>D040_T07_C020_G025</x:v>
      </x:c>
      <x:c r="B763" s="2" t="str">
        <x:v>A0036</x:v>
      </x:c>
      <x:c r="C763" s="2" t="str">
        <x:v>圈内</x:v>
      </x:c>
      <x:c r="D763" s="10" t="n">
        <x:v>1</x:v>
      </x:c>
      <x:c r="E763" s="10"/>
      <x:c r="F763" s="10" t="n">
        <x:v>9</x:v>
      </x:c>
      <x:c r="G763" s="10" t="n">
        <x:v>0</x:v>
      </x:c>
      <x:c r="H763" s="10" t="str">
        <x:f>IF(G763=1,E763-D763,"")</x:f>
      </x:c>
      <x:c r="I763" s="10" t="n">
        <x:f>MIN(F763,9)</x:f>
        <x:v>9</x:v>
      </x:c>
      <x:c r="J763" s="19" t="n">
        <x:v>0.4</x:v>
      </x:c>
      <x:c r="K763" s="2" t="n">
        <x:v>7</x:v>
      </x:c>
      <x:c r="L763" s="19" t="n">
        <x:v>0.2</x:v>
      </x:c>
      <x:c r="M763" s="19" t="n">
        <x:v>0.25</x:v>
      </x:c>
    </x:row>
    <x:row r="764" ht="23" customHeight="1">
      <x:c r="A764" s="2" t="str">
        <x:v>D040_T07_C020_G025</x:v>
      </x:c>
      <x:c r="B764" s="2" t="str">
        <x:v>A0037</x:v>
      </x:c>
      <x:c r="C764" s="2" t="str">
        <x:v>圈内</x:v>
      </x:c>
      <x:c r="D764" s="10" t="n">
        <x:v>1</x:v>
      </x:c>
      <x:c r="E764" s="10"/>
      <x:c r="F764" s="10" t="n">
        <x:v>9</x:v>
      </x:c>
      <x:c r="G764" s="10" t="n">
        <x:v>0</x:v>
      </x:c>
      <x:c r="H764" s="10" t="str">
        <x:f>IF(G764=1,E764-D764,"")</x:f>
      </x:c>
      <x:c r="I764" s="10" t="n">
        <x:f>MIN(F764,9)</x:f>
        <x:v>9</x:v>
      </x:c>
      <x:c r="J764" s="19" t="n">
        <x:v>0.4</x:v>
      </x:c>
      <x:c r="K764" s="2" t="n">
        <x:v>7</x:v>
      </x:c>
      <x:c r="L764" s="19" t="n">
        <x:v>0.2</x:v>
      </x:c>
      <x:c r="M764" s="19" t="n">
        <x:v>0.25</x:v>
      </x:c>
    </x:row>
    <x:row r="765" ht="23" customHeight="1">
      <x:c r="A765" s="2" t="str">
        <x:v>D040_T07_C020_G025</x:v>
      </x:c>
      <x:c r="B765" s="2" t="str">
        <x:v>A0038</x:v>
      </x:c>
      <x:c r="C765" s="2" t="str">
        <x:v>圈内</x:v>
      </x:c>
      <x:c r="D765" s="10" t="n">
        <x:v>1</x:v>
      </x:c>
      <x:c r="E765" s="10"/>
      <x:c r="F765" s="10" t="n">
        <x:v>9</x:v>
      </x:c>
      <x:c r="G765" s="10" t="n">
        <x:v>0</x:v>
      </x:c>
      <x:c r="H765" s="10" t="str">
        <x:f>IF(G765=1,E765-D765,"")</x:f>
      </x:c>
      <x:c r="I765" s="10" t="n">
        <x:f>MIN(F765,9)</x:f>
        <x:v>9</x:v>
      </x:c>
      <x:c r="J765" s="19" t="n">
        <x:v>0.4</x:v>
      </x:c>
      <x:c r="K765" s="2" t="n">
        <x:v>7</x:v>
      </x:c>
      <x:c r="L765" s="19" t="n">
        <x:v>0.2</x:v>
      </x:c>
      <x:c r="M765" s="19" t="n">
        <x:v>0.25</x:v>
      </x:c>
    </x:row>
    <x:row r="766" ht="23" customHeight="1">
      <x:c r="A766" s="2" t="str">
        <x:v>D040_T07_C020_G025</x:v>
      </x:c>
      <x:c r="B766" s="2" t="str">
        <x:v>A0039</x:v>
      </x:c>
      <x:c r="C766" s="2" t="str">
        <x:v>圈内</x:v>
      </x:c>
      <x:c r="D766" s="10" t="n">
        <x:v>1</x:v>
      </x:c>
      <x:c r="E766" s="10" t="n">
        <x:v>10</x:v>
      </x:c>
      <x:c r="F766" s="10" t="n">
        <x:v>9</x:v>
      </x:c>
      <x:c r="G766" s="10" t="n">
        <x:v>1</x:v>
      </x:c>
      <x:c r="H766" s="10" t="n">
        <x:f>IF(G766=1,E766-D766,"")</x:f>
        <x:v>9</x:v>
      </x:c>
      <x:c r="I766" s="10" t="n">
        <x:f>MIN(F766,9)</x:f>
        <x:v>9</x:v>
      </x:c>
      <x:c r="J766" s="19" t="n">
        <x:v>0.4</x:v>
      </x:c>
      <x:c r="K766" s="2" t="n">
        <x:v>7</x:v>
      </x:c>
      <x:c r="L766" s="19" t="n">
        <x:v>0.2</x:v>
      </x:c>
      <x:c r="M766" s="19" t="n">
        <x:v>0.25</x:v>
      </x:c>
    </x:row>
    <x:row r="767" ht="23" customHeight="1">
      <x:c r="A767" s="2" t="str">
        <x:v>D040_T07_C020_G025</x:v>
      </x:c>
      <x:c r="B767" s="2" t="str">
        <x:v>A0040</x:v>
      </x:c>
      <x:c r="C767" s="2" t="str">
        <x:v>圈内</x:v>
      </x:c>
      <x:c r="D767" s="10" t="n">
        <x:v>1</x:v>
      </x:c>
      <x:c r="E767" s="10"/>
      <x:c r="F767" s="10" t="n">
        <x:v>9</x:v>
      </x:c>
      <x:c r="G767" s="10" t="n">
        <x:v>0</x:v>
      </x:c>
      <x:c r="H767" s="10" t="str">
        <x:f>IF(G767=1,E767-D767,"")</x:f>
      </x:c>
      <x:c r="I767" s="10" t="n">
        <x:f>MIN(F767,9)</x:f>
        <x:v>9</x:v>
      </x:c>
      <x:c r="J767" s="19" t="n">
        <x:v>0.4</x:v>
      </x:c>
      <x:c r="K767" s="2" t="n">
        <x:v>7</x:v>
      </x:c>
      <x:c r="L767" s="19" t="n">
        <x:v>0.2</x:v>
      </x:c>
      <x:c r="M767" s="19" t="n">
        <x:v>0.25</x:v>
      </x:c>
    </x:row>
    <x:row r="768" ht="23" customHeight="1">
      <x:c r="A768" s="2" t="str">
        <x:v>D040_T07_C020_G025</x:v>
      </x:c>
      <x:c r="B768" s="2" t="str">
        <x:v>A0041</x:v>
      </x:c>
      <x:c r="C768" s="2" t="str">
        <x:v>圈内</x:v>
      </x:c>
      <x:c r="D768" s="10" t="n">
        <x:v>1</x:v>
      </x:c>
      <x:c r="E768" s="10"/>
      <x:c r="F768" s="10" t="n">
        <x:v>9</x:v>
      </x:c>
      <x:c r="G768" s="10" t="n">
        <x:v>0</x:v>
      </x:c>
      <x:c r="H768" s="10" t="str">
        <x:f>IF(G768=1,E768-D768,"")</x:f>
      </x:c>
      <x:c r="I768" s="10" t="n">
        <x:f>MIN(F768,9)</x:f>
        <x:v>9</x:v>
      </x:c>
      <x:c r="J768" s="19" t="n">
        <x:v>0.4</x:v>
      </x:c>
      <x:c r="K768" s="2" t="n">
        <x:v>7</x:v>
      </x:c>
      <x:c r="L768" s="19" t="n">
        <x:v>0.2</x:v>
      </x:c>
      <x:c r="M768" s="19" t="n">
        <x:v>0.25</x:v>
      </x:c>
    </x:row>
    <x:row r="769" ht="23" customHeight="1">
      <x:c r="A769" s="2" t="str">
        <x:v>D040_T07_C020_G025</x:v>
      </x:c>
      <x:c r="B769" s="2" t="str">
        <x:v>A0071</x:v>
      </x:c>
      <x:c r="C769" s="2" t="str">
        <x:v>圈内</x:v>
      </x:c>
      <x:c r="D769" s="10" t="n">
        <x:v>1</x:v>
      </x:c>
      <x:c r="E769" s="10"/>
      <x:c r="F769" s="10" t="n">
        <x:v>9</x:v>
      </x:c>
      <x:c r="G769" s="10" t="n">
        <x:v>0</x:v>
      </x:c>
      <x:c r="H769" s="10" t="str">
        <x:f>IF(G769=1,E769-D769,"")</x:f>
      </x:c>
      <x:c r="I769" s="10" t="n">
        <x:f>MIN(F769,9)</x:f>
        <x:v>9</x:v>
      </x:c>
      <x:c r="J769" s="19" t="n">
        <x:v>0.4</x:v>
      </x:c>
      <x:c r="K769" s="2" t="n">
        <x:v>7</x:v>
      </x:c>
      <x:c r="L769" s="19" t="n">
        <x:v>0.2</x:v>
      </x:c>
      <x:c r="M769" s="19" t="n">
        <x:v>0.25</x:v>
      </x:c>
    </x:row>
    <x:row r="770" ht="23" customHeight="1">
      <x:c r="A770" s="2" t="str">
        <x:v>D040_T07_C020_G025</x:v>
      </x:c>
      <x:c r="B770" s="2" t="str">
        <x:v>A0090</x:v>
      </x:c>
      <x:c r="C770" s="2" t="str">
        <x:v>圈内</x:v>
      </x:c>
      <x:c r="D770" s="10" t="n">
        <x:v>1</x:v>
      </x:c>
      <x:c r="E770" s="10"/>
      <x:c r="F770" s="10" t="n">
        <x:v>9</x:v>
      </x:c>
      <x:c r="G770" s="10" t="n">
        <x:v>0</x:v>
      </x:c>
      <x:c r="H770" s="10" t="str">
        <x:f>IF(G770=1,E770-D770,"")</x:f>
      </x:c>
      <x:c r="I770" s="10" t="n">
        <x:f>MIN(F770,9)</x:f>
        <x:v>9</x:v>
      </x:c>
      <x:c r="J770" s="19" t="n">
        <x:v>0.4</x:v>
      </x:c>
      <x:c r="K770" s="2" t="n">
        <x:v>7</x:v>
      </x:c>
      <x:c r="L770" s="19" t="n">
        <x:v>0.2</x:v>
      </x:c>
      <x:c r="M770" s="19" t="n">
        <x:v>0.25</x:v>
      </x:c>
    </x:row>
    <x:row r="771" ht="23" customHeight="1">
      <x:c r="A771" s="2" t="str">
        <x:v>D040_T07_C020_G025</x:v>
      </x:c>
      <x:c r="B771" s="2" t="str">
        <x:v>A0206</x:v>
      </x:c>
      <x:c r="C771" s="2" t="str">
        <x:v>圈内</x:v>
      </x:c>
      <x:c r="D771" s="10" t="n">
        <x:v>1</x:v>
      </x:c>
      <x:c r="E771" s="10" t="n">
        <x:v>8</x:v>
      </x:c>
      <x:c r="F771" s="10" t="n">
        <x:v>7</x:v>
      </x:c>
      <x:c r="G771" s="10" t="n">
        <x:v>1</x:v>
      </x:c>
      <x:c r="H771" s="10" t="n">
        <x:f>IF(G771=1,E771-D771,"")</x:f>
        <x:v>7</x:v>
      </x:c>
      <x:c r="I771" s="10" t="n">
        <x:f>MIN(F771,9)</x:f>
        <x:v>7</x:v>
      </x:c>
      <x:c r="J771" s="19" t="n">
        <x:v>0.4</x:v>
      </x:c>
      <x:c r="K771" s="2" t="n">
        <x:v>7</x:v>
      </x:c>
      <x:c r="L771" s="19" t="n">
        <x:v>0.2</x:v>
      </x:c>
      <x:c r="M771" s="19" t="n">
        <x:v>0.25</x:v>
      </x:c>
    </x:row>
    <x:row r="772" ht="23" customHeight="1">
      <x:c r="A772" s="2" t="str">
        <x:v>D040_T07_C020_G050</x:v>
      </x:c>
      <x:c r="B772" s="2" t="str">
        <x:v>A0001</x:v>
      </x:c>
      <x:c r="C772" s="2" t="str">
        <x:v>圈内</x:v>
      </x:c>
      <x:c r="D772" s="10" t="n">
        <x:v>1</x:v>
      </x:c>
      <x:c r="E772" s="10" t="n">
        <x:v>8</x:v>
      </x:c>
      <x:c r="F772" s="10" t="n">
        <x:v>7</x:v>
      </x:c>
      <x:c r="G772" s="10" t="n">
        <x:v>1</x:v>
      </x:c>
      <x:c r="H772" s="10" t="n">
        <x:f>IF(G772=1,E772-D772,"")</x:f>
        <x:v>7</x:v>
      </x:c>
      <x:c r="I772" s="10" t="n">
        <x:f>MIN(F772,9)</x:f>
        <x:v>7</x:v>
      </x:c>
      <x:c r="J772" s="19" t="n">
        <x:v>0.4</x:v>
      </x:c>
      <x:c r="K772" s="2" t="n">
        <x:v>7</x:v>
      </x:c>
      <x:c r="L772" s="19" t="n">
        <x:v>0.2</x:v>
      </x:c>
      <x:c r="M772" s="19" t="n">
        <x:v>0.5</x:v>
      </x:c>
    </x:row>
    <x:row r="773" ht="23" customHeight="1">
      <x:c r="A773" s="2" t="str">
        <x:v>D040_T07_C020_G050</x:v>
      </x:c>
      <x:c r="B773" s="2" t="str">
        <x:v>A0005</x:v>
      </x:c>
      <x:c r="C773" s="2" t="str">
        <x:v>圈内</x:v>
      </x:c>
      <x:c r="D773" s="10" t="n">
        <x:v>1</x:v>
      </x:c>
      <x:c r="E773" s="10"/>
      <x:c r="F773" s="10" t="n">
        <x:v>9</x:v>
      </x:c>
      <x:c r="G773" s="10" t="n">
        <x:v>0</x:v>
      </x:c>
      <x:c r="H773" s="10" t="str">
        <x:f>IF(G773=1,E773-D773,"")</x:f>
      </x:c>
      <x:c r="I773" s="10" t="n">
        <x:f>MIN(F773,9)</x:f>
        <x:v>9</x:v>
      </x:c>
      <x:c r="J773" s="19" t="n">
        <x:v>0.4</x:v>
      </x:c>
      <x:c r="K773" s="2" t="n">
        <x:v>7</x:v>
      </x:c>
      <x:c r="L773" s="19" t="n">
        <x:v>0.2</x:v>
      </x:c>
      <x:c r="M773" s="19" t="n">
        <x:v>0.5</x:v>
      </x:c>
    </x:row>
    <x:row r="774" ht="23" customHeight="1">
      <x:c r="A774" s="2" t="str">
        <x:v>D040_T07_C020_G050</x:v>
      </x:c>
      <x:c r="B774" s="2" t="str">
        <x:v>A0009</x:v>
      </x:c>
      <x:c r="C774" s="2" t="str">
        <x:v>圈内</x:v>
      </x:c>
      <x:c r="D774" s="10" t="n">
        <x:v>1</x:v>
      </x:c>
      <x:c r="E774" s="10" t="n">
        <x:v>9</x:v>
      </x:c>
      <x:c r="F774" s="10" t="n">
        <x:v>8</x:v>
      </x:c>
      <x:c r="G774" s="10" t="n">
        <x:v>1</x:v>
      </x:c>
      <x:c r="H774" s="10" t="n">
        <x:f>IF(G774=1,E774-D774,"")</x:f>
        <x:v>8</x:v>
      </x:c>
      <x:c r="I774" s="10" t="n">
        <x:f>MIN(F774,9)</x:f>
        <x:v>8</x:v>
      </x:c>
      <x:c r="J774" s="19" t="n">
        <x:v>0.4</x:v>
      </x:c>
      <x:c r="K774" s="2" t="n">
        <x:v>7</x:v>
      </x:c>
      <x:c r="L774" s="19" t="n">
        <x:v>0.2</x:v>
      </x:c>
      <x:c r="M774" s="19" t="n">
        <x:v>0.5</x:v>
      </x:c>
    </x:row>
    <x:row r="775" ht="23" customHeight="1">
      <x:c r="A775" s="2" t="str">
        <x:v>D040_T07_C020_G050</x:v>
      </x:c>
      <x:c r="B775" s="2" t="str">
        <x:v>A0011</x:v>
      </x:c>
      <x:c r="C775" s="2" t="str">
        <x:v>圈内</x:v>
      </x:c>
      <x:c r="D775" s="10" t="n">
        <x:v>1</x:v>
      </x:c>
      <x:c r="E775" s="10" t="n">
        <x:v>10</x:v>
      </x:c>
      <x:c r="F775" s="10" t="n">
        <x:v>9</x:v>
      </x:c>
      <x:c r="G775" s="10" t="n">
        <x:v>1</x:v>
      </x:c>
      <x:c r="H775" s="10" t="n">
        <x:f>IF(G775=1,E775-D775,"")</x:f>
        <x:v>9</x:v>
      </x:c>
      <x:c r="I775" s="10" t="n">
        <x:f>MIN(F775,9)</x:f>
        <x:v>9</x:v>
      </x:c>
      <x:c r="J775" s="19" t="n">
        <x:v>0.4</x:v>
      </x:c>
      <x:c r="K775" s="2" t="n">
        <x:v>7</x:v>
      </x:c>
      <x:c r="L775" s="19" t="n">
        <x:v>0.2</x:v>
      </x:c>
      <x:c r="M775" s="19" t="n">
        <x:v>0.5</x:v>
      </x:c>
    </x:row>
    <x:row r="776" ht="23" customHeight="1">
      <x:c r="A776" s="2" t="str">
        <x:v>D040_T07_C020_G050</x:v>
      </x:c>
      <x:c r="B776" s="2" t="str">
        <x:v>A0012</x:v>
      </x:c>
      <x:c r="C776" s="2" t="str">
        <x:v>圈内</x:v>
      </x:c>
      <x:c r="D776" s="10" t="n">
        <x:v>1</x:v>
      </x:c>
      <x:c r="E776" s="10"/>
      <x:c r="F776" s="10" t="n">
        <x:v>9</x:v>
      </x:c>
      <x:c r="G776" s="10" t="n">
        <x:v>0</x:v>
      </x:c>
      <x:c r="H776" s="10" t="str">
        <x:f>IF(G776=1,E776-D776,"")</x:f>
      </x:c>
      <x:c r="I776" s="10" t="n">
        <x:f>MIN(F776,9)</x:f>
        <x:v>9</x:v>
      </x:c>
      <x:c r="J776" s="19" t="n">
        <x:v>0.4</x:v>
      </x:c>
      <x:c r="K776" s="2" t="n">
        <x:v>7</x:v>
      </x:c>
      <x:c r="L776" s="19" t="n">
        <x:v>0.2</x:v>
      </x:c>
      <x:c r="M776" s="19" t="n">
        <x:v>0.5</x:v>
      </x:c>
    </x:row>
    <x:row r="777" ht="23" customHeight="1">
      <x:c r="A777" s="2" t="str">
        <x:v>D040_T07_C020_G050</x:v>
      </x:c>
      <x:c r="B777" s="2" t="str">
        <x:v>A0013</x:v>
      </x:c>
      <x:c r="C777" s="2" t="str">
        <x:v>圈内</x:v>
      </x:c>
      <x:c r="D777" s="10" t="n">
        <x:v>1</x:v>
      </x:c>
      <x:c r="E777" s="10" t="n">
        <x:v>8</x:v>
      </x:c>
      <x:c r="F777" s="10" t="n">
        <x:v>7</x:v>
      </x:c>
      <x:c r="G777" s="10" t="n">
        <x:v>1</x:v>
      </x:c>
      <x:c r="H777" s="10" t="n">
        <x:f>IF(G777=1,E777-D777,"")</x:f>
        <x:v>7</x:v>
      </x:c>
      <x:c r="I777" s="10" t="n">
        <x:f>MIN(F777,9)</x:f>
        <x:v>7</x:v>
      </x:c>
      <x:c r="J777" s="19" t="n">
        <x:v>0.4</x:v>
      </x:c>
      <x:c r="K777" s="2" t="n">
        <x:v>7</x:v>
      </x:c>
      <x:c r="L777" s="19" t="n">
        <x:v>0.2</x:v>
      </x:c>
      <x:c r="M777" s="19" t="n">
        <x:v>0.5</x:v>
      </x:c>
    </x:row>
    <x:row r="778" ht="23" customHeight="1">
      <x:c r="A778" s="2" t="str">
        <x:v>D040_T07_C020_G050</x:v>
      </x:c>
      <x:c r="B778" s="2" t="str">
        <x:v>A0014</x:v>
      </x:c>
      <x:c r="C778" s="2" t="str">
        <x:v>圈内</x:v>
      </x:c>
      <x:c r="D778" s="10" t="n">
        <x:v>1</x:v>
      </x:c>
      <x:c r="E778" s="10" t="n">
        <x:v>7</x:v>
      </x:c>
      <x:c r="F778" s="10" t="n">
        <x:v>6</x:v>
      </x:c>
      <x:c r="G778" s="10" t="n">
        <x:v>1</x:v>
      </x:c>
      <x:c r="H778" s="10" t="n">
        <x:f>IF(G778=1,E778-D778,"")</x:f>
        <x:v>6</x:v>
      </x:c>
      <x:c r="I778" s="10" t="n">
        <x:f>MIN(F778,9)</x:f>
        <x:v>6</x:v>
      </x:c>
      <x:c r="J778" s="19" t="n">
        <x:v>0.4</x:v>
      </x:c>
      <x:c r="K778" s="2" t="n">
        <x:v>7</x:v>
      </x:c>
      <x:c r="L778" s="19" t="n">
        <x:v>0.2</x:v>
      </x:c>
      <x:c r="M778" s="19" t="n">
        <x:v>0.5</x:v>
      </x:c>
    </x:row>
    <x:row r="779" ht="23" customHeight="1">
      <x:c r="A779" s="2" t="str">
        <x:v>D040_T07_C020_G050</x:v>
      </x:c>
      <x:c r="B779" s="2" t="str">
        <x:v>A0017</x:v>
      </x:c>
      <x:c r="C779" s="2" t="str">
        <x:v>圈内</x:v>
      </x:c>
      <x:c r="D779" s="10" t="n">
        <x:v>1</x:v>
      </x:c>
      <x:c r="E779" s="10" t="n">
        <x:v>9</x:v>
      </x:c>
      <x:c r="F779" s="10" t="n">
        <x:v>8</x:v>
      </x:c>
      <x:c r="G779" s="10" t="n">
        <x:v>1</x:v>
      </x:c>
      <x:c r="H779" s="10" t="n">
        <x:f>IF(G779=1,E779-D779,"")</x:f>
        <x:v>8</x:v>
      </x:c>
      <x:c r="I779" s="10" t="n">
        <x:f>MIN(F779,9)</x:f>
        <x:v>8</x:v>
      </x:c>
      <x:c r="J779" s="19" t="n">
        <x:v>0.4</x:v>
      </x:c>
      <x:c r="K779" s="2" t="n">
        <x:v>7</x:v>
      </x:c>
      <x:c r="L779" s="19" t="n">
        <x:v>0.2</x:v>
      </x:c>
      <x:c r="M779" s="19" t="n">
        <x:v>0.5</x:v>
      </x:c>
    </x:row>
    <x:row r="780" ht="23" customHeight="1">
      <x:c r="A780" s="2" t="str">
        <x:v>D040_T07_C020_G050</x:v>
      </x:c>
      <x:c r="B780" s="2" t="str">
        <x:v>A0018</x:v>
      </x:c>
      <x:c r="C780" s="2" t="str">
        <x:v>圈内</x:v>
      </x:c>
      <x:c r="D780" s="10" t="n">
        <x:v>1</x:v>
      </x:c>
      <x:c r="E780" s="10" t="n">
        <x:v>9</x:v>
      </x:c>
      <x:c r="F780" s="10" t="n">
        <x:v>8</x:v>
      </x:c>
      <x:c r="G780" s="10" t="n">
        <x:v>1</x:v>
      </x:c>
      <x:c r="H780" s="10" t="n">
        <x:f>IF(G780=1,E780-D780,"")</x:f>
        <x:v>8</x:v>
      </x:c>
      <x:c r="I780" s="10" t="n">
        <x:f>MIN(F780,9)</x:f>
        <x:v>8</x:v>
      </x:c>
      <x:c r="J780" s="19" t="n">
        <x:v>0.4</x:v>
      </x:c>
      <x:c r="K780" s="2" t="n">
        <x:v>7</x:v>
      </x:c>
      <x:c r="L780" s="19" t="n">
        <x:v>0.2</x:v>
      </x:c>
      <x:c r="M780" s="19" t="n">
        <x:v>0.5</x:v>
      </x:c>
    </x:row>
    <x:row r="781" ht="23" customHeight="1">
      <x:c r="A781" s="2" t="str">
        <x:v>D040_T07_C020_G050</x:v>
      </x:c>
      <x:c r="B781" s="2" t="str">
        <x:v>A0019</x:v>
      </x:c>
      <x:c r="C781" s="2" t="str">
        <x:v>圈内</x:v>
      </x:c>
      <x:c r="D781" s="10" t="n">
        <x:v>1</x:v>
      </x:c>
      <x:c r="E781" s="10"/>
      <x:c r="F781" s="10" t="n">
        <x:v>9</x:v>
      </x:c>
      <x:c r="G781" s="10" t="n">
        <x:v>0</x:v>
      </x:c>
      <x:c r="H781" s="10" t="str">
        <x:f>IF(G781=1,E781-D781,"")</x:f>
      </x:c>
      <x:c r="I781" s="10" t="n">
        <x:f>MIN(F781,9)</x:f>
        <x:v>9</x:v>
      </x:c>
      <x:c r="J781" s="19" t="n">
        <x:v>0.4</x:v>
      </x:c>
      <x:c r="K781" s="2" t="n">
        <x:v>7</x:v>
      </x:c>
      <x:c r="L781" s="19" t="n">
        <x:v>0.2</x:v>
      </x:c>
      <x:c r="M781" s="19" t="n">
        <x:v>0.5</x:v>
      </x:c>
    </x:row>
    <x:row r="782" ht="23" customHeight="1">
      <x:c r="A782" s="2" t="str">
        <x:v>D040_T07_C020_G050</x:v>
      </x:c>
      <x:c r="B782" s="2" t="str">
        <x:v>A0020</x:v>
      </x:c>
      <x:c r="C782" s="2" t="str">
        <x:v>圈内</x:v>
      </x:c>
      <x:c r="D782" s="10" t="n">
        <x:v>1</x:v>
      </x:c>
      <x:c r="E782" s="10" t="n">
        <x:v>8</x:v>
      </x:c>
      <x:c r="F782" s="10" t="n">
        <x:v>7</x:v>
      </x:c>
      <x:c r="G782" s="10" t="n">
        <x:v>1</x:v>
      </x:c>
      <x:c r="H782" s="10" t="n">
        <x:f>IF(G782=1,E782-D782,"")</x:f>
        <x:v>7</x:v>
      </x:c>
      <x:c r="I782" s="10" t="n">
        <x:f>MIN(F782,9)</x:f>
        <x:v>7</x:v>
      </x:c>
      <x:c r="J782" s="19" t="n">
        <x:v>0.4</x:v>
      </x:c>
      <x:c r="K782" s="2" t="n">
        <x:v>7</x:v>
      </x:c>
      <x:c r="L782" s="19" t="n">
        <x:v>0.2</x:v>
      </x:c>
      <x:c r="M782" s="19" t="n">
        <x:v>0.5</x:v>
      </x:c>
    </x:row>
    <x:row r="783" ht="23" customHeight="1">
      <x:c r="A783" s="2" t="str">
        <x:v>D040_T07_C020_G050</x:v>
      </x:c>
      <x:c r="B783" s="2" t="str">
        <x:v>A0024</x:v>
      </x:c>
      <x:c r="C783" s="2" t="str">
        <x:v>圈内</x:v>
      </x:c>
      <x:c r="D783" s="10" t="n">
        <x:v>1</x:v>
      </x:c>
      <x:c r="E783" s="10"/>
      <x:c r="F783" s="10" t="n">
        <x:v>9</x:v>
      </x:c>
      <x:c r="G783" s="10" t="n">
        <x:v>0</x:v>
      </x:c>
      <x:c r="H783" s="10" t="str">
        <x:f>IF(G783=1,E783-D783,"")</x:f>
      </x:c>
      <x:c r="I783" s="10" t="n">
        <x:f>MIN(F783,9)</x:f>
        <x:v>9</x:v>
      </x:c>
      <x:c r="J783" s="19" t="n">
        <x:v>0.4</x:v>
      </x:c>
      <x:c r="K783" s="2" t="n">
        <x:v>7</x:v>
      </x:c>
      <x:c r="L783" s="19" t="n">
        <x:v>0.2</x:v>
      </x:c>
      <x:c r="M783" s="19" t="n">
        <x:v>0.5</x:v>
      </x:c>
    </x:row>
    <x:row r="784" ht="23" customHeight="1">
      <x:c r="A784" s="2" t="str">
        <x:v>D040_T07_C020_G050</x:v>
      </x:c>
      <x:c r="B784" s="2" t="str">
        <x:v>A0025</x:v>
      </x:c>
      <x:c r="C784" s="2" t="str">
        <x:v>圈内</x:v>
      </x:c>
      <x:c r="D784" s="10" t="n">
        <x:v>1</x:v>
      </x:c>
      <x:c r="E784" s="10" t="n">
        <x:v>7</x:v>
      </x:c>
      <x:c r="F784" s="10" t="n">
        <x:v>6</x:v>
      </x:c>
      <x:c r="G784" s="10" t="n">
        <x:v>1</x:v>
      </x:c>
      <x:c r="H784" s="10" t="n">
        <x:f>IF(G784=1,E784-D784,"")</x:f>
        <x:v>6</x:v>
      </x:c>
      <x:c r="I784" s="10" t="n">
        <x:f>MIN(F784,9)</x:f>
        <x:v>6</x:v>
      </x:c>
      <x:c r="J784" s="19" t="n">
        <x:v>0.4</x:v>
      </x:c>
      <x:c r="K784" s="2" t="n">
        <x:v>7</x:v>
      </x:c>
      <x:c r="L784" s="19" t="n">
        <x:v>0.2</x:v>
      </x:c>
      <x:c r="M784" s="19" t="n">
        <x:v>0.5</x:v>
      </x:c>
    </x:row>
    <x:row r="785" ht="23" customHeight="1">
      <x:c r="A785" s="2" t="str">
        <x:v>D040_T07_C020_G050</x:v>
      </x:c>
      <x:c r="B785" s="2" t="str">
        <x:v>A0027</x:v>
      </x:c>
      <x:c r="C785" s="2" t="str">
        <x:v>圈内</x:v>
      </x:c>
      <x:c r="D785" s="10" t="n">
        <x:v>1</x:v>
      </x:c>
      <x:c r="E785" s="10" t="n">
        <x:v>10</x:v>
      </x:c>
      <x:c r="F785" s="10" t="n">
        <x:v>9</x:v>
      </x:c>
      <x:c r="G785" s="10" t="n">
        <x:v>1</x:v>
      </x:c>
      <x:c r="H785" s="10" t="n">
        <x:f>IF(G785=1,E785-D785,"")</x:f>
        <x:v>9</x:v>
      </x:c>
      <x:c r="I785" s="10" t="n">
        <x:f>MIN(F785,9)</x:f>
        <x:v>9</x:v>
      </x:c>
      <x:c r="J785" s="19" t="n">
        <x:v>0.4</x:v>
      </x:c>
      <x:c r="K785" s="2" t="n">
        <x:v>7</x:v>
      </x:c>
      <x:c r="L785" s="19" t="n">
        <x:v>0.2</x:v>
      </x:c>
      <x:c r="M785" s="19" t="n">
        <x:v>0.5</x:v>
      </x:c>
    </x:row>
    <x:row r="786" ht="23" customHeight="1">
      <x:c r="A786" s="2" t="str">
        <x:v>D040_T07_C020_G050</x:v>
      </x:c>
      <x:c r="B786" s="2" t="str">
        <x:v>A0029</x:v>
      </x:c>
      <x:c r="C786" s="2" t="str">
        <x:v>圈内</x:v>
      </x:c>
      <x:c r="D786" s="10" t="n">
        <x:v>1</x:v>
      </x:c>
      <x:c r="E786" s="10" t="n">
        <x:v>8</x:v>
      </x:c>
      <x:c r="F786" s="10" t="n">
        <x:v>7</x:v>
      </x:c>
      <x:c r="G786" s="10" t="n">
        <x:v>1</x:v>
      </x:c>
      <x:c r="H786" s="10" t="n">
        <x:f>IF(G786=1,E786-D786,"")</x:f>
        <x:v>7</x:v>
      </x:c>
      <x:c r="I786" s="10" t="n">
        <x:f>MIN(F786,9)</x:f>
        <x:v>7</x:v>
      </x:c>
      <x:c r="J786" s="19" t="n">
        <x:v>0.4</x:v>
      </x:c>
      <x:c r="K786" s="2" t="n">
        <x:v>7</x:v>
      </x:c>
      <x:c r="L786" s="19" t="n">
        <x:v>0.2</x:v>
      </x:c>
      <x:c r="M786" s="19" t="n">
        <x:v>0.5</x:v>
      </x:c>
    </x:row>
    <x:row r="787" ht="23" customHeight="1">
      <x:c r="A787" s="2" t="str">
        <x:v>D040_T07_C020_G050</x:v>
      </x:c>
      <x:c r="B787" s="2" t="str">
        <x:v>A0030</x:v>
      </x:c>
      <x:c r="C787" s="2" t="str">
        <x:v>圈内</x:v>
      </x:c>
      <x:c r="D787" s="10" t="n">
        <x:v>1</x:v>
      </x:c>
      <x:c r="E787" s="10" t="n">
        <x:v>9</x:v>
      </x:c>
      <x:c r="F787" s="10" t="n">
        <x:v>8</x:v>
      </x:c>
      <x:c r="G787" s="10" t="n">
        <x:v>1</x:v>
      </x:c>
      <x:c r="H787" s="10" t="n">
        <x:f>IF(G787=1,E787-D787,"")</x:f>
        <x:v>8</x:v>
      </x:c>
      <x:c r="I787" s="10" t="n">
        <x:f>MIN(F787,9)</x:f>
        <x:v>8</x:v>
      </x:c>
      <x:c r="J787" s="19" t="n">
        <x:v>0.4</x:v>
      </x:c>
      <x:c r="K787" s="2" t="n">
        <x:v>7</x:v>
      </x:c>
      <x:c r="L787" s="19" t="n">
        <x:v>0.2</x:v>
      </x:c>
      <x:c r="M787" s="19" t="n">
        <x:v>0.5</x:v>
      </x:c>
    </x:row>
    <x:row r="788" ht="23" customHeight="1">
      <x:c r="A788" s="2" t="str">
        <x:v>D040_T07_C020_G050</x:v>
      </x:c>
      <x:c r="B788" s="2" t="str">
        <x:v>A0032</x:v>
      </x:c>
      <x:c r="C788" s="2" t="str">
        <x:v>圈内</x:v>
      </x:c>
      <x:c r="D788" s="10" t="n">
        <x:v>1</x:v>
      </x:c>
      <x:c r="E788" s="10" t="n">
        <x:v>7</x:v>
      </x:c>
      <x:c r="F788" s="10" t="n">
        <x:v>6</x:v>
      </x:c>
      <x:c r="G788" s="10" t="n">
        <x:v>1</x:v>
      </x:c>
      <x:c r="H788" s="10" t="n">
        <x:f>IF(G788=1,E788-D788,"")</x:f>
        <x:v>6</x:v>
      </x:c>
      <x:c r="I788" s="10" t="n">
        <x:f>MIN(F788,9)</x:f>
        <x:v>6</x:v>
      </x:c>
      <x:c r="J788" s="19" t="n">
        <x:v>0.4</x:v>
      </x:c>
      <x:c r="K788" s="2" t="n">
        <x:v>7</x:v>
      </x:c>
      <x:c r="L788" s="19" t="n">
        <x:v>0.2</x:v>
      </x:c>
      <x:c r="M788" s="19" t="n">
        <x:v>0.5</x:v>
      </x:c>
    </x:row>
    <x:row r="789" ht="23" customHeight="1">
      <x:c r="A789" s="2" t="str">
        <x:v>D040_T07_C020_G050</x:v>
      </x:c>
      <x:c r="B789" s="2" t="str">
        <x:v>A0033</x:v>
      </x:c>
      <x:c r="C789" s="2" t="str">
        <x:v>圈内</x:v>
      </x:c>
      <x:c r="D789" s="10" t="n">
        <x:v>1</x:v>
      </x:c>
      <x:c r="E789" s="10" t="n">
        <x:v>8</x:v>
      </x:c>
      <x:c r="F789" s="10" t="n">
        <x:v>7</x:v>
      </x:c>
      <x:c r="G789" s="10" t="n">
        <x:v>1</x:v>
      </x:c>
      <x:c r="H789" s="10" t="n">
        <x:f>IF(G789=1,E789-D789,"")</x:f>
        <x:v>7</x:v>
      </x:c>
      <x:c r="I789" s="10" t="n">
        <x:f>MIN(F789,9)</x:f>
        <x:v>7</x:v>
      </x:c>
      <x:c r="J789" s="19" t="n">
        <x:v>0.4</x:v>
      </x:c>
      <x:c r="K789" s="2" t="n">
        <x:v>7</x:v>
      </x:c>
      <x:c r="L789" s="19" t="n">
        <x:v>0.2</x:v>
      </x:c>
      <x:c r="M789" s="19" t="n">
        <x:v>0.5</x:v>
      </x:c>
    </x:row>
    <x:row r="790" ht="23" customHeight="1">
      <x:c r="A790" s="2" t="str">
        <x:v>D040_T07_C020_G050</x:v>
      </x:c>
      <x:c r="B790" s="2" t="str">
        <x:v>A0036</x:v>
      </x:c>
      <x:c r="C790" s="2" t="str">
        <x:v>圈内</x:v>
      </x:c>
      <x:c r="D790" s="10" t="n">
        <x:v>1</x:v>
      </x:c>
      <x:c r="E790" s="10" t="n">
        <x:v>9</x:v>
      </x:c>
      <x:c r="F790" s="10" t="n">
        <x:v>8</x:v>
      </x:c>
      <x:c r="G790" s="10" t="n">
        <x:v>1</x:v>
      </x:c>
      <x:c r="H790" s="10" t="n">
        <x:f>IF(G790=1,E790-D790,"")</x:f>
        <x:v>8</x:v>
      </x:c>
      <x:c r="I790" s="10" t="n">
        <x:f>MIN(F790,9)</x:f>
        <x:v>8</x:v>
      </x:c>
      <x:c r="J790" s="19" t="n">
        <x:v>0.4</x:v>
      </x:c>
      <x:c r="K790" s="2" t="n">
        <x:v>7</x:v>
      </x:c>
      <x:c r="L790" s="19" t="n">
        <x:v>0.2</x:v>
      </x:c>
      <x:c r="M790" s="19" t="n">
        <x:v>0.5</x:v>
      </x:c>
    </x:row>
    <x:row r="791" ht="23" customHeight="1">
      <x:c r="A791" s="2" t="str">
        <x:v>D040_T07_C020_G050</x:v>
      </x:c>
      <x:c r="B791" s="2" t="str">
        <x:v>A0037</x:v>
      </x:c>
      <x:c r="C791" s="2" t="str">
        <x:v>圈内</x:v>
      </x:c>
      <x:c r="D791" s="10" t="n">
        <x:v>1</x:v>
      </x:c>
      <x:c r="E791" s="10" t="n">
        <x:v>9</x:v>
      </x:c>
      <x:c r="F791" s="10" t="n">
        <x:v>8</x:v>
      </x:c>
      <x:c r="G791" s="10" t="n">
        <x:v>1</x:v>
      </x:c>
      <x:c r="H791" s="10" t="n">
        <x:f>IF(G791=1,E791-D791,"")</x:f>
        <x:v>8</x:v>
      </x:c>
      <x:c r="I791" s="10" t="n">
        <x:f>MIN(F791,9)</x:f>
        <x:v>8</x:v>
      </x:c>
      <x:c r="J791" s="19" t="n">
        <x:v>0.4</x:v>
      </x:c>
      <x:c r="K791" s="2" t="n">
        <x:v>7</x:v>
      </x:c>
      <x:c r="L791" s="19" t="n">
        <x:v>0.2</x:v>
      </x:c>
      <x:c r="M791" s="19" t="n">
        <x:v>0.5</x:v>
      </x:c>
    </x:row>
    <x:row r="792" ht="23" customHeight="1">
      <x:c r="A792" s="2" t="str">
        <x:v>D040_T07_C020_G050</x:v>
      </x:c>
      <x:c r="B792" s="2" t="str">
        <x:v>A0038</x:v>
      </x:c>
      <x:c r="C792" s="2" t="str">
        <x:v>圈内</x:v>
      </x:c>
      <x:c r="D792" s="10" t="n">
        <x:v>1</x:v>
      </x:c>
      <x:c r="E792" s="10"/>
      <x:c r="F792" s="10" t="n">
        <x:v>9</x:v>
      </x:c>
      <x:c r="G792" s="10" t="n">
        <x:v>0</x:v>
      </x:c>
      <x:c r="H792" s="10" t="str">
        <x:f>IF(G792=1,E792-D792,"")</x:f>
      </x:c>
      <x:c r="I792" s="10" t="n">
        <x:f>MIN(F792,9)</x:f>
        <x:v>9</x:v>
      </x:c>
      <x:c r="J792" s="19" t="n">
        <x:v>0.4</x:v>
      </x:c>
      <x:c r="K792" s="2" t="n">
        <x:v>7</x:v>
      </x:c>
      <x:c r="L792" s="19" t="n">
        <x:v>0.2</x:v>
      </x:c>
      <x:c r="M792" s="19" t="n">
        <x:v>0.5</x:v>
      </x:c>
    </x:row>
    <x:row r="793" ht="23" customHeight="1">
      <x:c r="A793" s="2" t="str">
        <x:v>D040_T07_C020_G050</x:v>
      </x:c>
      <x:c r="B793" s="2" t="str">
        <x:v>A0040</x:v>
      </x:c>
      <x:c r="C793" s="2" t="str">
        <x:v>圈内</x:v>
      </x:c>
      <x:c r="D793" s="10" t="n">
        <x:v>1</x:v>
      </x:c>
      <x:c r="E793" s="10" t="n">
        <x:v>9</x:v>
      </x:c>
      <x:c r="F793" s="10" t="n">
        <x:v>8</x:v>
      </x:c>
      <x:c r="G793" s="10" t="n">
        <x:v>1</x:v>
      </x:c>
      <x:c r="H793" s="10" t="n">
        <x:f>IF(G793=1,E793-D793,"")</x:f>
        <x:v>8</x:v>
      </x:c>
      <x:c r="I793" s="10" t="n">
        <x:f>MIN(F793,9)</x:f>
        <x:v>8</x:v>
      </x:c>
      <x:c r="J793" s="19" t="n">
        <x:v>0.4</x:v>
      </x:c>
      <x:c r="K793" s="2" t="n">
        <x:v>7</x:v>
      </x:c>
      <x:c r="L793" s="19" t="n">
        <x:v>0.2</x:v>
      </x:c>
      <x:c r="M793" s="19" t="n">
        <x:v>0.5</x:v>
      </x:c>
    </x:row>
    <x:row r="794" ht="23" customHeight="1">
      <x:c r="A794" s="2" t="str">
        <x:v>D040_T07_C020_G050</x:v>
      </x:c>
      <x:c r="B794" s="2" t="str">
        <x:v>A0041</x:v>
      </x:c>
      <x:c r="C794" s="2" t="str">
        <x:v>圈内</x:v>
      </x:c>
      <x:c r="D794" s="10" t="n">
        <x:v>1</x:v>
      </x:c>
      <x:c r="E794" s="10"/>
      <x:c r="F794" s="10" t="n">
        <x:v>9</x:v>
      </x:c>
      <x:c r="G794" s="10" t="n">
        <x:v>0</x:v>
      </x:c>
      <x:c r="H794" s="10" t="str">
        <x:f>IF(G794=1,E794-D794,"")</x:f>
      </x:c>
      <x:c r="I794" s="10" t="n">
        <x:f>MIN(F794,9)</x:f>
        <x:v>9</x:v>
      </x:c>
      <x:c r="J794" s="19" t="n">
        <x:v>0.4</x:v>
      </x:c>
      <x:c r="K794" s="2" t="n">
        <x:v>7</x:v>
      </x:c>
      <x:c r="L794" s="19" t="n">
        <x:v>0.2</x:v>
      </x:c>
      <x:c r="M794" s="19" t="n">
        <x:v>0.5</x:v>
      </x:c>
    </x:row>
    <x:row r="795" ht="23" customHeight="1">
      <x:c r="A795" s="2" t="str">
        <x:v>D040_T07_C020_G050</x:v>
      </x:c>
      <x:c r="B795" s="2" t="str">
        <x:v>A0042</x:v>
      </x:c>
      <x:c r="C795" s="2" t="str">
        <x:v>圈内</x:v>
      </x:c>
      <x:c r="D795" s="10" t="n">
        <x:v>1</x:v>
      </x:c>
      <x:c r="E795" s="10" t="n">
        <x:v>8</x:v>
      </x:c>
      <x:c r="F795" s="10" t="n">
        <x:v>7</x:v>
      </x:c>
      <x:c r="G795" s="10" t="n">
        <x:v>1</x:v>
      </x:c>
      <x:c r="H795" s="10" t="n">
        <x:f>IF(G795=1,E795-D795,"")</x:f>
        <x:v>7</x:v>
      </x:c>
      <x:c r="I795" s="10" t="n">
        <x:f>MIN(F795,9)</x:f>
        <x:v>7</x:v>
      </x:c>
      <x:c r="J795" s="19" t="n">
        <x:v>0.4</x:v>
      </x:c>
      <x:c r="K795" s="2" t="n">
        <x:v>7</x:v>
      </x:c>
      <x:c r="L795" s="19" t="n">
        <x:v>0.2</x:v>
      </x:c>
      <x:c r="M795" s="19" t="n">
        <x:v>0.5</x:v>
      </x:c>
    </x:row>
    <x:row r="796" ht="23" customHeight="1">
      <x:c r="A796" s="2" t="str">
        <x:v>D040_T07_C020_G050</x:v>
      </x:c>
      <x:c r="B796" s="2" t="str">
        <x:v>A0071</x:v>
      </x:c>
      <x:c r="C796" s="2" t="str">
        <x:v>圈内</x:v>
      </x:c>
      <x:c r="D796" s="10" t="n">
        <x:v>1</x:v>
      </x:c>
      <x:c r="E796" s="10"/>
      <x:c r="F796" s="10" t="n">
        <x:v>9</x:v>
      </x:c>
      <x:c r="G796" s="10" t="n">
        <x:v>0</x:v>
      </x:c>
      <x:c r="H796" s="10" t="str">
        <x:f>IF(G796=1,E796-D796,"")</x:f>
      </x:c>
      <x:c r="I796" s="10" t="n">
        <x:f>MIN(F796,9)</x:f>
        <x:v>9</x:v>
      </x:c>
      <x:c r="J796" s="19" t="n">
        <x:v>0.4</x:v>
      </x:c>
      <x:c r="K796" s="2" t="n">
        <x:v>7</x:v>
      </x:c>
      <x:c r="L796" s="19" t="n">
        <x:v>0.2</x:v>
      </x:c>
      <x:c r="M796" s="19" t="n">
        <x:v>0.5</x:v>
      </x:c>
    </x:row>
    <x:row r="797" ht="23" customHeight="1">
      <x:c r="A797" s="2" t="str">
        <x:v>D040_T07_C020_G050</x:v>
      </x:c>
      <x:c r="B797" s="2" t="str">
        <x:v>A0090</x:v>
      </x:c>
      <x:c r="C797" s="2" t="str">
        <x:v>圈内</x:v>
      </x:c>
      <x:c r="D797" s="10" t="n">
        <x:v>1</x:v>
      </x:c>
      <x:c r="E797" s="10" t="n">
        <x:v>8</x:v>
      </x:c>
      <x:c r="F797" s="10" t="n">
        <x:v>7</x:v>
      </x:c>
      <x:c r="G797" s="10" t="n">
        <x:v>1</x:v>
      </x:c>
      <x:c r="H797" s="10" t="n">
        <x:f>IF(G797=1,E797-D797,"")</x:f>
        <x:v>7</x:v>
      </x:c>
      <x:c r="I797" s="10" t="n">
        <x:f>MIN(F797,9)</x:f>
        <x:v>7</x:v>
      </x:c>
      <x:c r="J797" s="19" t="n">
        <x:v>0.4</x:v>
      </x:c>
      <x:c r="K797" s="2" t="n">
        <x:v>7</x:v>
      </x:c>
      <x:c r="L797" s="19" t="n">
        <x:v>0.2</x:v>
      </x:c>
      <x:c r="M797" s="19" t="n">
        <x:v>0.5</x:v>
      </x:c>
    </x:row>
    <x:row r="798" ht="23" customHeight="1">
      <x:c r="A798" s="2" t="str">
        <x:v>D040_T07_C020_G050</x:v>
      </x:c>
      <x:c r="B798" s="2" t="str">
        <x:v>A0189</x:v>
      </x:c>
      <x:c r="C798" s="2" t="str">
        <x:v>圈内</x:v>
      </x:c>
      <x:c r="D798" s="10" t="n">
        <x:v>1</x:v>
      </x:c>
      <x:c r="E798" s="10" t="n">
        <x:v>10</x:v>
      </x:c>
      <x:c r="F798" s="10" t="n">
        <x:v>9</x:v>
      </x:c>
      <x:c r="G798" s="10" t="n">
        <x:v>1</x:v>
      </x:c>
      <x:c r="H798" s="10" t="n">
        <x:f>IF(G798=1,E798-D798,"")</x:f>
        <x:v>9</x:v>
      </x:c>
      <x:c r="I798" s="10" t="n">
        <x:f>MIN(F798,9)</x:f>
        <x:v>9</x:v>
      </x:c>
      <x:c r="J798" s="19" t="n">
        <x:v>0.4</x:v>
      </x:c>
      <x:c r="K798" s="2" t="n">
        <x:v>7</x:v>
      </x:c>
      <x:c r="L798" s="19" t="n">
        <x:v>0.2</x:v>
      </x:c>
      <x:c r="M798" s="19" t="n">
        <x:v>0.5</x:v>
      </x:c>
    </x:row>
    <x:row r="799" ht="23" customHeight="1">
      <x:c r="A799" s="2" t="str">
        <x:v>D040_T07_C020_G050</x:v>
      </x:c>
      <x:c r="B799" s="2" t="str">
        <x:v>A0206</x:v>
      </x:c>
      <x:c r="C799" s="2" t="str">
        <x:v>圈内</x:v>
      </x:c>
      <x:c r="D799" s="10" t="n">
        <x:v>1</x:v>
      </x:c>
      <x:c r="E799" s="10" t="n">
        <x:v>8</x:v>
      </x:c>
      <x:c r="F799" s="10" t="n">
        <x:v>7</x:v>
      </x:c>
      <x:c r="G799" s="10" t="n">
        <x:v>1</x:v>
      </x:c>
      <x:c r="H799" s="10" t="n">
        <x:f>IF(G799=1,E799-D799,"")</x:f>
        <x:v>7</x:v>
      </x:c>
      <x:c r="I799" s="10" t="n">
        <x:f>MIN(F799,9)</x:f>
        <x:v>7</x:v>
      </x:c>
      <x:c r="J799" s="19" t="n">
        <x:v>0.4</x:v>
      </x:c>
      <x:c r="K799" s="2" t="n">
        <x:v>7</x:v>
      </x:c>
      <x:c r="L799" s="19" t="n">
        <x:v>0.2</x:v>
      </x:c>
      <x:c r="M799" s="19" t="n">
        <x:v>0.5</x:v>
      </x:c>
    </x:row>
    <x:row r="800" ht="23" customHeight="1">
      <x:c r="A800" s="2" t="str">
        <x:v>D040_T07_C020_G075</x:v>
      </x:c>
      <x:c r="B800" s="2" t="str">
        <x:v>A0001</x:v>
      </x:c>
      <x:c r="C800" s="2" t="str">
        <x:v>圈内</x:v>
      </x:c>
      <x:c r="D800" s="10" t="n">
        <x:v>1</x:v>
      </x:c>
      <x:c r="E800" s="10" t="n">
        <x:v>8</x:v>
      </x:c>
      <x:c r="F800" s="10" t="n">
        <x:v>7</x:v>
      </x:c>
      <x:c r="G800" s="10" t="n">
        <x:v>1</x:v>
      </x:c>
      <x:c r="H800" s="10" t="n">
        <x:f>IF(G800=1,E800-D800,"")</x:f>
        <x:v>7</x:v>
      </x:c>
      <x:c r="I800" s="10" t="n">
        <x:f>MIN(F800,9)</x:f>
        <x:v>7</x:v>
      </x:c>
      <x:c r="J800" s="19" t="n">
        <x:v>0.4</x:v>
      </x:c>
      <x:c r="K800" s="2" t="n">
        <x:v>7</x:v>
      </x:c>
      <x:c r="L800" s="19" t="n">
        <x:v>0.2</x:v>
      </x:c>
      <x:c r="M800" s="19" t="n">
        <x:v>0.75</x:v>
      </x:c>
    </x:row>
    <x:row r="801" ht="23" customHeight="1">
      <x:c r="A801" s="2" t="str">
        <x:v>D040_T07_C020_G075</x:v>
      </x:c>
      <x:c r="B801" s="2" t="str">
        <x:v>A0005</x:v>
      </x:c>
      <x:c r="C801" s="2" t="str">
        <x:v>圈内</x:v>
      </x:c>
      <x:c r="D801" s="10" t="n">
        <x:v>1</x:v>
      </x:c>
      <x:c r="E801" s="10" t="n">
        <x:v>9</x:v>
      </x:c>
      <x:c r="F801" s="10" t="n">
        <x:v>8</x:v>
      </x:c>
      <x:c r="G801" s="10" t="n">
        <x:v>1</x:v>
      </x:c>
      <x:c r="H801" s="10" t="n">
        <x:f>IF(G801=1,E801-D801,"")</x:f>
        <x:v>8</x:v>
      </x:c>
      <x:c r="I801" s="10" t="n">
        <x:f>MIN(F801,9)</x:f>
        <x:v>8</x:v>
      </x:c>
      <x:c r="J801" s="19" t="n">
        <x:v>0.4</x:v>
      </x:c>
      <x:c r="K801" s="2" t="n">
        <x:v>7</x:v>
      </x:c>
      <x:c r="L801" s="19" t="n">
        <x:v>0.2</x:v>
      </x:c>
      <x:c r="M801" s="19" t="n">
        <x:v>0.75</x:v>
      </x:c>
    </x:row>
    <x:row r="802" ht="23" customHeight="1">
      <x:c r="A802" s="2" t="str">
        <x:v>D040_T07_C020_G075</x:v>
      </x:c>
      <x:c r="B802" s="2" t="str">
        <x:v>A0009</x:v>
      </x:c>
      <x:c r="C802" s="2" t="str">
        <x:v>圈内</x:v>
      </x:c>
      <x:c r="D802" s="10" t="n">
        <x:v>1</x:v>
      </x:c>
      <x:c r="E802" s="10" t="n">
        <x:v>8</x:v>
      </x:c>
      <x:c r="F802" s="10" t="n">
        <x:v>7</x:v>
      </x:c>
      <x:c r="G802" s="10" t="n">
        <x:v>1</x:v>
      </x:c>
      <x:c r="H802" s="10" t="n">
        <x:f>IF(G802=1,E802-D802,"")</x:f>
        <x:v>7</x:v>
      </x:c>
      <x:c r="I802" s="10" t="n">
        <x:f>MIN(F802,9)</x:f>
        <x:v>7</x:v>
      </x:c>
      <x:c r="J802" s="19" t="n">
        <x:v>0.4</x:v>
      </x:c>
      <x:c r="K802" s="2" t="n">
        <x:v>7</x:v>
      </x:c>
      <x:c r="L802" s="19" t="n">
        <x:v>0.2</x:v>
      </x:c>
      <x:c r="M802" s="19" t="n">
        <x:v>0.75</x:v>
      </x:c>
    </x:row>
    <x:row r="803" ht="23" customHeight="1">
      <x:c r="A803" s="2" t="str">
        <x:v>D040_T07_C020_G075</x:v>
      </x:c>
      <x:c r="B803" s="2" t="str">
        <x:v>A0011</x:v>
      </x:c>
      <x:c r="C803" s="2" t="str">
        <x:v>圈内</x:v>
      </x:c>
      <x:c r="D803" s="10" t="n">
        <x:v>1</x:v>
      </x:c>
      <x:c r="E803" s="10" t="n">
        <x:v>7</x:v>
      </x:c>
      <x:c r="F803" s="10" t="n">
        <x:v>6</x:v>
      </x:c>
      <x:c r="G803" s="10" t="n">
        <x:v>1</x:v>
      </x:c>
      <x:c r="H803" s="10" t="n">
        <x:f>IF(G803=1,E803-D803,"")</x:f>
        <x:v>6</x:v>
      </x:c>
      <x:c r="I803" s="10" t="n">
        <x:f>MIN(F803,9)</x:f>
        <x:v>6</x:v>
      </x:c>
      <x:c r="J803" s="19" t="n">
        <x:v>0.4</x:v>
      </x:c>
      <x:c r="K803" s="2" t="n">
        <x:v>7</x:v>
      </x:c>
      <x:c r="L803" s="19" t="n">
        <x:v>0.2</x:v>
      </x:c>
      <x:c r="M803" s="19" t="n">
        <x:v>0.75</x:v>
      </x:c>
    </x:row>
    <x:row r="804" ht="23" customHeight="1">
      <x:c r="A804" s="2" t="str">
        <x:v>D040_T07_C020_G075</x:v>
      </x:c>
      <x:c r="B804" s="2" t="str">
        <x:v>A0012</x:v>
      </x:c>
      <x:c r="C804" s="2" t="str">
        <x:v>圈内</x:v>
      </x:c>
      <x:c r="D804" s="10" t="n">
        <x:v>1</x:v>
      </x:c>
      <x:c r="E804" s="10"/>
      <x:c r="F804" s="10" t="n">
        <x:v>9</x:v>
      </x:c>
      <x:c r="G804" s="10" t="n">
        <x:v>0</x:v>
      </x:c>
      <x:c r="H804" s="10" t="str">
        <x:f>IF(G804=1,E804-D804,"")</x:f>
      </x:c>
      <x:c r="I804" s="10" t="n">
        <x:f>MIN(F804,9)</x:f>
        <x:v>9</x:v>
      </x:c>
      <x:c r="J804" s="19" t="n">
        <x:v>0.4</x:v>
      </x:c>
      <x:c r="K804" s="2" t="n">
        <x:v>7</x:v>
      </x:c>
      <x:c r="L804" s="19" t="n">
        <x:v>0.2</x:v>
      </x:c>
      <x:c r="M804" s="19" t="n">
        <x:v>0.75</x:v>
      </x:c>
    </x:row>
    <x:row r="805" ht="23" customHeight="1">
      <x:c r="A805" s="2" t="str">
        <x:v>D040_T07_C020_G075</x:v>
      </x:c>
      <x:c r="B805" s="2" t="str">
        <x:v>A0014</x:v>
      </x:c>
      <x:c r="C805" s="2" t="str">
        <x:v>圈内</x:v>
      </x:c>
      <x:c r="D805" s="10" t="n">
        <x:v>1</x:v>
      </x:c>
      <x:c r="E805" s="10" t="n">
        <x:v>7</x:v>
      </x:c>
      <x:c r="F805" s="10" t="n">
        <x:v>6</x:v>
      </x:c>
      <x:c r="G805" s="10" t="n">
        <x:v>1</x:v>
      </x:c>
      <x:c r="H805" s="10" t="n">
        <x:f>IF(G805=1,E805-D805,"")</x:f>
        <x:v>6</x:v>
      </x:c>
      <x:c r="I805" s="10" t="n">
        <x:f>MIN(F805,9)</x:f>
        <x:v>6</x:v>
      </x:c>
      <x:c r="J805" s="19" t="n">
        <x:v>0.4</x:v>
      </x:c>
      <x:c r="K805" s="2" t="n">
        <x:v>7</x:v>
      </x:c>
      <x:c r="L805" s="19" t="n">
        <x:v>0.2</x:v>
      </x:c>
      <x:c r="M805" s="19" t="n">
        <x:v>0.75</x:v>
      </x:c>
    </x:row>
    <x:row r="806" ht="23" customHeight="1">
      <x:c r="A806" s="2" t="str">
        <x:v>D040_T07_C020_G075</x:v>
      </x:c>
      <x:c r="B806" s="2" t="str">
        <x:v>A0016</x:v>
      </x:c>
      <x:c r="C806" s="2" t="str">
        <x:v>圈内</x:v>
      </x:c>
      <x:c r="D806" s="10" t="n">
        <x:v>1</x:v>
      </x:c>
      <x:c r="E806" s="10" t="n">
        <x:v>9</x:v>
      </x:c>
      <x:c r="F806" s="10" t="n">
        <x:v>8</x:v>
      </x:c>
      <x:c r="G806" s="10" t="n">
        <x:v>1</x:v>
      </x:c>
      <x:c r="H806" s="10" t="n">
        <x:f>IF(G806=1,E806-D806,"")</x:f>
        <x:v>8</x:v>
      </x:c>
      <x:c r="I806" s="10" t="n">
        <x:f>MIN(F806,9)</x:f>
        <x:v>8</x:v>
      </x:c>
      <x:c r="J806" s="19" t="n">
        <x:v>0.4</x:v>
      </x:c>
      <x:c r="K806" s="2" t="n">
        <x:v>7</x:v>
      </x:c>
      <x:c r="L806" s="19" t="n">
        <x:v>0.2</x:v>
      </x:c>
      <x:c r="M806" s="19" t="n">
        <x:v>0.75</x:v>
      </x:c>
    </x:row>
    <x:row r="807" ht="23" customHeight="1">
      <x:c r="A807" s="2" t="str">
        <x:v>D040_T07_C020_G075</x:v>
      </x:c>
      <x:c r="B807" s="2" t="str">
        <x:v>A0017</x:v>
      </x:c>
      <x:c r="C807" s="2" t="str">
        <x:v>圈内</x:v>
      </x:c>
      <x:c r="D807" s="10" t="n">
        <x:v>1</x:v>
      </x:c>
      <x:c r="E807" s="10" t="n">
        <x:v>9</x:v>
      </x:c>
      <x:c r="F807" s="10" t="n">
        <x:v>8</x:v>
      </x:c>
      <x:c r="G807" s="10" t="n">
        <x:v>1</x:v>
      </x:c>
      <x:c r="H807" s="10" t="n">
        <x:f>IF(G807=1,E807-D807,"")</x:f>
        <x:v>8</x:v>
      </x:c>
      <x:c r="I807" s="10" t="n">
        <x:f>MIN(F807,9)</x:f>
        <x:v>8</x:v>
      </x:c>
      <x:c r="J807" s="19" t="n">
        <x:v>0.4</x:v>
      </x:c>
      <x:c r="K807" s="2" t="n">
        <x:v>7</x:v>
      </x:c>
      <x:c r="L807" s="19" t="n">
        <x:v>0.2</x:v>
      </x:c>
      <x:c r="M807" s="19" t="n">
        <x:v>0.75</x:v>
      </x:c>
    </x:row>
    <x:row r="808" ht="23" customHeight="1">
      <x:c r="A808" s="2" t="str">
        <x:v>D040_T07_C020_G075</x:v>
      </x:c>
      <x:c r="B808" s="2" t="str">
        <x:v>A0018</x:v>
      </x:c>
      <x:c r="C808" s="2" t="str">
        <x:v>圈内</x:v>
      </x:c>
      <x:c r="D808" s="10" t="n">
        <x:v>1</x:v>
      </x:c>
      <x:c r="E808" s="10" t="n">
        <x:v>9</x:v>
      </x:c>
      <x:c r="F808" s="10" t="n">
        <x:v>8</x:v>
      </x:c>
      <x:c r="G808" s="10" t="n">
        <x:v>1</x:v>
      </x:c>
      <x:c r="H808" s="10" t="n">
        <x:f>IF(G808=1,E808-D808,"")</x:f>
        <x:v>8</x:v>
      </x:c>
      <x:c r="I808" s="10" t="n">
        <x:f>MIN(F808,9)</x:f>
        <x:v>8</x:v>
      </x:c>
      <x:c r="J808" s="19" t="n">
        <x:v>0.4</x:v>
      </x:c>
      <x:c r="K808" s="2" t="n">
        <x:v>7</x:v>
      </x:c>
      <x:c r="L808" s="19" t="n">
        <x:v>0.2</x:v>
      </x:c>
      <x:c r="M808" s="19" t="n">
        <x:v>0.75</x:v>
      </x:c>
    </x:row>
    <x:row r="809" ht="23" customHeight="1">
      <x:c r="A809" s="2" t="str">
        <x:v>D040_T07_C020_G075</x:v>
      </x:c>
      <x:c r="B809" s="2" t="str">
        <x:v>A0021</x:v>
      </x:c>
      <x:c r="C809" s="2" t="str">
        <x:v>圈内</x:v>
      </x:c>
      <x:c r="D809" s="10" t="n">
        <x:v>1</x:v>
      </x:c>
      <x:c r="E809" s="10" t="n">
        <x:v>8</x:v>
      </x:c>
      <x:c r="F809" s="10" t="n">
        <x:v>7</x:v>
      </x:c>
      <x:c r="G809" s="10" t="n">
        <x:v>1</x:v>
      </x:c>
      <x:c r="H809" s="10" t="n">
        <x:f>IF(G809=1,E809-D809,"")</x:f>
        <x:v>7</x:v>
      </x:c>
      <x:c r="I809" s="10" t="n">
        <x:f>MIN(F809,9)</x:f>
        <x:v>7</x:v>
      </x:c>
      <x:c r="J809" s="19" t="n">
        <x:v>0.4</x:v>
      </x:c>
      <x:c r="K809" s="2" t="n">
        <x:v>7</x:v>
      </x:c>
      <x:c r="L809" s="19" t="n">
        <x:v>0.2</x:v>
      </x:c>
      <x:c r="M809" s="19" t="n">
        <x:v>0.75</x:v>
      </x:c>
    </x:row>
    <x:row r="810" ht="23" customHeight="1">
      <x:c r="A810" s="2" t="str">
        <x:v>D040_T07_C020_G075</x:v>
      </x:c>
      <x:c r="B810" s="2" t="str">
        <x:v>A0024</x:v>
      </x:c>
      <x:c r="C810" s="2" t="str">
        <x:v>圈内</x:v>
      </x:c>
      <x:c r="D810" s="10" t="n">
        <x:v>1</x:v>
      </x:c>
      <x:c r="E810" s="10" t="n">
        <x:v>9</x:v>
      </x:c>
      <x:c r="F810" s="10" t="n">
        <x:v>8</x:v>
      </x:c>
      <x:c r="G810" s="10" t="n">
        <x:v>1</x:v>
      </x:c>
      <x:c r="H810" s="10" t="n">
        <x:f>IF(G810=1,E810-D810,"")</x:f>
        <x:v>8</x:v>
      </x:c>
      <x:c r="I810" s="10" t="n">
        <x:f>MIN(F810,9)</x:f>
        <x:v>8</x:v>
      </x:c>
      <x:c r="J810" s="19" t="n">
        <x:v>0.4</x:v>
      </x:c>
      <x:c r="K810" s="2" t="n">
        <x:v>7</x:v>
      </x:c>
      <x:c r="L810" s="19" t="n">
        <x:v>0.2</x:v>
      </x:c>
      <x:c r="M810" s="19" t="n">
        <x:v>0.75</x:v>
      </x:c>
    </x:row>
    <x:row r="811" ht="23" customHeight="1">
      <x:c r="A811" s="2" t="str">
        <x:v>D040_T07_C020_G075</x:v>
      </x:c>
      <x:c r="B811" s="2" t="str">
        <x:v>A0025</x:v>
      </x:c>
      <x:c r="C811" s="2" t="str">
        <x:v>圈内</x:v>
      </x:c>
      <x:c r="D811" s="10" t="n">
        <x:v>1</x:v>
      </x:c>
      <x:c r="E811" s="10" t="n">
        <x:v>9</x:v>
      </x:c>
      <x:c r="F811" s="10" t="n">
        <x:v>8</x:v>
      </x:c>
      <x:c r="G811" s="10" t="n">
        <x:v>1</x:v>
      </x:c>
      <x:c r="H811" s="10" t="n">
        <x:f>IF(G811=1,E811-D811,"")</x:f>
        <x:v>8</x:v>
      </x:c>
      <x:c r="I811" s="10" t="n">
        <x:f>MIN(F811,9)</x:f>
        <x:v>8</x:v>
      </x:c>
      <x:c r="J811" s="19" t="n">
        <x:v>0.4</x:v>
      </x:c>
      <x:c r="K811" s="2" t="n">
        <x:v>7</x:v>
      </x:c>
      <x:c r="L811" s="19" t="n">
        <x:v>0.2</x:v>
      </x:c>
      <x:c r="M811" s="19" t="n">
        <x:v>0.75</x:v>
      </x:c>
    </x:row>
    <x:row r="812" ht="23" customHeight="1">
      <x:c r="A812" s="2" t="str">
        <x:v>D040_T07_C020_G075</x:v>
      </x:c>
      <x:c r="B812" s="2" t="str">
        <x:v>A0027</x:v>
      </x:c>
      <x:c r="C812" s="2" t="str">
        <x:v>圈内</x:v>
      </x:c>
      <x:c r="D812" s="10" t="n">
        <x:v>1</x:v>
      </x:c>
      <x:c r="E812" s="10" t="n">
        <x:v>8</x:v>
      </x:c>
      <x:c r="F812" s="10" t="n">
        <x:v>7</x:v>
      </x:c>
      <x:c r="G812" s="10" t="n">
        <x:v>1</x:v>
      </x:c>
      <x:c r="H812" s="10" t="n">
        <x:f>IF(G812=1,E812-D812,"")</x:f>
        <x:v>7</x:v>
      </x:c>
      <x:c r="I812" s="10" t="n">
        <x:f>MIN(F812,9)</x:f>
        <x:v>7</x:v>
      </x:c>
      <x:c r="J812" s="19" t="n">
        <x:v>0.4</x:v>
      </x:c>
      <x:c r="K812" s="2" t="n">
        <x:v>7</x:v>
      </x:c>
      <x:c r="L812" s="19" t="n">
        <x:v>0.2</x:v>
      </x:c>
      <x:c r="M812" s="19" t="n">
        <x:v>0.75</x:v>
      </x:c>
    </x:row>
    <x:row r="813" ht="23" customHeight="1">
      <x:c r="A813" s="2" t="str">
        <x:v>D040_T07_C020_G075</x:v>
      </x:c>
      <x:c r="B813" s="2" t="str">
        <x:v>A0029</x:v>
      </x:c>
      <x:c r="C813" s="2" t="str">
        <x:v>圈内</x:v>
      </x:c>
      <x:c r="D813" s="10" t="n">
        <x:v>1</x:v>
      </x:c>
      <x:c r="E813" s="10" t="n">
        <x:v>8</x:v>
      </x:c>
      <x:c r="F813" s="10" t="n">
        <x:v>7</x:v>
      </x:c>
      <x:c r="G813" s="10" t="n">
        <x:v>1</x:v>
      </x:c>
      <x:c r="H813" s="10" t="n">
        <x:f>IF(G813=1,E813-D813,"")</x:f>
        <x:v>7</x:v>
      </x:c>
      <x:c r="I813" s="10" t="n">
        <x:f>MIN(F813,9)</x:f>
        <x:v>7</x:v>
      </x:c>
      <x:c r="J813" s="19" t="n">
        <x:v>0.4</x:v>
      </x:c>
      <x:c r="K813" s="2" t="n">
        <x:v>7</x:v>
      </x:c>
      <x:c r="L813" s="19" t="n">
        <x:v>0.2</x:v>
      </x:c>
      <x:c r="M813" s="19" t="n">
        <x:v>0.75</x:v>
      </x:c>
    </x:row>
    <x:row r="814" ht="23" customHeight="1">
      <x:c r="A814" s="2" t="str">
        <x:v>D040_T07_C020_G075</x:v>
      </x:c>
      <x:c r="B814" s="2" t="str">
        <x:v>A0030</x:v>
      </x:c>
      <x:c r="C814" s="2" t="str">
        <x:v>圈内</x:v>
      </x:c>
      <x:c r="D814" s="10" t="n">
        <x:v>1</x:v>
      </x:c>
      <x:c r="E814" s="10" t="n">
        <x:v>9</x:v>
      </x:c>
      <x:c r="F814" s="10" t="n">
        <x:v>8</x:v>
      </x:c>
      <x:c r="G814" s="10" t="n">
        <x:v>1</x:v>
      </x:c>
      <x:c r="H814" s="10" t="n">
        <x:f>IF(G814=1,E814-D814,"")</x:f>
        <x:v>8</x:v>
      </x:c>
      <x:c r="I814" s="10" t="n">
        <x:f>MIN(F814,9)</x:f>
        <x:v>8</x:v>
      </x:c>
      <x:c r="J814" s="19" t="n">
        <x:v>0.4</x:v>
      </x:c>
      <x:c r="K814" s="2" t="n">
        <x:v>7</x:v>
      </x:c>
      <x:c r="L814" s="19" t="n">
        <x:v>0.2</x:v>
      </x:c>
      <x:c r="M814" s="19" t="n">
        <x:v>0.75</x:v>
      </x:c>
    </x:row>
    <x:row r="815" ht="23" customHeight="1">
      <x:c r="A815" s="2" t="str">
        <x:v>D040_T07_C020_G075</x:v>
      </x:c>
      <x:c r="B815" s="2" t="str">
        <x:v>A0032</x:v>
      </x:c>
      <x:c r="C815" s="2" t="str">
        <x:v>圈内</x:v>
      </x:c>
      <x:c r="D815" s="10" t="n">
        <x:v>1</x:v>
      </x:c>
      <x:c r="E815" s="10" t="n">
        <x:v>7</x:v>
      </x:c>
      <x:c r="F815" s="10" t="n">
        <x:v>6</x:v>
      </x:c>
      <x:c r="G815" s="10" t="n">
        <x:v>1</x:v>
      </x:c>
      <x:c r="H815" s="10" t="n">
        <x:f>IF(G815=1,E815-D815,"")</x:f>
        <x:v>6</x:v>
      </x:c>
      <x:c r="I815" s="10" t="n">
        <x:f>MIN(F815,9)</x:f>
        <x:v>6</x:v>
      </x:c>
      <x:c r="J815" s="19" t="n">
        <x:v>0.4</x:v>
      </x:c>
      <x:c r="K815" s="2" t="n">
        <x:v>7</x:v>
      </x:c>
      <x:c r="L815" s="19" t="n">
        <x:v>0.2</x:v>
      </x:c>
      <x:c r="M815" s="19" t="n">
        <x:v>0.75</x:v>
      </x:c>
    </x:row>
    <x:row r="816" ht="23" customHeight="1">
      <x:c r="A816" s="2" t="str">
        <x:v>D040_T07_C020_G075</x:v>
      </x:c>
      <x:c r="B816" s="2" t="str">
        <x:v>A0033</x:v>
      </x:c>
      <x:c r="C816" s="2" t="str">
        <x:v>圈内</x:v>
      </x:c>
      <x:c r="D816" s="10" t="n">
        <x:v>1</x:v>
      </x:c>
      <x:c r="E816" s="10" t="n">
        <x:v>8</x:v>
      </x:c>
      <x:c r="F816" s="10" t="n">
        <x:v>7</x:v>
      </x:c>
      <x:c r="G816" s="10" t="n">
        <x:v>1</x:v>
      </x:c>
      <x:c r="H816" s="10" t="n">
        <x:f>IF(G816=1,E816-D816,"")</x:f>
        <x:v>7</x:v>
      </x:c>
      <x:c r="I816" s="10" t="n">
        <x:f>MIN(F816,9)</x:f>
        <x:v>7</x:v>
      </x:c>
      <x:c r="J816" s="19" t="n">
        <x:v>0.4</x:v>
      </x:c>
      <x:c r="K816" s="2" t="n">
        <x:v>7</x:v>
      </x:c>
      <x:c r="L816" s="19" t="n">
        <x:v>0.2</x:v>
      </x:c>
      <x:c r="M816" s="19" t="n">
        <x:v>0.75</x:v>
      </x:c>
    </x:row>
    <x:row r="817" ht="23" customHeight="1">
      <x:c r="A817" s="2" t="str">
        <x:v>D040_T07_C020_G075</x:v>
      </x:c>
      <x:c r="B817" s="2" t="str">
        <x:v>A0035</x:v>
      </x:c>
      <x:c r="C817" s="2" t="str">
        <x:v>圈内</x:v>
      </x:c>
      <x:c r="D817" s="10" t="n">
        <x:v>1</x:v>
      </x:c>
      <x:c r="E817" s="10" t="n">
        <x:v>8</x:v>
      </x:c>
      <x:c r="F817" s="10" t="n">
        <x:v>7</x:v>
      </x:c>
      <x:c r="G817" s="10" t="n">
        <x:v>1</x:v>
      </x:c>
      <x:c r="H817" s="10" t="n">
        <x:f>IF(G817=1,E817-D817,"")</x:f>
        <x:v>7</x:v>
      </x:c>
      <x:c r="I817" s="10" t="n">
        <x:f>MIN(F817,9)</x:f>
        <x:v>7</x:v>
      </x:c>
      <x:c r="J817" s="19" t="n">
        <x:v>0.4</x:v>
      </x:c>
      <x:c r="K817" s="2" t="n">
        <x:v>7</x:v>
      </x:c>
      <x:c r="L817" s="19" t="n">
        <x:v>0.2</x:v>
      </x:c>
      <x:c r="M817" s="19" t="n">
        <x:v>0.75</x:v>
      </x:c>
    </x:row>
    <x:row r="818" ht="23" customHeight="1">
      <x:c r="A818" s="2" t="str">
        <x:v>D040_T07_C020_G075</x:v>
      </x:c>
      <x:c r="B818" s="2" t="str">
        <x:v>A0037</x:v>
      </x:c>
      <x:c r="C818" s="2" t="str">
        <x:v>圈内</x:v>
      </x:c>
      <x:c r="D818" s="10" t="n">
        <x:v>1</x:v>
      </x:c>
      <x:c r="E818" s="10" t="n">
        <x:v>8</x:v>
      </x:c>
      <x:c r="F818" s="10" t="n">
        <x:v>7</x:v>
      </x:c>
      <x:c r="G818" s="10" t="n">
        <x:v>1</x:v>
      </x:c>
      <x:c r="H818" s="10" t="n">
        <x:f>IF(G818=1,E818-D818,"")</x:f>
        <x:v>7</x:v>
      </x:c>
      <x:c r="I818" s="10" t="n">
        <x:f>MIN(F818,9)</x:f>
        <x:v>7</x:v>
      </x:c>
      <x:c r="J818" s="19" t="n">
        <x:v>0.4</x:v>
      </x:c>
      <x:c r="K818" s="2" t="n">
        <x:v>7</x:v>
      </x:c>
      <x:c r="L818" s="19" t="n">
        <x:v>0.2</x:v>
      </x:c>
      <x:c r="M818" s="19" t="n">
        <x:v>0.75</x:v>
      </x:c>
    </x:row>
    <x:row r="819" ht="23" customHeight="1">
      <x:c r="A819" s="2" t="str">
        <x:v>D040_T07_C020_G075</x:v>
      </x:c>
      <x:c r="B819" s="2" t="str">
        <x:v>A0040</x:v>
      </x:c>
      <x:c r="C819" s="2" t="str">
        <x:v>圈内</x:v>
      </x:c>
      <x:c r="D819" s="10" t="n">
        <x:v>1</x:v>
      </x:c>
      <x:c r="E819" s="10" t="n">
        <x:v>9</x:v>
      </x:c>
      <x:c r="F819" s="10" t="n">
        <x:v>8</x:v>
      </x:c>
      <x:c r="G819" s="10" t="n">
        <x:v>1</x:v>
      </x:c>
      <x:c r="H819" s="10" t="n">
        <x:f>IF(G819=1,E819-D819,"")</x:f>
        <x:v>8</x:v>
      </x:c>
      <x:c r="I819" s="10" t="n">
        <x:f>MIN(F819,9)</x:f>
        <x:v>8</x:v>
      </x:c>
      <x:c r="J819" s="19" t="n">
        <x:v>0.4</x:v>
      </x:c>
      <x:c r="K819" s="2" t="n">
        <x:v>7</x:v>
      </x:c>
      <x:c r="L819" s="19" t="n">
        <x:v>0.2</x:v>
      </x:c>
      <x:c r="M819" s="19" t="n">
        <x:v>0.75</x:v>
      </x:c>
    </x:row>
    <x:row r="820" ht="23" customHeight="1">
      <x:c r="A820" s="2" t="str">
        <x:v>D040_T07_C020_G075</x:v>
      </x:c>
      <x:c r="B820" s="2" t="str">
        <x:v>A0041</x:v>
      </x:c>
      <x:c r="C820" s="2" t="str">
        <x:v>圈内</x:v>
      </x:c>
      <x:c r="D820" s="10" t="n">
        <x:v>1</x:v>
      </x:c>
      <x:c r="E820" s="10"/>
      <x:c r="F820" s="10" t="n">
        <x:v>9</x:v>
      </x:c>
      <x:c r="G820" s="10" t="n">
        <x:v>0</x:v>
      </x:c>
      <x:c r="H820" s="10" t="str">
        <x:f>IF(G820=1,E820-D820,"")</x:f>
      </x:c>
      <x:c r="I820" s="10" t="n">
        <x:f>MIN(F820,9)</x:f>
        <x:v>9</x:v>
      </x:c>
      <x:c r="J820" s="19" t="n">
        <x:v>0.4</x:v>
      </x:c>
      <x:c r="K820" s="2" t="n">
        <x:v>7</x:v>
      </x:c>
      <x:c r="L820" s="19" t="n">
        <x:v>0.2</x:v>
      </x:c>
      <x:c r="M820" s="19" t="n">
        <x:v>0.75</x:v>
      </x:c>
    </x:row>
    <x:row r="821" ht="23" customHeight="1">
      <x:c r="A821" s="2" t="str">
        <x:v>D040_T07_C020_G075</x:v>
      </x:c>
      <x:c r="B821" s="2" t="str">
        <x:v>A0043</x:v>
      </x:c>
      <x:c r="C821" s="2" t="str">
        <x:v>圈内</x:v>
      </x:c>
      <x:c r="D821" s="10" t="n">
        <x:v>1</x:v>
      </x:c>
      <x:c r="E821" s="10" t="n">
        <x:v>8</x:v>
      </x:c>
      <x:c r="F821" s="10" t="n">
        <x:v>7</x:v>
      </x:c>
      <x:c r="G821" s="10" t="n">
        <x:v>1</x:v>
      </x:c>
      <x:c r="H821" s="10" t="n">
        <x:f>IF(G821=1,E821-D821,"")</x:f>
        <x:v>7</x:v>
      </x:c>
      <x:c r="I821" s="10" t="n">
        <x:f>MIN(F821,9)</x:f>
        <x:v>7</x:v>
      </x:c>
      <x:c r="J821" s="19" t="n">
        <x:v>0.4</x:v>
      </x:c>
      <x:c r="K821" s="2" t="n">
        <x:v>7</x:v>
      </x:c>
      <x:c r="L821" s="19" t="n">
        <x:v>0.2</x:v>
      </x:c>
      <x:c r="M821" s="19" t="n">
        <x:v>0.75</x:v>
      </x:c>
    </x:row>
    <x:row r="822" ht="23" customHeight="1">
      <x:c r="A822" s="2" t="str">
        <x:v>D040_T07_C020_G075</x:v>
      </x:c>
      <x:c r="B822" s="2" t="str">
        <x:v>A0071</x:v>
      </x:c>
      <x:c r="C822" s="2" t="str">
        <x:v>圈内</x:v>
      </x:c>
      <x:c r="D822" s="10" t="n">
        <x:v>1</x:v>
      </x:c>
      <x:c r="E822" s="10" t="n">
        <x:v>8</x:v>
      </x:c>
      <x:c r="F822" s="10" t="n">
        <x:v>7</x:v>
      </x:c>
      <x:c r="G822" s="10" t="n">
        <x:v>1</x:v>
      </x:c>
      <x:c r="H822" s="10" t="n">
        <x:f>IF(G822=1,E822-D822,"")</x:f>
        <x:v>7</x:v>
      </x:c>
      <x:c r="I822" s="10" t="n">
        <x:f>MIN(F822,9)</x:f>
        <x:v>7</x:v>
      </x:c>
      <x:c r="J822" s="19" t="n">
        <x:v>0.4</x:v>
      </x:c>
      <x:c r="K822" s="2" t="n">
        <x:v>7</x:v>
      </x:c>
      <x:c r="L822" s="19" t="n">
        <x:v>0.2</x:v>
      </x:c>
      <x:c r="M822" s="19" t="n">
        <x:v>0.75</x:v>
      </x:c>
    </x:row>
    <x:row r="823" ht="23" customHeight="1">
      <x:c r="A823" s="2" t="str">
        <x:v>D040_T07_C020_G075</x:v>
      </x:c>
      <x:c r="B823" s="2" t="str">
        <x:v>A0090</x:v>
      </x:c>
      <x:c r="C823" s="2" t="str">
        <x:v>圈内</x:v>
      </x:c>
      <x:c r="D823" s="10" t="n">
        <x:v>1</x:v>
      </x:c>
      <x:c r="E823" s="10" t="n">
        <x:v>9</x:v>
      </x:c>
      <x:c r="F823" s="10" t="n">
        <x:v>8</x:v>
      </x:c>
      <x:c r="G823" s="10" t="n">
        <x:v>1</x:v>
      </x:c>
      <x:c r="H823" s="10" t="n">
        <x:f>IF(G823=1,E823-D823,"")</x:f>
        <x:v>8</x:v>
      </x:c>
      <x:c r="I823" s="10" t="n">
        <x:f>MIN(F823,9)</x:f>
        <x:v>8</x:v>
      </x:c>
      <x:c r="J823" s="19" t="n">
        <x:v>0.4</x:v>
      </x:c>
      <x:c r="K823" s="2" t="n">
        <x:v>7</x:v>
      </x:c>
      <x:c r="L823" s="19" t="n">
        <x:v>0.2</x:v>
      </x:c>
      <x:c r="M823" s="19" t="n">
        <x:v>0.75</x:v>
      </x:c>
    </x:row>
    <x:row r="824" ht="23" customHeight="1">
      <x:c r="A824" s="2" t="str">
        <x:v>D040_T07_C020_G075</x:v>
      </x:c>
      <x:c r="B824" s="2" t="str">
        <x:v>A0189</x:v>
      </x:c>
      <x:c r="C824" s="2" t="str">
        <x:v>圈内</x:v>
      </x:c>
      <x:c r="D824" s="10" t="n">
        <x:v>1</x:v>
      </x:c>
      <x:c r="E824" s="10" t="n">
        <x:v>8</x:v>
      </x:c>
      <x:c r="F824" s="10" t="n">
        <x:v>7</x:v>
      </x:c>
      <x:c r="G824" s="10" t="n">
        <x:v>1</x:v>
      </x:c>
      <x:c r="H824" s="10" t="n">
        <x:f>IF(G824=1,E824-D824,"")</x:f>
        <x:v>7</x:v>
      </x:c>
      <x:c r="I824" s="10" t="n">
        <x:f>MIN(F824,9)</x:f>
        <x:v>7</x:v>
      </x:c>
      <x:c r="J824" s="19" t="n">
        <x:v>0.4</x:v>
      </x:c>
      <x:c r="K824" s="2" t="n">
        <x:v>7</x:v>
      </x:c>
      <x:c r="L824" s="19" t="n">
        <x:v>0.2</x:v>
      </x:c>
      <x:c r="M824" s="19" t="n">
        <x:v>0.75</x:v>
      </x:c>
    </x:row>
    <x:row r="825" ht="23" customHeight="1">
      <x:c r="A825" s="2" t="str">
        <x:v>D040_T07_C020_G075</x:v>
      </x:c>
      <x:c r="B825" s="2" t="str">
        <x:v>A0206</x:v>
      </x:c>
      <x:c r="C825" s="2" t="str">
        <x:v>圈内</x:v>
      </x:c>
      <x:c r="D825" s="10" t="n">
        <x:v>1</x:v>
      </x:c>
      <x:c r="E825" s="10" t="n">
        <x:v>9</x:v>
      </x:c>
      <x:c r="F825" s="10" t="n">
        <x:v>8</x:v>
      </x:c>
      <x:c r="G825" s="10" t="n">
        <x:v>1</x:v>
      </x:c>
      <x:c r="H825" s="10" t="n">
        <x:f>IF(G825=1,E825-D825,"")</x:f>
        <x:v>8</x:v>
      </x:c>
      <x:c r="I825" s="10" t="n">
        <x:f>MIN(F825,9)</x:f>
        <x:v>8</x:v>
      </x:c>
      <x:c r="J825" s="19" t="n">
        <x:v>0.4</x:v>
      </x:c>
      <x:c r="K825" s="2" t="n">
        <x:v>7</x:v>
      </x:c>
      <x:c r="L825" s="19" t="n">
        <x:v>0.2</x:v>
      </x:c>
      <x:c r="M825" s="19" t="n">
        <x:v>0.75</x:v>
      </x:c>
    </x:row>
    <x:row r="826" ht="23" customHeight="1">
      <x:c r="A826" s="2" t="str">
        <x:v>D040_T07_C080_G025</x:v>
      </x:c>
      <x:c r="B826" s="2" t="str">
        <x:v>A0001</x:v>
      </x:c>
      <x:c r="C826" s="2" t="str">
        <x:v>圈内</x:v>
      </x:c>
      <x:c r="D826" s="10" t="n">
        <x:v>1</x:v>
      </x:c>
      <x:c r="E826" s="10" t="n">
        <x:v>8</x:v>
      </x:c>
      <x:c r="F826" s="10" t="n">
        <x:v>7</x:v>
      </x:c>
      <x:c r="G826" s="10" t="n">
        <x:v>1</x:v>
      </x:c>
      <x:c r="H826" s="10" t="n">
        <x:f>IF(G826=1,E826-D826,"")</x:f>
        <x:v>7</x:v>
      </x:c>
      <x:c r="I826" s="10" t="n">
        <x:f>MIN(F826,9)</x:f>
        <x:v>7</x:v>
      </x:c>
      <x:c r="J826" s="19" t="n">
        <x:v>0.4</x:v>
      </x:c>
      <x:c r="K826" s="2" t="n">
        <x:v>7</x:v>
      </x:c>
      <x:c r="L826" s="19" t="n">
        <x:v>0.8</x:v>
      </x:c>
      <x:c r="M826" s="19" t="n">
        <x:v>0.25</x:v>
      </x:c>
    </x:row>
    <x:row r="827" ht="23" customHeight="1">
      <x:c r="A827" s="2" t="str">
        <x:v>D040_T07_C080_G025</x:v>
      </x:c>
      <x:c r="B827" s="2" t="str">
        <x:v>A0002</x:v>
      </x:c>
      <x:c r="C827" s="2" t="str">
        <x:v>圈内</x:v>
      </x:c>
      <x:c r="D827" s="10" t="n">
        <x:v>1</x:v>
      </x:c>
      <x:c r="E827" s="10"/>
      <x:c r="F827" s="10" t="n">
        <x:v>9</x:v>
      </x:c>
      <x:c r="G827" s="10" t="n">
        <x:v>0</x:v>
      </x:c>
      <x:c r="H827" s="10" t="str">
        <x:f>IF(G827=1,E827-D827,"")</x:f>
      </x:c>
      <x:c r="I827" s="10" t="n">
        <x:f>MIN(F827,9)</x:f>
        <x:v>9</x:v>
      </x:c>
      <x:c r="J827" s="19" t="n">
        <x:v>0.4</x:v>
      </x:c>
      <x:c r="K827" s="2" t="n">
        <x:v>7</x:v>
      </x:c>
      <x:c r="L827" s="19" t="n">
        <x:v>0.8</x:v>
      </x:c>
      <x:c r="M827" s="19" t="n">
        <x:v>0.25</x:v>
      </x:c>
    </x:row>
    <x:row r="828" ht="23" customHeight="1">
      <x:c r="A828" s="2" t="str">
        <x:v>D040_T07_C080_G025</x:v>
      </x:c>
      <x:c r="B828" s="2" t="str">
        <x:v>A0005</x:v>
      </x:c>
      <x:c r="C828" s="2" t="str">
        <x:v>圈内</x:v>
      </x:c>
      <x:c r="D828" s="10" t="n">
        <x:v>1</x:v>
      </x:c>
      <x:c r="E828" s="10"/>
      <x:c r="F828" s="10" t="n">
        <x:v>9</x:v>
      </x:c>
      <x:c r="G828" s="10" t="n">
        <x:v>0</x:v>
      </x:c>
      <x:c r="H828" s="10" t="str">
        <x:f>IF(G828=1,E828-D828,"")</x:f>
      </x:c>
      <x:c r="I828" s="10" t="n">
        <x:f>MIN(F828,9)</x:f>
        <x:v>9</x:v>
      </x:c>
      <x:c r="J828" s="19" t="n">
        <x:v>0.4</x:v>
      </x:c>
      <x:c r="K828" s="2" t="n">
        <x:v>7</x:v>
      </x:c>
      <x:c r="L828" s="19" t="n">
        <x:v>0.8</x:v>
      </x:c>
      <x:c r="M828" s="19" t="n">
        <x:v>0.25</x:v>
      </x:c>
    </x:row>
    <x:row r="829" ht="23" customHeight="1">
      <x:c r="A829" s="2" t="str">
        <x:v>D040_T07_C080_G025</x:v>
      </x:c>
      <x:c r="B829" s="2" t="str">
        <x:v>A0006</x:v>
      </x:c>
      <x:c r="C829" s="2" t="str">
        <x:v>圈内</x:v>
      </x:c>
      <x:c r="D829" s="10" t="n">
        <x:v>1</x:v>
      </x:c>
      <x:c r="E829" s="10"/>
      <x:c r="F829" s="10" t="n">
        <x:v>9</x:v>
      </x:c>
      <x:c r="G829" s="10" t="n">
        <x:v>0</x:v>
      </x:c>
      <x:c r="H829" s="10" t="str">
        <x:f>IF(G829=1,E829-D829,"")</x:f>
      </x:c>
      <x:c r="I829" s="10" t="n">
        <x:f>MIN(F829,9)</x:f>
        <x:v>9</x:v>
      </x:c>
      <x:c r="J829" s="19" t="n">
        <x:v>0.4</x:v>
      </x:c>
      <x:c r="K829" s="2" t="n">
        <x:v>7</x:v>
      </x:c>
      <x:c r="L829" s="19" t="n">
        <x:v>0.8</x:v>
      </x:c>
      <x:c r="M829" s="19" t="n">
        <x:v>0.25</x:v>
      </x:c>
    </x:row>
    <x:row r="830" ht="23" customHeight="1">
      <x:c r="A830" s="2" t="str">
        <x:v>D040_T07_C080_G025</x:v>
      </x:c>
      <x:c r="B830" s="2" t="str">
        <x:v>A0009</x:v>
      </x:c>
      <x:c r="C830" s="2" t="str">
        <x:v>圈内</x:v>
      </x:c>
      <x:c r="D830" s="10" t="n">
        <x:v>1</x:v>
      </x:c>
      <x:c r="E830" s="10" t="n">
        <x:v>10</x:v>
      </x:c>
      <x:c r="F830" s="10" t="n">
        <x:v>9</x:v>
      </x:c>
      <x:c r="G830" s="10" t="n">
        <x:v>1</x:v>
      </x:c>
      <x:c r="H830" s="10" t="n">
        <x:f>IF(G830=1,E830-D830,"")</x:f>
        <x:v>9</x:v>
      </x:c>
      <x:c r="I830" s="10" t="n">
        <x:f>MIN(F830,9)</x:f>
        <x:v>9</x:v>
      </x:c>
      <x:c r="J830" s="19" t="n">
        <x:v>0.4</x:v>
      </x:c>
      <x:c r="K830" s="2" t="n">
        <x:v>7</x:v>
      </x:c>
      <x:c r="L830" s="19" t="n">
        <x:v>0.8</x:v>
      </x:c>
      <x:c r="M830" s="19" t="n">
        <x:v>0.25</x:v>
      </x:c>
    </x:row>
    <x:row r="831" ht="23" customHeight="1">
      <x:c r="A831" s="2" t="str">
        <x:v>D040_T07_C080_G025</x:v>
      </x:c>
      <x:c r="B831" s="2" t="str">
        <x:v>A0011</x:v>
      </x:c>
      <x:c r="C831" s="2" t="str">
        <x:v>圈内</x:v>
      </x:c>
      <x:c r="D831" s="10" t="n">
        <x:v>1</x:v>
      </x:c>
      <x:c r="E831" s="10"/>
      <x:c r="F831" s="10" t="n">
        <x:v>9</x:v>
      </x:c>
      <x:c r="G831" s="10" t="n">
        <x:v>0</x:v>
      </x:c>
      <x:c r="H831" s="10" t="str">
        <x:f>IF(G831=1,E831-D831,"")</x:f>
      </x:c>
      <x:c r="I831" s="10" t="n">
        <x:f>MIN(F831,9)</x:f>
        <x:v>9</x:v>
      </x:c>
      <x:c r="J831" s="19" t="n">
        <x:v>0.4</x:v>
      </x:c>
      <x:c r="K831" s="2" t="n">
        <x:v>7</x:v>
      </x:c>
      <x:c r="L831" s="19" t="n">
        <x:v>0.8</x:v>
      </x:c>
      <x:c r="M831" s="19" t="n">
        <x:v>0.25</x:v>
      </x:c>
    </x:row>
    <x:row r="832" ht="23" customHeight="1">
      <x:c r="A832" s="2" t="str">
        <x:v>D040_T07_C080_G025</x:v>
      </x:c>
      <x:c r="B832" s="2" t="str">
        <x:v>A0012</x:v>
      </x:c>
      <x:c r="C832" s="2" t="str">
        <x:v>圈内</x:v>
      </x:c>
      <x:c r="D832" s="10" t="n">
        <x:v>1</x:v>
      </x:c>
      <x:c r="E832" s="10"/>
      <x:c r="F832" s="10" t="n">
        <x:v>9</x:v>
      </x:c>
      <x:c r="G832" s="10" t="n">
        <x:v>0</x:v>
      </x:c>
      <x:c r="H832" s="10" t="str">
        <x:f>IF(G832=1,E832-D832,"")</x:f>
      </x:c>
      <x:c r="I832" s="10" t="n">
        <x:f>MIN(F832,9)</x:f>
        <x:v>9</x:v>
      </x:c>
      <x:c r="J832" s="19" t="n">
        <x:v>0.4</x:v>
      </x:c>
      <x:c r="K832" s="2" t="n">
        <x:v>7</x:v>
      </x:c>
      <x:c r="L832" s="19" t="n">
        <x:v>0.8</x:v>
      </x:c>
      <x:c r="M832" s="19" t="n">
        <x:v>0.25</x:v>
      </x:c>
    </x:row>
    <x:row r="833" ht="23" customHeight="1">
      <x:c r="A833" s="2" t="str">
        <x:v>D040_T07_C080_G025</x:v>
      </x:c>
      <x:c r="B833" s="2" t="str">
        <x:v>A0014</x:v>
      </x:c>
      <x:c r="C833" s="2" t="str">
        <x:v>圈内</x:v>
      </x:c>
      <x:c r="D833" s="10" t="n">
        <x:v>1</x:v>
      </x:c>
      <x:c r="E833" s="10" t="n">
        <x:v>7</x:v>
      </x:c>
      <x:c r="F833" s="10" t="n">
        <x:v>6</x:v>
      </x:c>
      <x:c r="G833" s="10" t="n">
        <x:v>1</x:v>
      </x:c>
      <x:c r="H833" s="10" t="n">
        <x:f>IF(G833=1,E833-D833,"")</x:f>
        <x:v>6</x:v>
      </x:c>
      <x:c r="I833" s="10" t="n">
        <x:f>MIN(F833,9)</x:f>
        <x:v>6</x:v>
      </x:c>
      <x:c r="J833" s="19" t="n">
        <x:v>0.4</x:v>
      </x:c>
      <x:c r="K833" s="2" t="n">
        <x:v>7</x:v>
      </x:c>
      <x:c r="L833" s="19" t="n">
        <x:v>0.8</x:v>
      </x:c>
      <x:c r="M833" s="19" t="n">
        <x:v>0.25</x:v>
      </x:c>
    </x:row>
    <x:row r="834" ht="23" customHeight="1">
      <x:c r="A834" s="2" t="str">
        <x:v>D040_T07_C080_G025</x:v>
      </x:c>
      <x:c r="B834" s="2" t="str">
        <x:v>A0016</x:v>
      </x:c>
      <x:c r="C834" s="2" t="str">
        <x:v>圈内</x:v>
      </x:c>
      <x:c r="D834" s="10" t="n">
        <x:v>1</x:v>
      </x:c>
      <x:c r="E834" s="10" t="n">
        <x:v>8</x:v>
      </x:c>
      <x:c r="F834" s="10" t="n">
        <x:v>7</x:v>
      </x:c>
      <x:c r="G834" s="10" t="n">
        <x:v>1</x:v>
      </x:c>
      <x:c r="H834" s="10" t="n">
        <x:f>IF(G834=1,E834-D834,"")</x:f>
        <x:v>7</x:v>
      </x:c>
      <x:c r="I834" s="10" t="n">
        <x:f>MIN(F834,9)</x:f>
        <x:v>7</x:v>
      </x:c>
      <x:c r="J834" s="19" t="n">
        <x:v>0.4</x:v>
      </x:c>
      <x:c r="K834" s="2" t="n">
        <x:v>7</x:v>
      </x:c>
      <x:c r="L834" s="19" t="n">
        <x:v>0.8</x:v>
      </x:c>
      <x:c r="M834" s="19" t="n">
        <x:v>0.25</x:v>
      </x:c>
    </x:row>
    <x:row r="835" ht="23" customHeight="1">
      <x:c r="A835" s="2" t="str">
        <x:v>D040_T07_C080_G025</x:v>
      </x:c>
      <x:c r="B835" s="2" t="str">
        <x:v>A0017</x:v>
      </x:c>
      <x:c r="C835" s="2" t="str">
        <x:v>圈内</x:v>
      </x:c>
      <x:c r="D835" s="10" t="n">
        <x:v>1</x:v>
      </x:c>
      <x:c r="E835" s="10"/>
      <x:c r="F835" s="10" t="n">
        <x:v>9</x:v>
      </x:c>
      <x:c r="G835" s="10" t="n">
        <x:v>0</x:v>
      </x:c>
      <x:c r="H835" s="10" t="str">
        <x:f>IF(G835=1,E835-D835,"")</x:f>
      </x:c>
      <x:c r="I835" s="10" t="n">
        <x:f>MIN(F835,9)</x:f>
        <x:v>9</x:v>
      </x:c>
      <x:c r="J835" s="19" t="n">
        <x:v>0.4</x:v>
      </x:c>
      <x:c r="K835" s="2" t="n">
        <x:v>7</x:v>
      </x:c>
      <x:c r="L835" s="19" t="n">
        <x:v>0.8</x:v>
      </x:c>
      <x:c r="M835" s="19" t="n">
        <x:v>0.25</x:v>
      </x:c>
    </x:row>
    <x:row r="836" ht="23" customHeight="1">
      <x:c r="A836" s="2" t="str">
        <x:v>D040_T07_C080_G025</x:v>
      </x:c>
      <x:c r="B836" s="2" t="str">
        <x:v>A0018</x:v>
      </x:c>
      <x:c r="C836" s="2" t="str">
        <x:v>圈内</x:v>
      </x:c>
      <x:c r="D836" s="10" t="n">
        <x:v>1</x:v>
      </x:c>
      <x:c r="E836" s="10"/>
      <x:c r="F836" s="10" t="n">
        <x:v>9</x:v>
      </x:c>
      <x:c r="G836" s="10" t="n">
        <x:v>0</x:v>
      </x:c>
      <x:c r="H836" s="10" t="str">
        <x:f>IF(G836=1,E836-D836,"")</x:f>
      </x:c>
      <x:c r="I836" s="10" t="n">
        <x:f>MIN(F836,9)</x:f>
        <x:v>9</x:v>
      </x:c>
      <x:c r="J836" s="19" t="n">
        <x:v>0.4</x:v>
      </x:c>
      <x:c r="K836" s="2" t="n">
        <x:v>7</x:v>
      </x:c>
      <x:c r="L836" s="19" t="n">
        <x:v>0.8</x:v>
      </x:c>
      <x:c r="M836" s="19" t="n">
        <x:v>0.25</x:v>
      </x:c>
    </x:row>
    <x:row r="837" ht="23" customHeight="1">
      <x:c r="A837" s="2" t="str">
        <x:v>D040_T07_C080_G025</x:v>
      </x:c>
      <x:c r="B837" s="2" t="str">
        <x:v>A0019</x:v>
      </x:c>
      <x:c r="C837" s="2" t="str">
        <x:v>圈内</x:v>
      </x:c>
      <x:c r="D837" s="10" t="n">
        <x:v>1</x:v>
      </x:c>
      <x:c r="E837" s="10" t="n">
        <x:v>9</x:v>
      </x:c>
      <x:c r="F837" s="10" t="n">
        <x:v>8</x:v>
      </x:c>
      <x:c r="G837" s="10" t="n">
        <x:v>1</x:v>
      </x:c>
      <x:c r="H837" s="10" t="n">
        <x:f>IF(G837=1,E837-D837,"")</x:f>
        <x:v>8</x:v>
      </x:c>
      <x:c r="I837" s="10" t="n">
        <x:f>MIN(F837,9)</x:f>
        <x:v>8</x:v>
      </x:c>
      <x:c r="J837" s="19" t="n">
        <x:v>0.4</x:v>
      </x:c>
      <x:c r="K837" s="2" t="n">
        <x:v>7</x:v>
      </x:c>
      <x:c r="L837" s="19" t="n">
        <x:v>0.8</x:v>
      </x:c>
      <x:c r="M837" s="19" t="n">
        <x:v>0.25</x:v>
      </x:c>
    </x:row>
    <x:row r="838" ht="23" customHeight="1">
      <x:c r="A838" s="2" t="str">
        <x:v>D040_T07_C080_G025</x:v>
      </x:c>
      <x:c r="B838" s="2" t="str">
        <x:v>A0020</x:v>
      </x:c>
      <x:c r="C838" s="2" t="str">
        <x:v>圈内</x:v>
      </x:c>
      <x:c r="D838" s="10" t="n">
        <x:v>1</x:v>
      </x:c>
      <x:c r="E838" s="10"/>
      <x:c r="F838" s="10" t="n">
        <x:v>9</x:v>
      </x:c>
      <x:c r="G838" s="10" t="n">
        <x:v>0</x:v>
      </x:c>
      <x:c r="H838" s="10" t="str">
        <x:f>IF(G838=1,E838-D838,"")</x:f>
      </x:c>
      <x:c r="I838" s="10" t="n">
        <x:f>MIN(F838,9)</x:f>
        <x:v>9</x:v>
      </x:c>
      <x:c r="J838" s="19" t="n">
        <x:v>0.4</x:v>
      </x:c>
      <x:c r="K838" s="2" t="n">
        <x:v>7</x:v>
      </x:c>
      <x:c r="L838" s="19" t="n">
        <x:v>0.8</x:v>
      </x:c>
      <x:c r="M838" s="19" t="n">
        <x:v>0.25</x:v>
      </x:c>
    </x:row>
    <x:row r="839" ht="23" customHeight="1">
      <x:c r="A839" s="2" t="str">
        <x:v>D040_T07_C080_G025</x:v>
      </x:c>
      <x:c r="B839" s="2" t="str">
        <x:v>A0022</x:v>
      </x:c>
      <x:c r="C839" s="2" t="str">
        <x:v>圈内</x:v>
      </x:c>
      <x:c r="D839" s="10" t="n">
        <x:v>1</x:v>
      </x:c>
      <x:c r="E839" s="10" t="n">
        <x:v>7</x:v>
      </x:c>
      <x:c r="F839" s="10" t="n">
        <x:v>6</x:v>
      </x:c>
      <x:c r="G839" s="10" t="n">
        <x:v>1</x:v>
      </x:c>
      <x:c r="H839" s="10" t="n">
        <x:f>IF(G839=1,E839-D839,"")</x:f>
        <x:v>6</x:v>
      </x:c>
      <x:c r="I839" s="10" t="n">
        <x:f>MIN(F839,9)</x:f>
        <x:v>6</x:v>
      </x:c>
      <x:c r="J839" s="19" t="n">
        <x:v>0.4</x:v>
      </x:c>
      <x:c r="K839" s="2" t="n">
        <x:v>7</x:v>
      </x:c>
      <x:c r="L839" s="19" t="n">
        <x:v>0.8</x:v>
      </x:c>
      <x:c r="M839" s="19" t="n">
        <x:v>0.25</x:v>
      </x:c>
    </x:row>
    <x:row r="840" ht="23" customHeight="1">
      <x:c r="A840" s="2" t="str">
        <x:v>D040_T07_C080_G025</x:v>
      </x:c>
      <x:c r="B840" s="2" t="str">
        <x:v>A0024</x:v>
      </x:c>
      <x:c r="C840" s="2" t="str">
        <x:v>圈内</x:v>
      </x:c>
      <x:c r="D840" s="10" t="n">
        <x:v>1</x:v>
      </x:c>
      <x:c r="E840" s="10"/>
      <x:c r="F840" s="10" t="n">
        <x:v>9</x:v>
      </x:c>
      <x:c r="G840" s="10" t="n">
        <x:v>0</x:v>
      </x:c>
      <x:c r="H840" s="10" t="str">
        <x:f>IF(G840=1,E840-D840,"")</x:f>
      </x:c>
      <x:c r="I840" s="10" t="n">
        <x:f>MIN(F840,9)</x:f>
        <x:v>9</x:v>
      </x:c>
      <x:c r="J840" s="19" t="n">
        <x:v>0.4</x:v>
      </x:c>
      <x:c r="K840" s="2" t="n">
        <x:v>7</x:v>
      </x:c>
      <x:c r="L840" s="19" t="n">
        <x:v>0.8</x:v>
      </x:c>
      <x:c r="M840" s="19" t="n">
        <x:v>0.25</x:v>
      </x:c>
    </x:row>
    <x:row r="841" ht="23" customHeight="1">
      <x:c r="A841" s="2" t="str">
        <x:v>D040_T07_C080_G025</x:v>
      </x:c>
      <x:c r="B841" s="2" t="str">
        <x:v>A0025</x:v>
      </x:c>
      <x:c r="C841" s="2" t="str">
        <x:v>圈内</x:v>
      </x:c>
      <x:c r="D841" s="10" t="n">
        <x:v>1</x:v>
      </x:c>
      <x:c r="E841" s="10" t="n">
        <x:v>9</x:v>
      </x:c>
      <x:c r="F841" s="10" t="n">
        <x:v>8</x:v>
      </x:c>
      <x:c r="G841" s="10" t="n">
        <x:v>1</x:v>
      </x:c>
      <x:c r="H841" s="10" t="n">
        <x:f>IF(G841=1,E841-D841,"")</x:f>
        <x:v>8</x:v>
      </x:c>
      <x:c r="I841" s="10" t="n">
        <x:f>MIN(F841,9)</x:f>
        <x:v>8</x:v>
      </x:c>
      <x:c r="J841" s="19" t="n">
        <x:v>0.4</x:v>
      </x:c>
      <x:c r="K841" s="2" t="n">
        <x:v>7</x:v>
      </x:c>
      <x:c r="L841" s="19" t="n">
        <x:v>0.8</x:v>
      </x:c>
      <x:c r="M841" s="19" t="n">
        <x:v>0.25</x:v>
      </x:c>
    </x:row>
    <x:row r="842" ht="23" customHeight="1">
      <x:c r="A842" s="2" t="str">
        <x:v>D040_T07_C080_G025</x:v>
      </x:c>
      <x:c r="B842" s="2" t="str">
        <x:v>A0026</x:v>
      </x:c>
      <x:c r="C842" s="2" t="str">
        <x:v>圈内</x:v>
      </x:c>
      <x:c r="D842" s="10" t="n">
        <x:v>1</x:v>
      </x:c>
      <x:c r="E842" s="10"/>
      <x:c r="F842" s="10" t="n">
        <x:v>9</x:v>
      </x:c>
      <x:c r="G842" s="10" t="n">
        <x:v>0</x:v>
      </x:c>
      <x:c r="H842" s="10" t="str">
        <x:f>IF(G842=1,E842-D842,"")</x:f>
      </x:c>
      <x:c r="I842" s="10" t="n">
        <x:f>MIN(F842,9)</x:f>
        <x:v>9</x:v>
      </x:c>
      <x:c r="J842" s="19" t="n">
        <x:v>0.4</x:v>
      </x:c>
      <x:c r="K842" s="2" t="n">
        <x:v>7</x:v>
      </x:c>
      <x:c r="L842" s="19" t="n">
        <x:v>0.8</x:v>
      </x:c>
      <x:c r="M842" s="19" t="n">
        <x:v>0.25</x:v>
      </x:c>
    </x:row>
    <x:row r="843" ht="23" customHeight="1">
      <x:c r="A843" s="2" t="str">
        <x:v>D040_T07_C080_G025</x:v>
      </x:c>
      <x:c r="B843" s="2" t="str">
        <x:v>A0027</x:v>
      </x:c>
      <x:c r="C843" s="2" t="str">
        <x:v>圈内</x:v>
      </x:c>
      <x:c r="D843" s="10" t="n">
        <x:v>1</x:v>
      </x:c>
      <x:c r="E843" s="10"/>
      <x:c r="F843" s="10" t="n">
        <x:v>9</x:v>
      </x:c>
      <x:c r="G843" s="10" t="n">
        <x:v>0</x:v>
      </x:c>
      <x:c r="H843" s="10" t="str">
        <x:f>IF(G843=1,E843-D843,"")</x:f>
      </x:c>
      <x:c r="I843" s="10" t="n">
        <x:f>MIN(F843,9)</x:f>
        <x:v>9</x:v>
      </x:c>
      <x:c r="J843" s="19" t="n">
        <x:v>0.4</x:v>
      </x:c>
      <x:c r="K843" s="2" t="n">
        <x:v>7</x:v>
      </x:c>
      <x:c r="L843" s="19" t="n">
        <x:v>0.8</x:v>
      </x:c>
      <x:c r="M843" s="19" t="n">
        <x:v>0.25</x:v>
      </x:c>
    </x:row>
    <x:row r="844" ht="23" customHeight="1">
      <x:c r="A844" s="2" t="str">
        <x:v>D040_T07_C080_G025</x:v>
      </x:c>
      <x:c r="B844" s="2" t="str">
        <x:v>A0029</x:v>
      </x:c>
      <x:c r="C844" s="2" t="str">
        <x:v>圈内</x:v>
      </x:c>
      <x:c r="D844" s="10" t="n">
        <x:v>1</x:v>
      </x:c>
      <x:c r="E844" s="10" t="n">
        <x:v>10</x:v>
      </x:c>
      <x:c r="F844" s="10" t="n">
        <x:v>9</x:v>
      </x:c>
      <x:c r="G844" s="10" t="n">
        <x:v>1</x:v>
      </x:c>
      <x:c r="H844" s="10" t="n">
        <x:f>IF(G844=1,E844-D844,"")</x:f>
        <x:v>9</x:v>
      </x:c>
      <x:c r="I844" s="10" t="n">
        <x:f>MIN(F844,9)</x:f>
        <x:v>9</x:v>
      </x:c>
      <x:c r="J844" s="19" t="n">
        <x:v>0.4</x:v>
      </x:c>
      <x:c r="K844" s="2" t="n">
        <x:v>7</x:v>
      </x:c>
      <x:c r="L844" s="19" t="n">
        <x:v>0.8</x:v>
      </x:c>
      <x:c r="M844" s="19" t="n">
        <x:v>0.25</x:v>
      </x:c>
    </x:row>
    <x:row r="845" ht="23" customHeight="1">
      <x:c r="A845" s="2" t="str">
        <x:v>D040_T07_C080_G025</x:v>
      </x:c>
      <x:c r="B845" s="2" t="str">
        <x:v>A0030</x:v>
      </x:c>
      <x:c r="C845" s="2" t="str">
        <x:v>圈内</x:v>
      </x:c>
      <x:c r="D845" s="10" t="n">
        <x:v>1</x:v>
      </x:c>
      <x:c r="E845" s="10"/>
      <x:c r="F845" s="10" t="n">
        <x:v>9</x:v>
      </x:c>
      <x:c r="G845" s="10" t="n">
        <x:v>0</x:v>
      </x:c>
      <x:c r="H845" s="10" t="str">
        <x:f>IF(G845=1,E845-D845,"")</x:f>
      </x:c>
      <x:c r="I845" s="10" t="n">
        <x:f>MIN(F845,9)</x:f>
        <x:v>9</x:v>
      </x:c>
      <x:c r="J845" s="19" t="n">
        <x:v>0.4</x:v>
      </x:c>
      <x:c r="K845" s="2" t="n">
        <x:v>7</x:v>
      </x:c>
      <x:c r="L845" s="19" t="n">
        <x:v>0.8</x:v>
      </x:c>
      <x:c r="M845" s="19" t="n">
        <x:v>0.25</x:v>
      </x:c>
    </x:row>
    <x:row r="846" ht="23" customHeight="1">
      <x:c r="A846" s="2" t="str">
        <x:v>D040_T07_C080_G025</x:v>
      </x:c>
      <x:c r="B846" s="2" t="str">
        <x:v>A0032</x:v>
      </x:c>
      <x:c r="C846" s="2" t="str">
        <x:v>圈内</x:v>
      </x:c>
      <x:c r="D846" s="10" t="n">
        <x:v>1</x:v>
      </x:c>
      <x:c r="E846" s="10"/>
      <x:c r="F846" s="10" t="n">
        <x:v>9</x:v>
      </x:c>
      <x:c r="G846" s="10" t="n">
        <x:v>0</x:v>
      </x:c>
      <x:c r="H846" s="10" t="str">
        <x:f>IF(G846=1,E846-D846,"")</x:f>
      </x:c>
      <x:c r="I846" s="10" t="n">
        <x:f>MIN(F846,9)</x:f>
        <x:v>9</x:v>
      </x:c>
      <x:c r="J846" s="19" t="n">
        <x:v>0.4</x:v>
      </x:c>
      <x:c r="K846" s="2" t="n">
        <x:v>7</x:v>
      </x:c>
      <x:c r="L846" s="19" t="n">
        <x:v>0.8</x:v>
      </x:c>
      <x:c r="M846" s="19" t="n">
        <x:v>0.25</x:v>
      </x:c>
    </x:row>
    <x:row r="847" ht="23" customHeight="1">
      <x:c r="A847" s="2" t="str">
        <x:v>D040_T07_C080_G025</x:v>
      </x:c>
      <x:c r="B847" s="2" t="str">
        <x:v>A0033</x:v>
      </x:c>
      <x:c r="C847" s="2" t="str">
        <x:v>圈内</x:v>
      </x:c>
      <x:c r="D847" s="10" t="n">
        <x:v>1</x:v>
      </x:c>
      <x:c r="E847" s="10" t="n">
        <x:v>7</x:v>
      </x:c>
      <x:c r="F847" s="10" t="n">
        <x:v>6</x:v>
      </x:c>
      <x:c r="G847" s="10" t="n">
        <x:v>1</x:v>
      </x:c>
      <x:c r="H847" s="10" t="n">
        <x:f>IF(G847=1,E847-D847,"")</x:f>
        <x:v>6</x:v>
      </x:c>
      <x:c r="I847" s="10" t="n">
        <x:f>MIN(F847,9)</x:f>
        <x:v>6</x:v>
      </x:c>
      <x:c r="J847" s="19" t="n">
        <x:v>0.4</x:v>
      </x:c>
      <x:c r="K847" s="2" t="n">
        <x:v>7</x:v>
      </x:c>
      <x:c r="L847" s="19" t="n">
        <x:v>0.8</x:v>
      </x:c>
      <x:c r="M847" s="19" t="n">
        <x:v>0.25</x:v>
      </x:c>
    </x:row>
    <x:row r="848" ht="23" customHeight="1">
      <x:c r="A848" s="2" t="str">
        <x:v>D040_T07_C080_G025</x:v>
      </x:c>
      <x:c r="B848" s="2" t="str">
        <x:v>A0034</x:v>
      </x:c>
      <x:c r="C848" s="2" t="str">
        <x:v>圈内</x:v>
      </x:c>
      <x:c r="D848" s="10" t="n">
        <x:v>1</x:v>
      </x:c>
      <x:c r="E848" s="10"/>
      <x:c r="F848" s="10" t="n">
        <x:v>9</x:v>
      </x:c>
      <x:c r="G848" s="10" t="n">
        <x:v>0</x:v>
      </x:c>
      <x:c r="H848" s="10" t="str">
        <x:f>IF(G848=1,E848-D848,"")</x:f>
      </x:c>
      <x:c r="I848" s="10" t="n">
        <x:f>MIN(F848,9)</x:f>
        <x:v>9</x:v>
      </x:c>
      <x:c r="J848" s="19" t="n">
        <x:v>0.4</x:v>
      </x:c>
      <x:c r="K848" s="2" t="n">
        <x:v>7</x:v>
      </x:c>
      <x:c r="L848" s="19" t="n">
        <x:v>0.8</x:v>
      </x:c>
      <x:c r="M848" s="19" t="n">
        <x:v>0.25</x:v>
      </x:c>
    </x:row>
    <x:row r="849" ht="23" customHeight="1">
      <x:c r="A849" s="2" t="str">
        <x:v>D040_T07_C080_G025</x:v>
      </x:c>
      <x:c r="B849" s="2" t="str">
        <x:v>A0035</x:v>
      </x:c>
      <x:c r="C849" s="2" t="str">
        <x:v>圈内</x:v>
      </x:c>
      <x:c r="D849" s="10" t="n">
        <x:v>1</x:v>
      </x:c>
      <x:c r="E849" s="10" t="n">
        <x:v>8</x:v>
      </x:c>
      <x:c r="F849" s="10" t="n">
        <x:v>7</x:v>
      </x:c>
      <x:c r="G849" s="10" t="n">
        <x:v>1</x:v>
      </x:c>
      <x:c r="H849" s="10" t="n">
        <x:f>IF(G849=1,E849-D849,"")</x:f>
        <x:v>7</x:v>
      </x:c>
      <x:c r="I849" s="10" t="n">
        <x:f>MIN(F849,9)</x:f>
        <x:v>7</x:v>
      </x:c>
      <x:c r="J849" s="19" t="n">
        <x:v>0.4</x:v>
      </x:c>
      <x:c r="K849" s="2" t="n">
        <x:v>7</x:v>
      </x:c>
      <x:c r="L849" s="19" t="n">
        <x:v>0.8</x:v>
      </x:c>
      <x:c r="M849" s="19" t="n">
        <x:v>0.25</x:v>
      </x:c>
    </x:row>
    <x:row r="850" ht="23" customHeight="1">
      <x:c r="A850" s="2" t="str">
        <x:v>D040_T07_C080_G025</x:v>
      </x:c>
      <x:c r="B850" s="2" t="str">
        <x:v>A0036</x:v>
      </x:c>
      <x:c r="C850" s="2" t="str">
        <x:v>圈内</x:v>
      </x:c>
      <x:c r="D850" s="10" t="n">
        <x:v>1</x:v>
      </x:c>
      <x:c r="E850" s="10" t="n">
        <x:v>10</x:v>
      </x:c>
      <x:c r="F850" s="10" t="n">
        <x:v>9</x:v>
      </x:c>
      <x:c r="G850" s="10" t="n">
        <x:v>1</x:v>
      </x:c>
      <x:c r="H850" s="10" t="n">
        <x:f>IF(G850=1,E850-D850,"")</x:f>
        <x:v>9</x:v>
      </x:c>
      <x:c r="I850" s="10" t="n">
        <x:f>MIN(F850,9)</x:f>
        <x:v>9</x:v>
      </x:c>
      <x:c r="J850" s="19" t="n">
        <x:v>0.4</x:v>
      </x:c>
      <x:c r="K850" s="2" t="n">
        <x:v>7</x:v>
      </x:c>
      <x:c r="L850" s="19" t="n">
        <x:v>0.8</x:v>
      </x:c>
      <x:c r="M850" s="19" t="n">
        <x:v>0.25</x:v>
      </x:c>
    </x:row>
    <x:row r="851" ht="23" customHeight="1">
      <x:c r="A851" s="2" t="str">
        <x:v>D040_T07_C080_G025</x:v>
      </x:c>
      <x:c r="B851" s="2" t="str">
        <x:v>A0037</x:v>
      </x:c>
      <x:c r="C851" s="2" t="str">
        <x:v>圈内</x:v>
      </x:c>
      <x:c r="D851" s="10" t="n">
        <x:v>1</x:v>
      </x:c>
      <x:c r="E851" s="10"/>
      <x:c r="F851" s="10" t="n">
        <x:v>9</x:v>
      </x:c>
      <x:c r="G851" s="10" t="n">
        <x:v>0</x:v>
      </x:c>
      <x:c r="H851" s="10" t="str">
        <x:f>IF(G851=1,E851-D851,"")</x:f>
      </x:c>
      <x:c r="I851" s="10" t="n">
        <x:f>MIN(F851,9)</x:f>
        <x:v>9</x:v>
      </x:c>
      <x:c r="J851" s="19" t="n">
        <x:v>0.4</x:v>
      </x:c>
      <x:c r="K851" s="2" t="n">
        <x:v>7</x:v>
      </x:c>
      <x:c r="L851" s="19" t="n">
        <x:v>0.8</x:v>
      </x:c>
      <x:c r="M851" s="19" t="n">
        <x:v>0.25</x:v>
      </x:c>
    </x:row>
    <x:row r="852" ht="23" customHeight="1">
      <x:c r="A852" s="2" t="str">
        <x:v>D040_T07_C080_G025</x:v>
      </x:c>
      <x:c r="B852" s="2" t="str">
        <x:v>A0038</x:v>
      </x:c>
      <x:c r="C852" s="2" t="str">
        <x:v>圈内</x:v>
      </x:c>
      <x:c r="D852" s="10" t="n">
        <x:v>1</x:v>
      </x:c>
      <x:c r="E852" s="10"/>
      <x:c r="F852" s="10" t="n">
        <x:v>9</x:v>
      </x:c>
      <x:c r="G852" s="10" t="n">
        <x:v>0</x:v>
      </x:c>
      <x:c r="H852" s="10" t="str">
        <x:f>IF(G852=1,E852-D852,"")</x:f>
      </x:c>
      <x:c r="I852" s="10" t="n">
        <x:f>MIN(F852,9)</x:f>
        <x:v>9</x:v>
      </x:c>
      <x:c r="J852" s="19" t="n">
        <x:v>0.4</x:v>
      </x:c>
      <x:c r="K852" s="2" t="n">
        <x:v>7</x:v>
      </x:c>
      <x:c r="L852" s="19" t="n">
        <x:v>0.8</x:v>
      </x:c>
      <x:c r="M852" s="19" t="n">
        <x:v>0.25</x:v>
      </x:c>
    </x:row>
    <x:row r="853" ht="23" customHeight="1">
      <x:c r="A853" s="2" t="str">
        <x:v>D040_T07_C080_G025</x:v>
      </x:c>
      <x:c r="B853" s="2" t="str">
        <x:v>A0040</x:v>
      </x:c>
      <x:c r="C853" s="2" t="str">
        <x:v>圈内</x:v>
      </x:c>
      <x:c r="D853" s="10" t="n">
        <x:v>1</x:v>
      </x:c>
      <x:c r="E853" s="10"/>
      <x:c r="F853" s="10" t="n">
        <x:v>9</x:v>
      </x:c>
      <x:c r="G853" s="10" t="n">
        <x:v>0</x:v>
      </x:c>
      <x:c r="H853" s="10" t="str">
        <x:f>IF(G853=1,E853-D853,"")</x:f>
      </x:c>
      <x:c r="I853" s="10" t="n">
        <x:f>MIN(F853,9)</x:f>
        <x:v>9</x:v>
      </x:c>
      <x:c r="J853" s="19" t="n">
        <x:v>0.4</x:v>
      </x:c>
      <x:c r="K853" s="2" t="n">
        <x:v>7</x:v>
      </x:c>
      <x:c r="L853" s="19" t="n">
        <x:v>0.8</x:v>
      </x:c>
      <x:c r="M853" s="19" t="n">
        <x:v>0.25</x:v>
      </x:c>
    </x:row>
    <x:row r="854" ht="23" customHeight="1">
      <x:c r="A854" s="2" t="str">
        <x:v>D040_T07_C080_G025</x:v>
      </x:c>
      <x:c r="B854" s="2" t="str">
        <x:v>A0041</x:v>
      </x:c>
      <x:c r="C854" s="2" t="str">
        <x:v>圈内</x:v>
      </x:c>
      <x:c r="D854" s="10" t="n">
        <x:v>1</x:v>
      </x:c>
      <x:c r="E854" s="10"/>
      <x:c r="F854" s="10" t="n">
        <x:v>9</x:v>
      </x:c>
      <x:c r="G854" s="10" t="n">
        <x:v>0</x:v>
      </x:c>
      <x:c r="H854" s="10" t="str">
        <x:f>IF(G854=1,E854-D854,"")</x:f>
      </x:c>
      <x:c r="I854" s="10" t="n">
        <x:f>MIN(F854,9)</x:f>
        <x:v>9</x:v>
      </x:c>
      <x:c r="J854" s="19" t="n">
        <x:v>0.4</x:v>
      </x:c>
      <x:c r="K854" s="2" t="n">
        <x:v>7</x:v>
      </x:c>
      <x:c r="L854" s="19" t="n">
        <x:v>0.8</x:v>
      </x:c>
      <x:c r="M854" s="19" t="n">
        <x:v>0.25</x:v>
      </x:c>
    </x:row>
    <x:row r="855" ht="23" customHeight="1">
      <x:c r="A855" s="2" t="str">
        <x:v>D040_T07_C080_G025</x:v>
      </x:c>
      <x:c r="B855" s="2" t="str">
        <x:v>A0071</x:v>
      </x:c>
      <x:c r="C855" s="2" t="str">
        <x:v>圈内</x:v>
      </x:c>
      <x:c r="D855" s="10" t="n">
        <x:v>1</x:v>
      </x:c>
      <x:c r="E855" s="10"/>
      <x:c r="F855" s="10" t="n">
        <x:v>9</x:v>
      </x:c>
      <x:c r="G855" s="10" t="n">
        <x:v>0</x:v>
      </x:c>
      <x:c r="H855" s="10" t="str">
        <x:f>IF(G855=1,E855-D855,"")</x:f>
      </x:c>
      <x:c r="I855" s="10" t="n">
        <x:f>MIN(F855,9)</x:f>
        <x:v>9</x:v>
      </x:c>
      <x:c r="J855" s="19" t="n">
        <x:v>0.4</x:v>
      </x:c>
      <x:c r="K855" s="2" t="n">
        <x:v>7</x:v>
      </x:c>
      <x:c r="L855" s="19" t="n">
        <x:v>0.8</x:v>
      </x:c>
      <x:c r="M855" s="19" t="n">
        <x:v>0.25</x:v>
      </x:c>
    </x:row>
    <x:row r="856" ht="23" customHeight="1">
      <x:c r="A856" s="2" t="str">
        <x:v>D040_T07_C080_G025</x:v>
      </x:c>
      <x:c r="B856" s="2" t="str">
        <x:v>A0090</x:v>
      </x:c>
      <x:c r="C856" s="2" t="str">
        <x:v>圈内</x:v>
      </x:c>
      <x:c r="D856" s="10" t="n">
        <x:v>1</x:v>
      </x:c>
      <x:c r="E856" s="10"/>
      <x:c r="F856" s="10" t="n">
        <x:v>9</x:v>
      </x:c>
      <x:c r="G856" s="10" t="n">
        <x:v>0</x:v>
      </x:c>
      <x:c r="H856" s="10" t="str">
        <x:f>IF(G856=1,E856-D856,"")</x:f>
      </x:c>
      <x:c r="I856" s="10" t="n">
        <x:f>MIN(F856,9)</x:f>
        <x:v>9</x:v>
      </x:c>
      <x:c r="J856" s="19" t="n">
        <x:v>0.4</x:v>
      </x:c>
      <x:c r="K856" s="2" t="n">
        <x:v>7</x:v>
      </x:c>
      <x:c r="L856" s="19" t="n">
        <x:v>0.8</x:v>
      </x:c>
      <x:c r="M856" s="19" t="n">
        <x:v>0.25</x:v>
      </x:c>
    </x:row>
    <x:row r="857" ht="23" customHeight="1">
      <x:c r="A857" s="2" t="str">
        <x:v>D040_T07_C080_G025</x:v>
      </x:c>
      <x:c r="B857" s="2" t="str">
        <x:v>A0189</x:v>
      </x:c>
      <x:c r="C857" s="2" t="str">
        <x:v>圈内</x:v>
      </x:c>
      <x:c r="D857" s="10" t="n">
        <x:v>1</x:v>
      </x:c>
      <x:c r="E857" s="10"/>
      <x:c r="F857" s="10" t="n">
        <x:v>9</x:v>
      </x:c>
      <x:c r="G857" s="10" t="n">
        <x:v>0</x:v>
      </x:c>
      <x:c r="H857" s="10" t="str">
        <x:f>IF(G857=1,E857-D857,"")</x:f>
      </x:c>
      <x:c r="I857" s="10" t="n">
        <x:f>MIN(F857,9)</x:f>
        <x:v>9</x:v>
      </x:c>
      <x:c r="J857" s="19" t="n">
        <x:v>0.4</x:v>
      </x:c>
      <x:c r="K857" s="2" t="n">
        <x:v>7</x:v>
      </x:c>
      <x:c r="L857" s="19" t="n">
        <x:v>0.8</x:v>
      </x:c>
      <x:c r="M857" s="19" t="n">
        <x:v>0.25</x:v>
      </x:c>
    </x:row>
    <x:row r="858" ht="23" customHeight="1">
      <x:c r="A858" s="2" t="str">
        <x:v>D040_T07_C080_G025</x:v>
      </x:c>
      <x:c r="B858" s="2" t="str">
        <x:v>A0206</x:v>
      </x:c>
      <x:c r="C858" s="2" t="str">
        <x:v>圈内</x:v>
      </x:c>
      <x:c r="D858" s="10" t="n">
        <x:v>1</x:v>
      </x:c>
      <x:c r="E858" s="10" t="n">
        <x:v>7</x:v>
      </x:c>
      <x:c r="F858" s="10" t="n">
        <x:v>6</x:v>
      </x:c>
      <x:c r="G858" s="10" t="n">
        <x:v>1</x:v>
      </x:c>
      <x:c r="H858" s="10" t="n">
        <x:f>IF(G858=1,E858-D858,"")</x:f>
        <x:v>6</x:v>
      </x:c>
      <x:c r="I858" s="10" t="n">
        <x:f>MIN(F858,9)</x:f>
        <x:v>6</x:v>
      </x:c>
      <x:c r="J858" s="19" t="n">
        <x:v>0.4</x:v>
      </x:c>
      <x:c r="K858" s="2" t="n">
        <x:v>7</x:v>
      </x:c>
      <x:c r="L858" s="19" t="n">
        <x:v>0.8</x:v>
      </x:c>
      <x:c r="M858" s="19" t="n">
        <x:v>0.25</x:v>
      </x:c>
    </x:row>
    <x:row r="859" ht="23" customHeight="1">
      <x:c r="A859" s="2" t="str">
        <x:v>D040_T07_C080_G050</x:v>
      </x:c>
      <x:c r="B859" s="2" t="str">
        <x:v>A0001</x:v>
      </x:c>
      <x:c r="C859" s="2" t="str">
        <x:v>圈内</x:v>
      </x:c>
      <x:c r="D859" s="10" t="n">
        <x:v>1</x:v>
      </x:c>
      <x:c r="E859" s="10" t="n">
        <x:v>7</x:v>
      </x:c>
      <x:c r="F859" s="10" t="n">
        <x:v>6</x:v>
      </x:c>
      <x:c r="G859" s="10" t="n">
        <x:v>1</x:v>
      </x:c>
      <x:c r="H859" s="10" t="n">
        <x:f>IF(G859=1,E859-D859,"")</x:f>
        <x:v>6</x:v>
      </x:c>
      <x:c r="I859" s="10" t="n">
        <x:f>MIN(F859,9)</x:f>
        <x:v>6</x:v>
      </x:c>
      <x:c r="J859" s="19" t="n">
        <x:v>0.4</x:v>
      </x:c>
      <x:c r="K859" s="2" t="n">
        <x:v>7</x:v>
      </x:c>
      <x:c r="L859" s="19" t="n">
        <x:v>0.8</x:v>
      </x:c>
      <x:c r="M859" s="19" t="n">
        <x:v>0.5</x:v>
      </x:c>
    </x:row>
    <x:row r="860" ht="23" customHeight="1">
      <x:c r="A860" s="2" t="str">
        <x:v>D040_T07_C080_G050</x:v>
      </x:c>
      <x:c r="B860" s="2" t="str">
        <x:v>A0002</x:v>
      </x:c>
      <x:c r="C860" s="2" t="str">
        <x:v>圈内</x:v>
      </x:c>
      <x:c r="D860" s="10" t="n">
        <x:v>1</x:v>
      </x:c>
      <x:c r="E860" s="10" t="n">
        <x:v>8</x:v>
      </x:c>
      <x:c r="F860" s="10" t="n">
        <x:v>7</x:v>
      </x:c>
      <x:c r="G860" s="10" t="n">
        <x:v>1</x:v>
      </x:c>
      <x:c r="H860" s="10" t="n">
        <x:f>IF(G860=1,E860-D860,"")</x:f>
        <x:v>7</x:v>
      </x:c>
      <x:c r="I860" s="10" t="n">
        <x:f>MIN(F860,9)</x:f>
        <x:v>7</x:v>
      </x:c>
      <x:c r="J860" s="19" t="n">
        <x:v>0.4</x:v>
      </x:c>
      <x:c r="K860" s="2" t="n">
        <x:v>7</x:v>
      </x:c>
      <x:c r="L860" s="19" t="n">
        <x:v>0.8</x:v>
      </x:c>
      <x:c r="M860" s="19" t="n">
        <x:v>0.5</x:v>
      </x:c>
    </x:row>
    <x:row r="861" ht="23" customHeight="1">
      <x:c r="A861" s="2" t="str">
        <x:v>D040_T07_C080_G050</x:v>
      </x:c>
      <x:c r="B861" s="2" t="str">
        <x:v>A0005</x:v>
      </x:c>
      <x:c r="C861" s="2" t="str">
        <x:v>圈内</x:v>
      </x:c>
      <x:c r="D861" s="10" t="n">
        <x:v>1</x:v>
      </x:c>
      <x:c r="E861" s="10" t="n">
        <x:v>8</x:v>
      </x:c>
      <x:c r="F861" s="10" t="n">
        <x:v>7</x:v>
      </x:c>
      <x:c r="G861" s="10" t="n">
        <x:v>1</x:v>
      </x:c>
      <x:c r="H861" s="10" t="n">
        <x:f>IF(G861=1,E861-D861,"")</x:f>
        <x:v>7</x:v>
      </x:c>
      <x:c r="I861" s="10" t="n">
        <x:f>MIN(F861,9)</x:f>
        <x:v>7</x:v>
      </x:c>
      <x:c r="J861" s="19" t="n">
        <x:v>0.4</x:v>
      </x:c>
      <x:c r="K861" s="2" t="n">
        <x:v>7</x:v>
      </x:c>
      <x:c r="L861" s="19" t="n">
        <x:v>0.8</x:v>
      </x:c>
      <x:c r="M861" s="19" t="n">
        <x:v>0.5</x:v>
      </x:c>
    </x:row>
    <x:row r="862" ht="23" customHeight="1">
      <x:c r="A862" s="2" t="str">
        <x:v>D040_T07_C080_G050</x:v>
      </x:c>
      <x:c r="B862" s="2" t="str">
        <x:v>A0008</x:v>
      </x:c>
      <x:c r="C862" s="2" t="str">
        <x:v>圈内</x:v>
      </x:c>
      <x:c r="D862" s="10" t="n">
        <x:v>1</x:v>
      </x:c>
      <x:c r="E862" s="10" t="n">
        <x:v>7</x:v>
      </x:c>
      <x:c r="F862" s="10" t="n">
        <x:v>6</x:v>
      </x:c>
      <x:c r="G862" s="10" t="n">
        <x:v>1</x:v>
      </x:c>
      <x:c r="H862" s="10" t="n">
        <x:f>IF(G862=1,E862-D862,"")</x:f>
        <x:v>6</x:v>
      </x:c>
      <x:c r="I862" s="10" t="n">
        <x:f>MIN(F862,9)</x:f>
        <x:v>6</x:v>
      </x:c>
      <x:c r="J862" s="19" t="n">
        <x:v>0.4</x:v>
      </x:c>
      <x:c r="K862" s="2" t="n">
        <x:v>7</x:v>
      </x:c>
      <x:c r="L862" s="19" t="n">
        <x:v>0.8</x:v>
      </x:c>
      <x:c r="M862" s="19" t="n">
        <x:v>0.5</x:v>
      </x:c>
    </x:row>
    <x:row r="863" ht="23" customHeight="1">
      <x:c r="A863" s="2" t="str">
        <x:v>D040_T07_C080_G050</x:v>
      </x:c>
      <x:c r="B863" s="2" t="str">
        <x:v>A0011</x:v>
      </x:c>
      <x:c r="C863" s="2" t="str">
        <x:v>圈内</x:v>
      </x:c>
      <x:c r="D863" s="10" t="n">
        <x:v>1</x:v>
      </x:c>
      <x:c r="E863" s="10"/>
      <x:c r="F863" s="10" t="n">
        <x:v>9</x:v>
      </x:c>
      <x:c r="G863" s="10" t="n">
        <x:v>0</x:v>
      </x:c>
      <x:c r="H863" s="10" t="str">
        <x:f>IF(G863=1,E863-D863,"")</x:f>
      </x:c>
      <x:c r="I863" s="10" t="n">
        <x:f>MIN(F863,9)</x:f>
        <x:v>9</x:v>
      </x:c>
      <x:c r="J863" s="19" t="n">
        <x:v>0.4</x:v>
      </x:c>
      <x:c r="K863" s="2" t="n">
        <x:v>7</x:v>
      </x:c>
      <x:c r="L863" s="19" t="n">
        <x:v>0.8</x:v>
      </x:c>
      <x:c r="M863" s="19" t="n">
        <x:v>0.5</x:v>
      </x:c>
    </x:row>
    <x:row r="864" ht="23" customHeight="1">
      <x:c r="A864" s="2" t="str">
        <x:v>D040_T07_C080_G050</x:v>
      </x:c>
      <x:c r="B864" s="2" t="str">
        <x:v>A0012</x:v>
      </x:c>
      <x:c r="C864" s="2" t="str">
        <x:v>圈内</x:v>
      </x:c>
      <x:c r="D864" s="10" t="n">
        <x:v>1</x:v>
      </x:c>
      <x:c r="E864" s="10" t="n">
        <x:v>10</x:v>
      </x:c>
      <x:c r="F864" s="10" t="n">
        <x:v>9</x:v>
      </x:c>
      <x:c r="G864" s="10" t="n">
        <x:v>1</x:v>
      </x:c>
      <x:c r="H864" s="10" t="n">
        <x:f>IF(G864=1,E864-D864,"")</x:f>
        <x:v>9</x:v>
      </x:c>
      <x:c r="I864" s="10" t="n">
        <x:f>MIN(F864,9)</x:f>
        <x:v>9</x:v>
      </x:c>
      <x:c r="J864" s="19" t="n">
        <x:v>0.4</x:v>
      </x:c>
      <x:c r="K864" s="2" t="n">
        <x:v>7</x:v>
      </x:c>
      <x:c r="L864" s="19" t="n">
        <x:v>0.8</x:v>
      </x:c>
      <x:c r="M864" s="19" t="n">
        <x:v>0.5</x:v>
      </x:c>
    </x:row>
    <x:row r="865" ht="23" customHeight="1">
      <x:c r="A865" s="2" t="str">
        <x:v>D040_T07_C080_G050</x:v>
      </x:c>
      <x:c r="B865" s="2" t="str">
        <x:v>A0016</x:v>
      </x:c>
      <x:c r="C865" s="2" t="str">
        <x:v>圈内</x:v>
      </x:c>
      <x:c r="D865" s="10" t="n">
        <x:v>1</x:v>
      </x:c>
      <x:c r="E865" s="10" t="n">
        <x:v>8</x:v>
      </x:c>
      <x:c r="F865" s="10" t="n">
        <x:v>7</x:v>
      </x:c>
      <x:c r="G865" s="10" t="n">
        <x:v>1</x:v>
      </x:c>
      <x:c r="H865" s="10" t="n">
        <x:f>IF(G865=1,E865-D865,"")</x:f>
        <x:v>7</x:v>
      </x:c>
      <x:c r="I865" s="10" t="n">
        <x:f>MIN(F865,9)</x:f>
        <x:v>7</x:v>
      </x:c>
      <x:c r="J865" s="19" t="n">
        <x:v>0.4</x:v>
      </x:c>
      <x:c r="K865" s="2" t="n">
        <x:v>7</x:v>
      </x:c>
      <x:c r="L865" s="19" t="n">
        <x:v>0.8</x:v>
      </x:c>
      <x:c r="M865" s="19" t="n">
        <x:v>0.5</x:v>
      </x:c>
    </x:row>
    <x:row r="866" ht="23" customHeight="1">
      <x:c r="A866" s="2" t="str">
        <x:v>D040_T07_C080_G050</x:v>
      </x:c>
      <x:c r="B866" s="2" t="str">
        <x:v>A0017</x:v>
      </x:c>
      <x:c r="C866" s="2" t="str">
        <x:v>圈内</x:v>
      </x:c>
      <x:c r="D866" s="10" t="n">
        <x:v>1</x:v>
      </x:c>
      <x:c r="E866" s="10" t="n">
        <x:v>9</x:v>
      </x:c>
      <x:c r="F866" s="10" t="n">
        <x:v>8</x:v>
      </x:c>
      <x:c r="G866" s="10" t="n">
        <x:v>1</x:v>
      </x:c>
      <x:c r="H866" s="10" t="n">
        <x:f>IF(G866=1,E866-D866,"")</x:f>
        <x:v>8</x:v>
      </x:c>
      <x:c r="I866" s="10" t="n">
        <x:f>MIN(F866,9)</x:f>
        <x:v>8</x:v>
      </x:c>
      <x:c r="J866" s="19" t="n">
        <x:v>0.4</x:v>
      </x:c>
      <x:c r="K866" s="2" t="n">
        <x:v>7</x:v>
      </x:c>
      <x:c r="L866" s="19" t="n">
        <x:v>0.8</x:v>
      </x:c>
      <x:c r="M866" s="19" t="n">
        <x:v>0.5</x:v>
      </x:c>
    </x:row>
    <x:row r="867" ht="23" customHeight="1">
      <x:c r="A867" s="2" t="str">
        <x:v>D040_T07_C080_G050</x:v>
      </x:c>
      <x:c r="B867" s="2" t="str">
        <x:v>A0018</x:v>
      </x:c>
      <x:c r="C867" s="2" t="str">
        <x:v>圈内</x:v>
      </x:c>
      <x:c r="D867" s="10" t="n">
        <x:v>1</x:v>
      </x:c>
      <x:c r="E867" s="10" t="n">
        <x:v>7</x:v>
      </x:c>
      <x:c r="F867" s="10" t="n">
        <x:v>6</x:v>
      </x:c>
      <x:c r="G867" s="10" t="n">
        <x:v>1</x:v>
      </x:c>
      <x:c r="H867" s="10" t="n">
        <x:f>IF(G867=1,E867-D867,"")</x:f>
        <x:v>6</x:v>
      </x:c>
      <x:c r="I867" s="10" t="n">
        <x:f>MIN(F867,9)</x:f>
        <x:v>6</x:v>
      </x:c>
      <x:c r="J867" s="19" t="n">
        <x:v>0.4</x:v>
      </x:c>
      <x:c r="K867" s="2" t="n">
        <x:v>7</x:v>
      </x:c>
      <x:c r="L867" s="19" t="n">
        <x:v>0.8</x:v>
      </x:c>
      <x:c r="M867" s="19" t="n">
        <x:v>0.5</x:v>
      </x:c>
    </x:row>
    <x:row r="868" ht="23" customHeight="1">
      <x:c r="A868" s="2" t="str">
        <x:v>D040_T07_C080_G050</x:v>
      </x:c>
      <x:c r="B868" s="2" t="str">
        <x:v>A0019</x:v>
      </x:c>
      <x:c r="C868" s="2" t="str">
        <x:v>圈内</x:v>
      </x:c>
      <x:c r="D868" s="10" t="n">
        <x:v>1</x:v>
      </x:c>
      <x:c r="E868" s="10" t="n">
        <x:v>7</x:v>
      </x:c>
      <x:c r="F868" s="10" t="n">
        <x:v>6</x:v>
      </x:c>
      <x:c r="G868" s="10" t="n">
        <x:v>1</x:v>
      </x:c>
      <x:c r="H868" s="10" t="n">
        <x:f>IF(G868=1,E868-D868,"")</x:f>
        <x:v>6</x:v>
      </x:c>
      <x:c r="I868" s="10" t="n">
        <x:f>MIN(F868,9)</x:f>
        <x:v>6</x:v>
      </x:c>
      <x:c r="J868" s="19" t="n">
        <x:v>0.4</x:v>
      </x:c>
      <x:c r="K868" s="2" t="n">
        <x:v>7</x:v>
      </x:c>
      <x:c r="L868" s="19" t="n">
        <x:v>0.8</x:v>
      </x:c>
      <x:c r="M868" s="19" t="n">
        <x:v>0.5</x:v>
      </x:c>
    </x:row>
    <x:row r="869" ht="23" customHeight="1">
      <x:c r="A869" s="2" t="str">
        <x:v>D040_T07_C080_G050</x:v>
      </x:c>
      <x:c r="B869" s="2" t="str">
        <x:v>A0020</x:v>
      </x:c>
      <x:c r="C869" s="2" t="str">
        <x:v>圈内</x:v>
      </x:c>
      <x:c r="D869" s="10" t="n">
        <x:v>1</x:v>
      </x:c>
      <x:c r="E869" s="10" t="n">
        <x:v>8</x:v>
      </x:c>
      <x:c r="F869" s="10" t="n">
        <x:v>7</x:v>
      </x:c>
      <x:c r="G869" s="10" t="n">
        <x:v>1</x:v>
      </x:c>
      <x:c r="H869" s="10" t="n">
        <x:f>IF(G869=1,E869-D869,"")</x:f>
        <x:v>7</x:v>
      </x:c>
      <x:c r="I869" s="10" t="n">
        <x:f>MIN(F869,9)</x:f>
        <x:v>7</x:v>
      </x:c>
      <x:c r="J869" s="19" t="n">
        <x:v>0.4</x:v>
      </x:c>
      <x:c r="K869" s="2" t="n">
        <x:v>7</x:v>
      </x:c>
      <x:c r="L869" s="19" t="n">
        <x:v>0.8</x:v>
      </x:c>
      <x:c r="M869" s="19" t="n">
        <x:v>0.5</x:v>
      </x:c>
    </x:row>
    <x:row r="870" ht="23" customHeight="1">
      <x:c r="A870" s="2" t="str">
        <x:v>D040_T07_C080_G050</x:v>
      </x:c>
      <x:c r="B870" s="2" t="str">
        <x:v>A0022</x:v>
      </x:c>
      <x:c r="C870" s="2" t="str">
        <x:v>圈内</x:v>
      </x:c>
      <x:c r="D870" s="10" t="n">
        <x:v>1</x:v>
      </x:c>
      <x:c r="E870" s="10" t="n">
        <x:v>8</x:v>
      </x:c>
      <x:c r="F870" s="10" t="n">
        <x:v>7</x:v>
      </x:c>
      <x:c r="G870" s="10" t="n">
        <x:v>1</x:v>
      </x:c>
      <x:c r="H870" s="10" t="n">
        <x:f>IF(G870=1,E870-D870,"")</x:f>
        <x:v>7</x:v>
      </x:c>
      <x:c r="I870" s="10" t="n">
        <x:f>MIN(F870,9)</x:f>
        <x:v>7</x:v>
      </x:c>
      <x:c r="J870" s="19" t="n">
        <x:v>0.4</x:v>
      </x:c>
      <x:c r="K870" s="2" t="n">
        <x:v>7</x:v>
      </x:c>
      <x:c r="L870" s="19" t="n">
        <x:v>0.8</x:v>
      </x:c>
      <x:c r="M870" s="19" t="n">
        <x:v>0.5</x:v>
      </x:c>
    </x:row>
    <x:row r="871" ht="23" customHeight="1">
      <x:c r="A871" s="2" t="str">
        <x:v>D040_T07_C080_G050</x:v>
      </x:c>
      <x:c r="B871" s="2" t="str">
        <x:v>A0024</x:v>
      </x:c>
      <x:c r="C871" s="2" t="str">
        <x:v>圈内</x:v>
      </x:c>
      <x:c r="D871" s="10" t="n">
        <x:v>1</x:v>
      </x:c>
      <x:c r="E871" s="10"/>
      <x:c r="F871" s="10" t="n">
        <x:v>9</x:v>
      </x:c>
      <x:c r="G871" s="10" t="n">
        <x:v>0</x:v>
      </x:c>
      <x:c r="H871" s="10" t="str">
        <x:f>IF(G871=1,E871-D871,"")</x:f>
      </x:c>
      <x:c r="I871" s="10" t="n">
        <x:f>MIN(F871,9)</x:f>
        <x:v>9</x:v>
      </x:c>
      <x:c r="J871" s="19" t="n">
        <x:v>0.4</x:v>
      </x:c>
      <x:c r="K871" s="2" t="n">
        <x:v>7</x:v>
      </x:c>
      <x:c r="L871" s="19" t="n">
        <x:v>0.8</x:v>
      </x:c>
      <x:c r="M871" s="19" t="n">
        <x:v>0.5</x:v>
      </x:c>
    </x:row>
    <x:row r="872" ht="23" customHeight="1">
      <x:c r="A872" s="2" t="str">
        <x:v>D040_T07_C080_G050</x:v>
      </x:c>
      <x:c r="B872" s="2" t="str">
        <x:v>A0025</x:v>
      </x:c>
      <x:c r="C872" s="2" t="str">
        <x:v>圈内</x:v>
      </x:c>
      <x:c r="D872" s="10" t="n">
        <x:v>1</x:v>
      </x:c>
      <x:c r="E872" s="10" t="n">
        <x:v>7</x:v>
      </x:c>
      <x:c r="F872" s="10" t="n">
        <x:v>6</x:v>
      </x:c>
      <x:c r="G872" s="10" t="n">
        <x:v>1</x:v>
      </x:c>
      <x:c r="H872" s="10" t="n">
        <x:f>IF(G872=1,E872-D872,"")</x:f>
        <x:v>6</x:v>
      </x:c>
      <x:c r="I872" s="10" t="n">
        <x:f>MIN(F872,9)</x:f>
        <x:v>6</x:v>
      </x:c>
      <x:c r="J872" s="19" t="n">
        <x:v>0.4</x:v>
      </x:c>
      <x:c r="K872" s="2" t="n">
        <x:v>7</x:v>
      </x:c>
      <x:c r="L872" s="19" t="n">
        <x:v>0.8</x:v>
      </x:c>
      <x:c r="M872" s="19" t="n">
        <x:v>0.5</x:v>
      </x:c>
    </x:row>
    <x:row r="873" ht="23" customHeight="1">
      <x:c r="A873" s="2" t="str">
        <x:v>D040_T07_C080_G050</x:v>
      </x:c>
      <x:c r="B873" s="2" t="str">
        <x:v>A0026</x:v>
      </x:c>
      <x:c r="C873" s="2" t="str">
        <x:v>圈内</x:v>
      </x:c>
      <x:c r="D873" s="10" t="n">
        <x:v>1</x:v>
      </x:c>
      <x:c r="E873" s="10" t="n">
        <x:v>7</x:v>
      </x:c>
      <x:c r="F873" s="10" t="n">
        <x:v>6</x:v>
      </x:c>
      <x:c r="G873" s="10" t="n">
        <x:v>1</x:v>
      </x:c>
      <x:c r="H873" s="10" t="n">
        <x:f>IF(G873=1,E873-D873,"")</x:f>
        <x:v>6</x:v>
      </x:c>
      <x:c r="I873" s="10" t="n">
        <x:f>MIN(F873,9)</x:f>
        <x:v>6</x:v>
      </x:c>
      <x:c r="J873" s="19" t="n">
        <x:v>0.4</x:v>
      </x:c>
      <x:c r="K873" s="2" t="n">
        <x:v>7</x:v>
      </x:c>
      <x:c r="L873" s="19" t="n">
        <x:v>0.8</x:v>
      </x:c>
      <x:c r="M873" s="19" t="n">
        <x:v>0.5</x:v>
      </x:c>
    </x:row>
    <x:row r="874" ht="23" customHeight="1">
      <x:c r="A874" s="2" t="str">
        <x:v>D040_T07_C080_G050</x:v>
      </x:c>
      <x:c r="B874" s="2" t="str">
        <x:v>A0030</x:v>
      </x:c>
      <x:c r="C874" s="2" t="str">
        <x:v>圈内</x:v>
      </x:c>
      <x:c r="D874" s="10" t="n">
        <x:v>1</x:v>
      </x:c>
      <x:c r="E874" s="10" t="n">
        <x:v>8</x:v>
      </x:c>
      <x:c r="F874" s="10" t="n">
        <x:v>7</x:v>
      </x:c>
      <x:c r="G874" s="10" t="n">
        <x:v>1</x:v>
      </x:c>
      <x:c r="H874" s="10" t="n">
        <x:f>IF(G874=1,E874-D874,"")</x:f>
        <x:v>7</x:v>
      </x:c>
      <x:c r="I874" s="10" t="n">
        <x:f>MIN(F874,9)</x:f>
        <x:v>7</x:v>
      </x:c>
      <x:c r="J874" s="19" t="n">
        <x:v>0.4</x:v>
      </x:c>
      <x:c r="K874" s="2" t="n">
        <x:v>7</x:v>
      </x:c>
      <x:c r="L874" s="19" t="n">
        <x:v>0.8</x:v>
      </x:c>
      <x:c r="M874" s="19" t="n">
        <x:v>0.5</x:v>
      </x:c>
    </x:row>
    <x:row r="875" ht="23" customHeight="1">
      <x:c r="A875" s="2" t="str">
        <x:v>D040_T07_C080_G050</x:v>
      </x:c>
      <x:c r="B875" s="2" t="str">
        <x:v>A0032</x:v>
      </x:c>
      <x:c r="C875" s="2" t="str">
        <x:v>圈内</x:v>
      </x:c>
      <x:c r="D875" s="10" t="n">
        <x:v>1</x:v>
      </x:c>
      <x:c r="E875" s="10" t="n">
        <x:v>8</x:v>
      </x:c>
      <x:c r="F875" s="10" t="n">
        <x:v>7</x:v>
      </x:c>
      <x:c r="G875" s="10" t="n">
        <x:v>1</x:v>
      </x:c>
      <x:c r="H875" s="10" t="n">
        <x:f>IF(G875=1,E875-D875,"")</x:f>
        <x:v>7</x:v>
      </x:c>
      <x:c r="I875" s="10" t="n">
        <x:f>MIN(F875,9)</x:f>
        <x:v>7</x:v>
      </x:c>
      <x:c r="J875" s="19" t="n">
        <x:v>0.4</x:v>
      </x:c>
      <x:c r="K875" s="2" t="n">
        <x:v>7</x:v>
      </x:c>
      <x:c r="L875" s="19" t="n">
        <x:v>0.8</x:v>
      </x:c>
      <x:c r="M875" s="19" t="n">
        <x:v>0.5</x:v>
      </x:c>
    </x:row>
    <x:row r="876" ht="23" customHeight="1">
      <x:c r="A876" s="2" t="str">
        <x:v>D040_T07_C080_G050</x:v>
      </x:c>
      <x:c r="B876" s="2" t="str">
        <x:v>A0033</x:v>
      </x:c>
      <x:c r="C876" s="2" t="str">
        <x:v>圈内</x:v>
      </x:c>
      <x:c r="D876" s="10" t="n">
        <x:v>1</x:v>
      </x:c>
      <x:c r="E876" s="10" t="n">
        <x:v>7</x:v>
      </x:c>
      <x:c r="F876" s="10" t="n">
        <x:v>6</x:v>
      </x:c>
      <x:c r="G876" s="10" t="n">
        <x:v>1</x:v>
      </x:c>
      <x:c r="H876" s="10" t="n">
        <x:f>IF(G876=1,E876-D876,"")</x:f>
        <x:v>6</x:v>
      </x:c>
      <x:c r="I876" s="10" t="n">
        <x:f>MIN(F876,9)</x:f>
        <x:v>6</x:v>
      </x:c>
      <x:c r="J876" s="19" t="n">
        <x:v>0.4</x:v>
      </x:c>
      <x:c r="K876" s="2" t="n">
        <x:v>7</x:v>
      </x:c>
      <x:c r="L876" s="19" t="n">
        <x:v>0.8</x:v>
      </x:c>
      <x:c r="M876" s="19" t="n">
        <x:v>0.5</x:v>
      </x:c>
    </x:row>
    <x:row r="877" ht="23" customHeight="1">
      <x:c r="A877" s="2" t="str">
        <x:v>D040_T07_C080_G050</x:v>
      </x:c>
      <x:c r="B877" s="2" t="str">
        <x:v>A0036</x:v>
      </x:c>
      <x:c r="C877" s="2" t="str">
        <x:v>圈内</x:v>
      </x:c>
      <x:c r="D877" s="10" t="n">
        <x:v>1</x:v>
      </x:c>
      <x:c r="E877" s="10" t="n">
        <x:v>7</x:v>
      </x:c>
      <x:c r="F877" s="10" t="n">
        <x:v>6</x:v>
      </x:c>
      <x:c r="G877" s="10" t="n">
        <x:v>1</x:v>
      </x:c>
      <x:c r="H877" s="10" t="n">
        <x:f>IF(G877=1,E877-D877,"")</x:f>
        <x:v>6</x:v>
      </x:c>
      <x:c r="I877" s="10" t="n">
        <x:f>MIN(F877,9)</x:f>
        <x:v>6</x:v>
      </x:c>
      <x:c r="J877" s="19" t="n">
        <x:v>0.4</x:v>
      </x:c>
      <x:c r="K877" s="2" t="n">
        <x:v>7</x:v>
      </x:c>
      <x:c r="L877" s="19" t="n">
        <x:v>0.8</x:v>
      </x:c>
      <x:c r="M877" s="19" t="n">
        <x:v>0.5</x:v>
      </x:c>
    </x:row>
    <x:row r="878" ht="23" customHeight="1">
      <x:c r="A878" s="2" t="str">
        <x:v>D040_T07_C080_G050</x:v>
      </x:c>
      <x:c r="B878" s="2" t="str">
        <x:v>A0037</x:v>
      </x:c>
      <x:c r="C878" s="2" t="str">
        <x:v>圈内</x:v>
      </x:c>
      <x:c r="D878" s="10" t="n">
        <x:v>1</x:v>
      </x:c>
      <x:c r="E878" s="10" t="n">
        <x:v>7</x:v>
      </x:c>
      <x:c r="F878" s="10" t="n">
        <x:v>6</x:v>
      </x:c>
      <x:c r="G878" s="10" t="n">
        <x:v>1</x:v>
      </x:c>
      <x:c r="H878" s="10" t="n">
        <x:f>IF(G878=1,E878-D878,"")</x:f>
        <x:v>6</x:v>
      </x:c>
      <x:c r="I878" s="10" t="n">
        <x:f>MIN(F878,9)</x:f>
        <x:v>6</x:v>
      </x:c>
      <x:c r="J878" s="19" t="n">
        <x:v>0.4</x:v>
      </x:c>
      <x:c r="K878" s="2" t="n">
        <x:v>7</x:v>
      </x:c>
      <x:c r="L878" s="19" t="n">
        <x:v>0.8</x:v>
      </x:c>
      <x:c r="M878" s="19" t="n">
        <x:v>0.5</x:v>
      </x:c>
    </x:row>
    <x:row r="879" ht="23" customHeight="1">
      <x:c r="A879" s="2" t="str">
        <x:v>D040_T07_C080_G050</x:v>
      </x:c>
      <x:c r="B879" s="2" t="str">
        <x:v>A0038</x:v>
      </x:c>
      <x:c r="C879" s="2" t="str">
        <x:v>圈内</x:v>
      </x:c>
      <x:c r="D879" s="10" t="n">
        <x:v>1</x:v>
      </x:c>
      <x:c r="E879" s="10" t="n">
        <x:v>8</x:v>
      </x:c>
      <x:c r="F879" s="10" t="n">
        <x:v>7</x:v>
      </x:c>
      <x:c r="G879" s="10" t="n">
        <x:v>1</x:v>
      </x:c>
      <x:c r="H879" s="10" t="n">
        <x:f>IF(G879=1,E879-D879,"")</x:f>
        <x:v>7</x:v>
      </x:c>
      <x:c r="I879" s="10" t="n">
        <x:f>MIN(F879,9)</x:f>
        <x:v>7</x:v>
      </x:c>
      <x:c r="J879" s="19" t="n">
        <x:v>0.4</x:v>
      </x:c>
      <x:c r="K879" s="2" t="n">
        <x:v>7</x:v>
      </x:c>
      <x:c r="L879" s="19" t="n">
        <x:v>0.8</x:v>
      </x:c>
      <x:c r="M879" s="19" t="n">
        <x:v>0.5</x:v>
      </x:c>
    </x:row>
    <x:row r="880" ht="23" customHeight="1">
      <x:c r="A880" s="2" t="str">
        <x:v>D040_T07_C080_G050</x:v>
      </x:c>
      <x:c r="B880" s="2" t="str">
        <x:v>A0039</x:v>
      </x:c>
      <x:c r="C880" s="2" t="str">
        <x:v>圈内</x:v>
      </x:c>
      <x:c r="D880" s="10" t="n">
        <x:v>1</x:v>
      </x:c>
      <x:c r="E880" s="10" t="n">
        <x:v>7</x:v>
      </x:c>
      <x:c r="F880" s="10" t="n">
        <x:v>6</x:v>
      </x:c>
      <x:c r="G880" s="10" t="n">
        <x:v>1</x:v>
      </x:c>
      <x:c r="H880" s="10" t="n">
        <x:f>IF(G880=1,E880-D880,"")</x:f>
        <x:v>6</x:v>
      </x:c>
      <x:c r="I880" s="10" t="n">
        <x:f>MIN(F880,9)</x:f>
        <x:v>6</x:v>
      </x:c>
      <x:c r="J880" s="19" t="n">
        <x:v>0.4</x:v>
      </x:c>
      <x:c r="K880" s="2" t="n">
        <x:v>7</x:v>
      </x:c>
      <x:c r="L880" s="19" t="n">
        <x:v>0.8</x:v>
      </x:c>
      <x:c r="M880" s="19" t="n">
        <x:v>0.5</x:v>
      </x:c>
    </x:row>
    <x:row r="881" ht="23" customHeight="1">
      <x:c r="A881" s="2" t="str">
        <x:v>D040_T07_C080_G050</x:v>
      </x:c>
      <x:c r="B881" s="2" t="str">
        <x:v>A0040</x:v>
      </x:c>
      <x:c r="C881" s="2" t="str">
        <x:v>圈内</x:v>
      </x:c>
      <x:c r="D881" s="10" t="n">
        <x:v>1</x:v>
      </x:c>
      <x:c r="E881" s="10" t="n">
        <x:v>7</x:v>
      </x:c>
      <x:c r="F881" s="10" t="n">
        <x:v>6</x:v>
      </x:c>
      <x:c r="G881" s="10" t="n">
        <x:v>1</x:v>
      </x:c>
      <x:c r="H881" s="10" t="n">
        <x:f>IF(G881=1,E881-D881,"")</x:f>
        <x:v>6</x:v>
      </x:c>
      <x:c r="I881" s="10" t="n">
        <x:f>MIN(F881,9)</x:f>
        <x:v>6</x:v>
      </x:c>
      <x:c r="J881" s="19" t="n">
        <x:v>0.4</x:v>
      </x:c>
      <x:c r="K881" s="2" t="n">
        <x:v>7</x:v>
      </x:c>
      <x:c r="L881" s="19" t="n">
        <x:v>0.8</x:v>
      </x:c>
      <x:c r="M881" s="19" t="n">
        <x:v>0.5</x:v>
      </x:c>
    </x:row>
    <x:row r="882" ht="23" customHeight="1">
      <x:c r="A882" s="2" t="str">
        <x:v>D040_T07_C080_G050</x:v>
      </x:c>
      <x:c r="B882" s="2" t="str">
        <x:v>A0041</x:v>
      </x:c>
      <x:c r="C882" s="2" t="str">
        <x:v>圈内</x:v>
      </x:c>
      <x:c r="D882" s="10" t="n">
        <x:v>1</x:v>
      </x:c>
      <x:c r="E882" s="10" t="n">
        <x:v>7</x:v>
      </x:c>
      <x:c r="F882" s="10" t="n">
        <x:v>6</x:v>
      </x:c>
      <x:c r="G882" s="10" t="n">
        <x:v>1</x:v>
      </x:c>
      <x:c r="H882" s="10" t="n">
        <x:f>IF(G882=1,E882-D882,"")</x:f>
        <x:v>6</x:v>
      </x:c>
      <x:c r="I882" s="10" t="n">
        <x:f>MIN(F882,9)</x:f>
        <x:v>6</x:v>
      </x:c>
      <x:c r="J882" s="19" t="n">
        <x:v>0.4</x:v>
      </x:c>
      <x:c r="K882" s="2" t="n">
        <x:v>7</x:v>
      </x:c>
      <x:c r="L882" s="19" t="n">
        <x:v>0.8</x:v>
      </x:c>
      <x:c r="M882" s="19" t="n">
        <x:v>0.5</x:v>
      </x:c>
    </x:row>
    <x:row r="883" ht="23" customHeight="1">
      <x:c r="A883" s="2" t="str">
        <x:v>D040_T07_C080_G050</x:v>
      </x:c>
      <x:c r="B883" s="2" t="str">
        <x:v>A0071</x:v>
      </x:c>
      <x:c r="C883" s="2" t="str">
        <x:v>圈内</x:v>
      </x:c>
      <x:c r="D883" s="10" t="n">
        <x:v>1</x:v>
      </x:c>
      <x:c r="E883" s="10" t="n">
        <x:v>8</x:v>
      </x:c>
      <x:c r="F883" s="10" t="n">
        <x:v>7</x:v>
      </x:c>
      <x:c r="G883" s="10" t="n">
        <x:v>1</x:v>
      </x:c>
      <x:c r="H883" s="10" t="n">
        <x:f>IF(G883=1,E883-D883,"")</x:f>
        <x:v>7</x:v>
      </x:c>
      <x:c r="I883" s="10" t="n">
        <x:f>MIN(F883,9)</x:f>
        <x:v>7</x:v>
      </x:c>
      <x:c r="J883" s="19" t="n">
        <x:v>0.4</x:v>
      </x:c>
      <x:c r="K883" s="2" t="n">
        <x:v>7</x:v>
      </x:c>
      <x:c r="L883" s="19" t="n">
        <x:v>0.8</x:v>
      </x:c>
      <x:c r="M883" s="19" t="n">
        <x:v>0.5</x:v>
      </x:c>
    </x:row>
    <x:row r="884" ht="23" customHeight="1">
      <x:c r="A884" s="2" t="str">
        <x:v>D040_T07_C080_G050</x:v>
      </x:c>
      <x:c r="B884" s="2" t="str">
        <x:v>A0090</x:v>
      </x:c>
      <x:c r="C884" s="2" t="str">
        <x:v>圈内</x:v>
      </x:c>
      <x:c r="D884" s="10" t="n">
        <x:v>1</x:v>
      </x:c>
      <x:c r="E884" s="10"/>
      <x:c r="F884" s="10" t="n">
        <x:v>9</x:v>
      </x:c>
      <x:c r="G884" s="10" t="n">
        <x:v>0</x:v>
      </x:c>
      <x:c r="H884" s="10" t="str">
        <x:f>IF(G884=1,E884-D884,"")</x:f>
      </x:c>
      <x:c r="I884" s="10" t="n">
        <x:f>MIN(F884,9)</x:f>
        <x:v>9</x:v>
      </x:c>
      <x:c r="J884" s="19" t="n">
        <x:v>0.4</x:v>
      </x:c>
      <x:c r="K884" s="2" t="n">
        <x:v>7</x:v>
      </x:c>
      <x:c r="L884" s="19" t="n">
        <x:v>0.8</x:v>
      </x:c>
      <x:c r="M884" s="19" t="n">
        <x:v>0.5</x:v>
      </x:c>
    </x:row>
    <x:row r="885" ht="23" customHeight="1">
      <x:c r="A885" s="2" t="str">
        <x:v>D040_T07_C080_G050</x:v>
      </x:c>
      <x:c r="B885" s="2" t="str">
        <x:v>A0189</x:v>
      </x:c>
      <x:c r="C885" s="2" t="str">
        <x:v>圈内</x:v>
      </x:c>
      <x:c r="D885" s="10" t="n">
        <x:v>1</x:v>
      </x:c>
      <x:c r="E885" s="10" t="n">
        <x:v>8</x:v>
      </x:c>
      <x:c r="F885" s="10" t="n">
        <x:v>7</x:v>
      </x:c>
      <x:c r="G885" s="10" t="n">
        <x:v>1</x:v>
      </x:c>
      <x:c r="H885" s="10" t="n">
        <x:f>IF(G885=1,E885-D885,"")</x:f>
        <x:v>7</x:v>
      </x:c>
      <x:c r="I885" s="10" t="n">
        <x:f>MIN(F885,9)</x:f>
        <x:v>7</x:v>
      </x:c>
      <x:c r="J885" s="19" t="n">
        <x:v>0.4</x:v>
      </x:c>
      <x:c r="K885" s="2" t="n">
        <x:v>7</x:v>
      </x:c>
      <x:c r="L885" s="19" t="n">
        <x:v>0.8</x:v>
      </x:c>
      <x:c r="M885" s="19" t="n">
        <x:v>0.5</x:v>
      </x:c>
    </x:row>
    <x:row r="886" ht="23" customHeight="1">
      <x:c r="A886" s="2" t="str">
        <x:v>D040_T07_C080_G050</x:v>
      </x:c>
      <x:c r="B886" s="2" t="str">
        <x:v>A0206</x:v>
      </x:c>
      <x:c r="C886" s="2" t="str">
        <x:v>圈内</x:v>
      </x:c>
      <x:c r="D886" s="10" t="n">
        <x:v>1</x:v>
      </x:c>
      <x:c r="E886" s="10" t="n">
        <x:v>7</x:v>
      </x:c>
      <x:c r="F886" s="10" t="n">
        <x:v>6</x:v>
      </x:c>
      <x:c r="G886" s="10" t="n">
        <x:v>1</x:v>
      </x:c>
      <x:c r="H886" s="10" t="n">
        <x:f>IF(G886=1,E886-D886,"")</x:f>
        <x:v>6</x:v>
      </x:c>
      <x:c r="I886" s="10" t="n">
        <x:f>MIN(F886,9)</x:f>
        <x:v>6</x:v>
      </x:c>
      <x:c r="J886" s="19" t="n">
        <x:v>0.4</x:v>
      </x:c>
      <x:c r="K886" s="2" t="n">
        <x:v>7</x:v>
      </x:c>
      <x:c r="L886" s="19" t="n">
        <x:v>0.8</x:v>
      </x:c>
      <x:c r="M886" s="19" t="n">
        <x:v>0.5</x:v>
      </x:c>
    </x:row>
    <x:row r="887" ht="23" customHeight="1">
      <x:c r="A887" s="2" t="str">
        <x:v>D040_T07_C080_G075</x:v>
      </x:c>
      <x:c r="B887" s="2" t="str">
        <x:v>A0003</x:v>
      </x:c>
      <x:c r="C887" s="2" t="str">
        <x:v>圈内</x:v>
      </x:c>
      <x:c r="D887" s="10" t="n">
        <x:v>1</x:v>
      </x:c>
      <x:c r="E887" s="10" t="n">
        <x:v>7</x:v>
      </x:c>
      <x:c r="F887" s="10" t="n">
        <x:v>6</x:v>
      </x:c>
      <x:c r="G887" s="10" t="n">
        <x:v>1</x:v>
      </x:c>
      <x:c r="H887" s="10" t="n">
        <x:f>IF(G887=1,E887-D887,"")</x:f>
        <x:v>6</x:v>
      </x:c>
      <x:c r="I887" s="10" t="n">
        <x:f>MIN(F887,9)</x:f>
        <x:v>6</x:v>
      </x:c>
      <x:c r="J887" s="19" t="n">
        <x:v>0.4</x:v>
      </x:c>
      <x:c r="K887" s="2" t="n">
        <x:v>7</x:v>
      </x:c>
      <x:c r="L887" s="19" t="n">
        <x:v>0.8</x:v>
      </x:c>
      <x:c r="M887" s="19" t="n">
        <x:v>0.75</x:v>
      </x:c>
    </x:row>
    <x:row r="888" ht="23" customHeight="1">
      <x:c r="A888" s="2" t="str">
        <x:v>D040_T07_C080_G075</x:v>
      </x:c>
      <x:c r="B888" s="2" t="str">
        <x:v>A0005</x:v>
      </x:c>
      <x:c r="C888" s="2" t="str">
        <x:v>圈内</x:v>
      </x:c>
      <x:c r="D888" s="10" t="n">
        <x:v>1</x:v>
      </x:c>
      <x:c r="E888" s="10" t="n">
        <x:v>7</x:v>
      </x:c>
      <x:c r="F888" s="10" t="n">
        <x:v>6</x:v>
      </x:c>
      <x:c r="G888" s="10" t="n">
        <x:v>1</x:v>
      </x:c>
      <x:c r="H888" s="10" t="n">
        <x:f>IF(G888=1,E888-D888,"")</x:f>
        <x:v>6</x:v>
      </x:c>
      <x:c r="I888" s="10" t="n">
        <x:f>MIN(F888,9)</x:f>
        <x:v>6</x:v>
      </x:c>
      <x:c r="J888" s="19" t="n">
        <x:v>0.4</x:v>
      </x:c>
      <x:c r="K888" s="2" t="n">
        <x:v>7</x:v>
      </x:c>
      <x:c r="L888" s="19" t="n">
        <x:v>0.8</x:v>
      </x:c>
      <x:c r="M888" s="19" t="n">
        <x:v>0.75</x:v>
      </x:c>
    </x:row>
    <x:row r="889" ht="23" customHeight="1">
      <x:c r="A889" s="2" t="str">
        <x:v>D040_T07_C080_G075</x:v>
      </x:c>
      <x:c r="B889" s="2" t="str">
        <x:v>A0008</x:v>
      </x:c>
      <x:c r="C889" s="2" t="str">
        <x:v>圈内</x:v>
      </x:c>
      <x:c r="D889" s="10" t="n">
        <x:v>1</x:v>
      </x:c>
      <x:c r="E889" s="10" t="n">
        <x:v>7</x:v>
      </x:c>
      <x:c r="F889" s="10" t="n">
        <x:v>6</x:v>
      </x:c>
      <x:c r="G889" s="10" t="n">
        <x:v>1</x:v>
      </x:c>
      <x:c r="H889" s="10" t="n">
        <x:f>IF(G889=1,E889-D889,"")</x:f>
        <x:v>6</x:v>
      </x:c>
      <x:c r="I889" s="10" t="n">
        <x:f>MIN(F889,9)</x:f>
        <x:v>6</x:v>
      </x:c>
      <x:c r="J889" s="19" t="n">
        <x:v>0.4</x:v>
      </x:c>
      <x:c r="K889" s="2" t="n">
        <x:v>7</x:v>
      </x:c>
      <x:c r="L889" s="19" t="n">
        <x:v>0.8</x:v>
      </x:c>
      <x:c r="M889" s="19" t="n">
        <x:v>0.75</x:v>
      </x:c>
    </x:row>
    <x:row r="890" ht="23" customHeight="1">
      <x:c r="A890" s="2" t="str">
        <x:v>D040_T07_C080_G075</x:v>
      </x:c>
      <x:c r="B890" s="2" t="str">
        <x:v>A0011</x:v>
      </x:c>
      <x:c r="C890" s="2" t="str">
        <x:v>圈内</x:v>
      </x:c>
      <x:c r="D890" s="10" t="n">
        <x:v>1</x:v>
      </x:c>
      <x:c r="E890" s="10" t="n">
        <x:v>8</x:v>
      </x:c>
      <x:c r="F890" s="10" t="n">
        <x:v>7</x:v>
      </x:c>
      <x:c r="G890" s="10" t="n">
        <x:v>1</x:v>
      </x:c>
      <x:c r="H890" s="10" t="n">
        <x:f>IF(G890=1,E890-D890,"")</x:f>
        <x:v>7</x:v>
      </x:c>
      <x:c r="I890" s="10" t="n">
        <x:f>MIN(F890,9)</x:f>
        <x:v>7</x:v>
      </x:c>
      <x:c r="J890" s="19" t="n">
        <x:v>0.4</x:v>
      </x:c>
      <x:c r="K890" s="2" t="n">
        <x:v>7</x:v>
      </x:c>
      <x:c r="L890" s="19" t="n">
        <x:v>0.8</x:v>
      </x:c>
      <x:c r="M890" s="19" t="n">
        <x:v>0.75</x:v>
      </x:c>
    </x:row>
    <x:row r="891" ht="23" customHeight="1">
      <x:c r="A891" s="2" t="str">
        <x:v>D040_T07_C080_G075</x:v>
      </x:c>
      <x:c r="B891" s="2" t="str">
        <x:v>A0012</x:v>
      </x:c>
      <x:c r="C891" s="2" t="str">
        <x:v>圈内</x:v>
      </x:c>
      <x:c r="D891" s="10" t="n">
        <x:v>1</x:v>
      </x:c>
      <x:c r="E891" s="10"/>
      <x:c r="F891" s="10" t="n">
        <x:v>9</x:v>
      </x:c>
      <x:c r="G891" s="10" t="n">
        <x:v>0</x:v>
      </x:c>
      <x:c r="H891" s="10" t="str">
        <x:f>IF(G891=1,E891-D891,"")</x:f>
      </x:c>
      <x:c r="I891" s="10" t="n">
        <x:f>MIN(F891,9)</x:f>
        <x:v>9</x:v>
      </x:c>
      <x:c r="J891" s="19" t="n">
        <x:v>0.4</x:v>
      </x:c>
      <x:c r="K891" s="2" t="n">
        <x:v>7</x:v>
      </x:c>
      <x:c r="L891" s="19" t="n">
        <x:v>0.8</x:v>
      </x:c>
      <x:c r="M891" s="19" t="n">
        <x:v>0.75</x:v>
      </x:c>
    </x:row>
    <x:row r="892" ht="23" customHeight="1">
      <x:c r="A892" s="2" t="str">
        <x:v>D040_T07_C080_G075</x:v>
      </x:c>
      <x:c r="B892" s="2" t="str">
        <x:v>A0014</x:v>
      </x:c>
      <x:c r="C892" s="2" t="str">
        <x:v>圈内</x:v>
      </x:c>
      <x:c r="D892" s="10" t="n">
        <x:v>1</x:v>
      </x:c>
      <x:c r="E892" s="10" t="n">
        <x:v>7</x:v>
      </x:c>
      <x:c r="F892" s="10" t="n">
        <x:v>6</x:v>
      </x:c>
      <x:c r="G892" s="10" t="n">
        <x:v>1</x:v>
      </x:c>
      <x:c r="H892" s="10" t="n">
        <x:f>IF(G892=1,E892-D892,"")</x:f>
        <x:v>6</x:v>
      </x:c>
      <x:c r="I892" s="10" t="n">
        <x:f>MIN(F892,9)</x:f>
        <x:v>6</x:v>
      </x:c>
      <x:c r="J892" s="19" t="n">
        <x:v>0.4</x:v>
      </x:c>
      <x:c r="K892" s="2" t="n">
        <x:v>7</x:v>
      </x:c>
      <x:c r="L892" s="19" t="n">
        <x:v>0.8</x:v>
      </x:c>
      <x:c r="M892" s="19" t="n">
        <x:v>0.75</x:v>
      </x:c>
    </x:row>
    <x:row r="893" ht="23" customHeight="1">
      <x:c r="A893" s="2" t="str">
        <x:v>D040_T07_C080_G075</x:v>
      </x:c>
      <x:c r="B893" s="2" t="str">
        <x:v>A0016</x:v>
      </x:c>
      <x:c r="C893" s="2" t="str">
        <x:v>圈内</x:v>
      </x:c>
      <x:c r="D893" s="10" t="n">
        <x:v>1</x:v>
      </x:c>
      <x:c r="E893" s="10" t="n">
        <x:v>7</x:v>
      </x:c>
      <x:c r="F893" s="10" t="n">
        <x:v>6</x:v>
      </x:c>
      <x:c r="G893" s="10" t="n">
        <x:v>1</x:v>
      </x:c>
      <x:c r="H893" s="10" t="n">
        <x:f>IF(G893=1,E893-D893,"")</x:f>
        <x:v>6</x:v>
      </x:c>
      <x:c r="I893" s="10" t="n">
        <x:f>MIN(F893,9)</x:f>
        <x:v>6</x:v>
      </x:c>
      <x:c r="J893" s="19" t="n">
        <x:v>0.4</x:v>
      </x:c>
      <x:c r="K893" s="2" t="n">
        <x:v>7</x:v>
      </x:c>
      <x:c r="L893" s="19" t="n">
        <x:v>0.8</x:v>
      </x:c>
      <x:c r="M893" s="19" t="n">
        <x:v>0.75</x:v>
      </x:c>
    </x:row>
    <x:row r="894" ht="23" customHeight="1">
      <x:c r="A894" s="2" t="str">
        <x:v>D040_T07_C080_G075</x:v>
      </x:c>
      <x:c r="B894" s="2" t="str">
        <x:v>A0017</x:v>
      </x:c>
      <x:c r="C894" s="2" t="str">
        <x:v>圈内</x:v>
      </x:c>
      <x:c r="D894" s="10" t="n">
        <x:v>1</x:v>
      </x:c>
      <x:c r="E894" s="10" t="n">
        <x:v>8</x:v>
      </x:c>
      <x:c r="F894" s="10" t="n">
        <x:v>7</x:v>
      </x:c>
      <x:c r="G894" s="10" t="n">
        <x:v>1</x:v>
      </x:c>
      <x:c r="H894" s="10" t="n">
        <x:f>IF(G894=1,E894-D894,"")</x:f>
        <x:v>7</x:v>
      </x:c>
      <x:c r="I894" s="10" t="n">
        <x:f>MIN(F894,9)</x:f>
        <x:v>7</x:v>
      </x:c>
      <x:c r="J894" s="19" t="n">
        <x:v>0.4</x:v>
      </x:c>
      <x:c r="K894" s="2" t="n">
        <x:v>7</x:v>
      </x:c>
      <x:c r="L894" s="19" t="n">
        <x:v>0.8</x:v>
      </x:c>
      <x:c r="M894" s="19" t="n">
        <x:v>0.75</x:v>
      </x:c>
    </x:row>
    <x:row r="895" ht="23" customHeight="1">
      <x:c r="A895" s="2" t="str">
        <x:v>D040_T07_C080_G075</x:v>
      </x:c>
      <x:c r="B895" s="2" t="str">
        <x:v>A0018</x:v>
      </x:c>
      <x:c r="C895" s="2" t="str">
        <x:v>圈内</x:v>
      </x:c>
      <x:c r="D895" s="10" t="n">
        <x:v>1</x:v>
      </x:c>
      <x:c r="E895" s="10" t="n">
        <x:v>7</x:v>
      </x:c>
      <x:c r="F895" s="10" t="n">
        <x:v>6</x:v>
      </x:c>
      <x:c r="G895" s="10" t="n">
        <x:v>1</x:v>
      </x:c>
      <x:c r="H895" s="10" t="n">
        <x:f>IF(G895=1,E895-D895,"")</x:f>
        <x:v>6</x:v>
      </x:c>
      <x:c r="I895" s="10" t="n">
        <x:f>MIN(F895,9)</x:f>
        <x:v>6</x:v>
      </x:c>
      <x:c r="J895" s="19" t="n">
        <x:v>0.4</x:v>
      </x:c>
      <x:c r="K895" s="2" t="n">
        <x:v>7</x:v>
      </x:c>
      <x:c r="L895" s="19" t="n">
        <x:v>0.8</x:v>
      </x:c>
      <x:c r="M895" s="19" t="n">
        <x:v>0.75</x:v>
      </x:c>
    </x:row>
    <x:row r="896" ht="23" customHeight="1">
      <x:c r="A896" s="2" t="str">
        <x:v>D040_T07_C080_G075</x:v>
      </x:c>
      <x:c r="B896" s="2" t="str">
        <x:v>A0019</x:v>
      </x:c>
      <x:c r="C896" s="2" t="str">
        <x:v>圈内</x:v>
      </x:c>
      <x:c r="D896" s="10" t="n">
        <x:v>1</x:v>
      </x:c>
      <x:c r="E896" s="10" t="n">
        <x:v>7</x:v>
      </x:c>
      <x:c r="F896" s="10" t="n">
        <x:v>6</x:v>
      </x:c>
      <x:c r="G896" s="10" t="n">
        <x:v>1</x:v>
      </x:c>
      <x:c r="H896" s="10" t="n">
        <x:f>IF(G896=1,E896-D896,"")</x:f>
        <x:v>6</x:v>
      </x:c>
      <x:c r="I896" s="10" t="n">
        <x:f>MIN(F896,9)</x:f>
        <x:v>6</x:v>
      </x:c>
      <x:c r="J896" s="19" t="n">
        <x:v>0.4</x:v>
      </x:c>
      <x:c r="K896" s="2" t="n">
        <x:v>7</x:v>
      </x:c>
      <x:c r="L896" s="19" t="n">
        <x:v>0.8</x:v>
      </x:c>
      <x:c r="M896" s="19" t="n">
        <x:v>0.75</x:v>
      </x:c>
    </x:row>
    <x:row r="897" ht="23" customHeight="1">
      <x:c r="A897" s="2" t="str">
        <x:v>D040_T07_C080_G075</x:v>
      </x:c>
      <x:c r="B897" s="2" t="str">
        <x:v>A0020</x:v>
      </x:c>
      <x:c r="C897" s="2" t="str">
        <x:v>圈内</x:v>
      </x:c>
      <x:c r="D897" s="10" t="n">
        <x:v>1</x:v>
      </x:c>
      <x:c r="E897" s="10" t="n">
        <x:v>7</x:v>
      </x:c>
      <x:c r="F897" s="10" t="n">
        <x:v>6</x:v>
      </x:c>
      <x:c r="G897" s="10" t="n">
        <x:v>1</x:v>
      </x:c>
      <x:c r="H897" s="10" t="n">
        <x:f>IF(G897=1,E897-D897,"")</x:f>
        <x:v>6</x:v>
      </x:c>
      <x:c r="I897" s="10" t="n">
        <x:f>MIN(F897,9)</x:f>
        <x:v>6</x:v>
      </x:c>
      <x:c r="J897" s="19" t="n">
        <x:v>0.4</x:v>
      </x:c>
      <x:c r="K897" s="2" t="n">
        <x:v>7</x:v>
      </x:c>
      <x:c r="L897" s="19" t="n">
        <x:v>0.8</x:v>
      </x:c>
      <x:c r="M897" s="19" t="n">
        <x:v>0.75</x:v>
      </x:c>
    </x:row>
    <x:row r="898" ht="23" customHeight="1">
      <x:c r="A898" s="2" t="str">
        <x:v>D040_T07_C080_G075</x:v>
      </x:c>
      <x:c r="B898" s="2" t="str">
        <x:v>A0022</x:v>
      </x:c>
      <x:c r="C898" s="2" t="str">
        <x:v>圈内</x:v>
      </x:c>
      <x:c r="D898" s="10" t="n">
        <x:v>1</x:v>
      </x:c>
      <x:c r="E898" s="10" t="n">
        <x:v>7</x:v>
      </x:c>
      <x:c r="F898" s="10" t="n">
        <x:v>6</x:v>
      </x:c>
      <x:c r="G898" s="10" t="n">
        <x:v>1</x:v>
      </x:c>
      <x:c r="H898" s="10" t="n">
        <x:f>IF(G898=1,E898-D898,"")</x:f>
        <x:v>6</x:v>
      </x:c>
      <x:c r="I898" s="10" t="n">
        <x:f>MIN(F898,9)</x:f>
        <x:v>6</x:v>
      </x:c>
      <x:c r="J898" s="19" t="n">
        <x:v>0.4</x:v>
      </x:c>
      <x:c r="K898" s="2" t="n">
        <x:v>7</x:v>
      </x:c>
      <x:c r="L898" s="19" t="n">
        <x:v>0.8</x:v>
      </x:c>
      <x:c r="M898" s="19" t="n">
        <x:v>0.75</x:v>
      </x:c>
    </x:row>
    <x:row r="899" ht="23" customHeight="1">
      <x:c r="A899" s="2" t="str">
        <x:v>D040_T07_C080_G075</x:v>
      </x:c>
      <x:c r="B899" s="2" t="str">
        <x:v>A0023</x:v>
      </x:c>
      <x:c r="C899" s="2" t="str">
        <x:v>圈内</x:v>
      </x:c>
      <x:c r="D899" s="10" t="n">
        <x:v>1</x:v>
      </x:c>
      <x:c r="E899" s="10" t="n">
        <x:v>7</x:v>
      </x:c>
      <x:c r="F899" s="10" t="n">
        <x:v>6</x:v>
      </x:c>
      <x:c r="G899" s="10" t="n">
        <x:v>1</x:v>
      </x:c>
      <x:c r="H899" s="10" t="n">
        <x:f>IF(G899=1,E899-D899,"")</x:f>
        <x:v>6</x:v>
      </x:c>
      <x:c r="I899" s="10" t="n">
        <x:f>MIN(F899,9)</x:f>
        <x:v>6</x:v>
      </x:c>
      <x:c r="J899" s="19" t="n">
        <x:v>0.4</x:v>
      </x:c>
      <x:c r="K899" s="2" t="n">
        <x:v>7</x:v>
      </x:c>
      <x:c r="L899" s="19" t="n">
        <x:v>0.8</x:v>
      </x:c>
      <x:c r="M899" s="19" t="n">
        <x:v>0.75</x:v>
      </x:c>
    </x:row>
    <x:row r="900" ht="23" customHeight="1">
      <x:c r="A900" s="2" t="str">
        <x:v>D040_T07_C080_G075</x:v>
      </x:c>
      <x:c r="B900" s="2" t="str">
        <x:v>A0024</x:v>
      </x:c>
      <x:c r="C900" s="2" t="str">
        <x:v>圈内</x:v>
      </x:c>
      <x:c r="D900" s="10" t="n">
        <x:v>1</x:v>
      </x:c>
      <x:c r="E900" s="10" t="n">
        <x:v>8</x:v>
      </x:c>
      <x:c r="F900" s="10" t="n">
        <x:v>7</x:v>
      </x:c>
      <x:c r="G900" s="10" t="n">
        <x:v>1</x:v>
      </x:c>
      <x:c r="H900" s="10" t="n">
        <x:f>IF(G900=1,E900-D900,"")</x:f>
        <x:v>7</x:v>
      </x:c>
      <x:c r="I900" s="10" t="n">
        <x:f>MIN(F900,9)</x:f>
        <x:v>7</x:v>
      </x:c>
      <x:c r="J900" s="19" t="n">
        <x:v>0.4</x:v>
      </x:c>
      <x:c r="K900" s="2" t="n">
        <x:v>7</x:v>
      </x:c>
      <x:c r="L900" s="19" t="n">
        <x:v>0.8</x:v>
      </x:c>
      <x:c r="M900" s="19" t="n">
        <x:v>0.75</x:v>
      </x:c>
    </x:row>
    <x:row r="901" ht="23" customHeight="1">
      <x:c r="A901" s="2" t="str">
        <x:v>D040_T07_C080_G075</x:v>
      </x:c>
      <x:c r="B901" s="2" t="str">
        <x:v>A0025</x:v>
      </x:c>
      <x:c r="C901" s="2" t="str">
        <x:v>圈内</x:v>
      </x:c>
      <x:c r="D901" s="10" t="n">
        <x:v>1</x:v>
      </x:c>
      <x:c r="E901" s="10" t="n">
        <x:v>7</x:v>
      </x:c>
      <x:c r="F901" s="10" t="n">
        <x:v>6</x:v>
      </x:c>
      <x:c r="G901" s="10" t="n">
        <x:v>1</x:v>
      </x:c>
      <x:c r="H901" s="10" t="n">
        <x:f>IF(G901=1,E901-D901,"")</x:f>
        <x:v>6</x:v>
      </x:c>
      <x:c r="I901" s="10" t="n">
        <x:f>MIN(F901,9)</x:f>
        <x:v>6</x:v>
      </x:c>
      <x:c r="J901" s="19" t="n">
        <x:v>0.4</x:v>
      </x:c>
      <x:c r="K901" s="2" t="n">
        <x:v>7</x:v>
      </x:c>
      <x:c r="L901" s="19" t="n">
        <x:v>0.8</x:v>
      </x:c>
      <x:c r="M901" s="19" t="n">
        <x:v>0.75</x:v>
      </x:c>
    </x:row>
    <x:row r="902" ht="23" customHeight="1">
      <x:c r="A902" s="2" t="str">
        <x:v>D040_T07_C080_G075</x:v>
      </x:c>
      <x:c r="B902" s="2" t="str">
        <x:v>A0026</x:v>
      </x:c>
      <x:c r="C902" s="2" t="str">
        <x:v>圈内</x:v>
      </x:c>
      <x:c r="D902" s="10" t="n">
        <x:v>1</x:v>
      </x:c>
      <x:c r="E902" s="10" t="n">
        <x:v>7</x:v>
      </x:c>
      <x:c r="F902" s="10" t="n">
        <x:v>6</x:v>
      </x:c>
      <x:c r="G902" s="10" t="n">
        <x:v>1</x:v>
      </x:c>
      <x:c r="H902" s="10" t="n">
        <x:f>IF(G902=1,E902-D902,"")</x:f>
        <x:v>6</x:v>
      </x:c>
      <x:c r="I902" s="10" t="n">
        <x:f>MIN(F902,9)</x:f>
        <x:v>6</x:v>
      </x:c>
      <x:c r="J902" s="19" t="n">
        <x:v>0.4</x:v>
      </x:c>
      <x:c r="K902" s="2" t="n">
        <x:v>7</x:v>
      </x:c>
      <x:c r="L902" s="19" t="n">
        <x:v>0.8</x:v>
      </x:c>
      <x:c r="M902" s="19" t="n">
        <x:v>0.75</x:v>
      </x:c>
    </x:row>
    <x:row r="903" ht="23" customHeight="1">
      <x:c r="A903" s="2" t="str">
        <x:v>D040_T07_C080_G075</x:v>
      </x:c>
      <x:c r="B903" s="2" t="str">
        <x:v>A0027</x:v>
      </x:c>
      <x:c r="C903" s="2" t="str">
        <x:v>圈内</x:v>
      </x:c>
      <x:c r="D903" s="10" t="n">
        <x:v>1</x:v>
      </x:c>
      <x:c r="E903" s="10" t="n">
        <x:v>7</x:v>
      </x:c>
      <x:c r="F903" s="10" t="n">
        <x:v>6</x:v>
      </x:c>
      <x:c r="G903" s="10" t="n">
        <x:v>1</x:v>
      </x:c>
      <x:c r="H903" s="10" t="n">
        <x:f>IF(G903=1,E903-D903,"")</x:f>
        <x:v>6</x:v>
      </x:c>
      <x:c r="I903" s="10" t="n">
        <x:f>MIN(F903,9)</x:f>
        <x:v>6</x:v>
      </x:c>
      <x:c r="J903" s="19" t="n">
        <x:v>0.4</x:v>
      </x:c>
      <x:c r="K903" s="2" t="n">
        <x:v>7</x:v>
      </x:c>
      <x:c r="L903" s="19" t="n">
        <x:v>0.8</x:v>
      </x:c>
      <x:c r="M903" s="19" t="n">
        <x:v>0.75</x:v>
      </x:c>
    </x:row>
    <x:row r="904" ht="23" customHeight="1">
      <x:c r="A904" s="2" t="str">
        <x:v>D040_T07_C080_G075</x:v>
      </x:c>
      <x:c r="B904" s="2" t="str">
        <x:v>A0029</x:v>
      </x:c>
      <x:c r="C904" s="2" t="str">
        <x:v>圈内</x:v>
      </x:c>
      <x:c r="D904" s="10" t="n">
        <x:v>1</x:v>
      </x:c>
      <x:c r="E904" s="10" t="n">
        <x:v>8</x:v>
      </x:c>
      <x:c r="F904" s="10" t="n">
        <x:v>7</x:v>
      </x:c>
      <x:c r="G904" s="10" t="n">
        <x:v>1</x:v>
      </x:c>
      <x:c r="H904" s="10" t="n">
        <x:f>IF(G904=1,E904-D904,"")</x:f>
        <x:v>7</x:v>
      </x:c>
      <x:c r="I904" s="10" t="n">
        <x:f>MIN(F904,9)</x:f>
        <x:v>7</x:v>
      </x:c>
      <x:c r="J904" s="19" t="n">
        <x:v>0.4</x:v>
      </x:c>
      <x:c r="K904" s="2" t="n">
        <x:v>7</x:v>
      </x:c>
      <x:c r="L904" s="19" t="n">
        <x:v>0.8</x:v>
      </x:c>
      <x:c r="M904" s="19" t="n">
        <x:v>0.75</x:v>
      </x:c>
    </x:row>
    <x:row r="905" ht="23" customHeight="1">
      <x:c r="A905" s="2" t="str">
        <x:v>D040_T07_C080_G075</x:v>
      </x:c>
      <x:c r="B905" s="2" t="str">
        <x:v>A0030</x:v>
      </x:c>
      <x:c r="C905" s="2" t="str">
        <x:v>圈内</x:v>
      </x:c>
      <x:c r="D905" s="10" t="n">
        <x:v>1</x:v>
      </x:c>
      <x:c r="E905" s="10" t="n">
        <x:v>7</x:v>
      </x:c>
      <x:c r="F905" s="10" t="n">
        <x:v>6</x:v>
      </x:c>
      <x:c r="G905" s="10" t="n">
        <x:v>1</x:v>
      </x:c>
      <x:c r="H905" s="10" t="n">
        <x:f>IF(G905=1,E905-D905,"")</x:f>
        <x:v>6</x:v>
      </x:c>
      <x:c r="I905" s="10" t="n">
        <x:f>MIN(F905,9)</x:f>
        <x:v>6</x:v>
      </x:c>
      <x:c r="J905" s="19" t="n">
        <x:v>0.4</x:v>
      </x:c>
      <x:c r="K905" s="2" t="n">
        <x:v>7</x:v>
      </x:c>
      <x:c r="L905" s="19" t="n">
        <x:v>0.8</x:v>
      </x:c>
      <x:c r="M905" s="19" t="n">
        <x:v>0.75</x:v>
      </x:c>
    </x:row>
    <x:row r="906" ht="23" customHeight="1">
      <x:c r="A906" s="2" t="str">
        <x:v>D040_T07_C080_G075</x:v>
      </x:c>
      <x:c r="B906" s="2" t="str">
        <x:v>A0032</x:v>
      </x:c>
      <x:c r="C906" s="2" t="str">
        <x:v>圈内</x:v>
      </x:c>
      <x:c r="D906" s="10" t="n">
        <x:v>1</x:v>
      </x:c>
      <x:c r="E906" s="10" t="n">
        <x:v>7</x:v>
      </x:c>
      <x:c r="F906" s="10" t="n">
        <x:v>6</x:v>
      </x:c>
      <x:c r="G906" s="10" t="n">
        <x:v>1</x:v>
      </x:c>
      <x:c r="H906" s="10" t="n">
        <x:f>IF(G906=1,E906-D906,"")</x:f>
        <x:v>6</x:v>
      </x:c>
      <x:c r="I906" s="10" t="n">
        <x:f>MIN(F906,9)</x:f>
        <x:v>6</x:v>
      </x:c>
      <x:c r="J906" s="19" t="n">
        <x:v>0.4</x:v>
      </x:c>
      <x:c r="K906" s="2" t="n">
        <x:v>7</x:v>
      </x:c>
      <x:c r="L906" s="19" t="n">
        <x:v>0.8</x:v>
      </x:c>
      <x:c r="M906" s="19" t="n">
        <x:v>0.75</x:v>
      </x:c>
    </x:row>
    <x:row r="907" ht="23" customHeight="1">
      <x:c r="A907" s="2" t="str">
        <x:v>D040_T07_C080_G075</x:v>
      </x:c>
      <x:c r="B907" s="2" t="str">
        <x:v>A0033</x:v>
      </x:c>
      <x:c r="C907" s="2" t="str">
        <x:v>圈内</x:v>
      </x:c>
      <x:c r="D907" s="10" t="n">
        <x:v>1</x:v>
      </x:c>
      <x:c r="E907" s="10" t="n">
        <x:v>7</x:v>
      </x:c>
      <x:c r="F907" s="10" t="n">
        <x:v>6</x:v>
      </x:c>
      <x:c r="G907" s="10" t="n">
        <x:v>1</x:v>
      </x:c>
      <x:c r="H907" s="10" t="n">
        <x:f>IF(G907=1,E907-D907,"")</x:f>
        <x:v>6</x:v>
      </x:c>
      <x:c r="I907" s="10" t="n">
        <x:f>MIN(F907,9)</x:f>
        <x:v>6</x:v>
      </x:c>
      <x:c r="J907" s="19" t="n">
        <x:v>0.4</x:v>
      </x:c>
      <x:c r="K907" s="2" t="n">
        <x:v>7</x:v>
      </x:c>
      <x:c r="L907" s="19" t="n">
        <x:v>0.8</x:v>
      </x:c>
      <x:c r="M907" s="19" t="n">
        <x:v>0.75</x:v>
      </x:c>
    </x:row>
    <x:row r="908" ht="23" customHeight="1">
      <x:c r="A908" s="2" t="str">
        <x:v>D040_T07_C080_G075</x:v>
      </x:c>
      <x:c r="B908" s="2" t="str">
        <x:v>A0034</x:v>
      </x:c>
      <x:c r="C908" s="2" t="str">
        <x:v>圈内</x:v>
      </x:c>
      <x:c r="D908" s="10" t="n">
        <x:v>1</x:v>
      </x:c>
      <x:c r="E908" s="10" t="n">
        <x:v>7</x:v>
      </x:c>
      <x:c r="F908" s="10" t="n">
        <x:v>6</x:v>
      </x:c>
      <x:c r="G908" s="10" t="n">
        <x:v>1</x:v>
      </x:c>
      <x:c r="H908" s="10" t="n">
        <x:f>IF(G908=1,E908-D908,"")</x:f>
        <x:v>6</x:v>
      </x:c>
      <x:c r="I908" s="10" t="n">
        <x:f>MIN(F908,9)</x:f>
        <x:v>6</x:v>
      </x:c>
      <x:c r="J908" s="19" t="n">
        <x:v>0.4</x:v>
      </x:c>
      <x:c r="K908" s="2" t="n">
        <x:v>7</x:v>
      </x:c>
      <x:c r="L908" s="19" t="n">
        <x:v>0.8</x:v>
      </x:c>
      <x:c r="M908" s="19" t="n">
        <x:v>0.75</x:v>
      </x:c>
    </x:row>
    <x:row r="909" ht="23" customHeight="1">
      <x:c r="A909" s="2" t="str">
        <x:v>D040_T07_C080_G075</x:v>
      </x:c>
      <x:c r="B909" s="2" t="str">
        <x:v>A0035</x:v>
      </x:c>
      <x:c r="C909" s="2" t="str">
        <x:v>圈内</x:v>
      </x:c>
      <x:c r="D909" s="10" t="n">
        <x:v>1</x:v>
      </x:c>
      <x:c r="E909" s="10" t="n">
        <x:v>7</x:v>
      </x:c>
      <x:c r="F909" s="10" t="n">
        <x:v>6</x:v>
      </x:c>
      <x:c r="G909" s="10" t="n">
        <x:v>1</x:v>
      </x:c>
      <x:c r="H909" s="10" t="n">
        <x:f>IF(G909=1,E909-D909,"")</x:f>
        <x:v>6</x:v>
      </x:c>
      <x:c r="I909" s="10" t="n">
        <x:f>MIN(F909,9)</x:f>
        <x:v>6</x:v>
      </x:c>
      <x:c r="J909" s="19" t="n">
        <x:v>0.4</x:v>
      </x:c>
      <x:c r="K909" s="2" t="n">
        <x:v>7</x:v>
      </x:c>
      <x:c r="L909" s="19" t="n">
        <x:v>0.8</x:v>
      </x:c>
      <x:c r="M909" s="19" t="n">
        <x:v>0.75</x:v>
      </x:c>
    </x:row>
    <x:row r="910" ht="23" customHeight="1">
      <x:c r="A910" s="2" t="str">
        <x:v>D040_T07_C080_G075</x:v>
      </x:c>
      <x:c r="B910" s="2" t="str">
        <x:v>A0036</x:v>
      </x:c>
      <x:c r="C910" s="2" t="str">
        <x:v>圈内</x:v>
      </x:c>
      <x:c r="D910" s="10" t="n">
        <x:v>1</x:v>
      </x:c>
      <x:c r="E910" s="10" t="n">
        <x:v>7</x:v>
      </x:c>
      <x:c r="F910" s="10" t="n">
        <x:v>6</x:v>
      </x:c>
      <x:c r="G910" s="10" t="n">
        <x:v>1</x:v>
      </x:c>
      <x:c r="H910" s="10" t="n">
        <x:f>IF(G910=1,E910-D910,"")</x:f>
        <x:v>6</x:v>
      </x:c>
      <x:c r="I910" s="10" t="n">
        <x:f>MIN(F910,9)</x:f>
        <x:v>6</x:v>
      </x:c>
      <x:c r="J910" s="19" t="n">
        <x:v>0.4</x:v>
      </x:c>
      <x:c r="K910" s="2" t="n">
        <x:v>7</x:v>
      </x:c>
      <x:c r="L910" s="19" t="n">
        <x:v>0.8</x:v>
      </x:c>
      <x:c r="M910" s="19" t="n">
        <x:v>0.75</x:v>
      </x:c>
    </x:row>
    <x:row r="911" ht="23" customHeight="1">
      <x:c r="A911" s="2" t="str">
        <x:v>D040_T07_C080_G075</x:v>
      </x:c>
      <x:c r="B911" s="2" t="str">
        <x:v>A0037</x:v>
      </x:c>
      <x:c r="C911" s="2" t="str">
        <x:v>圈内</x:v>
      </x:c>
      <x:c r="D911" s="10" t="n">
        <x:v>1</x:v>
      </x:c>
      <x:c r="E911" s="10" t="n">
        <x:v>7</x:v>
      </x:c>
      <x:c r="F911" s="10" t="n">
        <x:v>6</x:v>
      </x:c>
      <x:c r="G911" s="10" t="n">
        <x:v>1</x:v>
      </x:c>
      <x:c r="H911" s="10" t="n">
        <x:f>IF(G911=1,E911-D911,"")</x:f>
        <x:v>6</x:v>
      </x:c>
      <x:c r="I911" s="10" t="n">
        <x:f>MIN(F911,9)</x:f>
        <x:v>6</x:v>
      </x:c>
      <x:c r="J911" s="19" t="n">
        <x:v>0.4</x:v>
      </x:c>
      <x:c r="K911" s="2" t="n">
        <x:v>7</x:v>
      </x:c>
      <x:c r="L911" s="19" t="n">
        <x:v>0.8</x:v>
      </x:c>
      <x:c r="M911" s="19" t="n">
        <x:v>0.75</x:v>
      </x:c>
    </x:row>
    <x:row r="912" ht="23" customHeight="1">
      <x:c r="A912" s="2" t="str">
        <x:v>D040_T07_C080_G075</x:v>
      </x:c>
      <x:c r="B912" s="2" t="str">
        <x:v>A0038</x:v>
      </x:c>
      <x:c r="C912" s="2" t="str">
        <x:v>圈内</x:v>
      </x:c>
      <x:c r="D912" s="10" t="n">
        <x:v>1</x:v>
      </x:c>
      <x:c r="E912" s="10" t="n">
        <x:v>7</x:v>
      </x:c>
      <x:c r="F912" s="10" t="n">
        <x:v>6</x:v>
      </x:c>
      <x:c r="G912" s="10" t="n">
        <x:v>1</x:v>
      </x:c>
      <x:c r="H912" s="10" t="n">
        <x:f>IF(G912=1,E912-D912,"")</x:f>
        <x:v>6</x:v>
      </x:c>
      <x:c r="I912" s="10" t="n">
        <x:f>MIN(F912,9)</x:f>
        <x:v>6</x:v>
      </x:c>
      <x:c r="J912" s="19" t="n">
        <x:v>0.4</x:v>
      </x:c>
      <x:c r="K912" s="2" t="n">
        <x:v>7</x:v>
      </x:c>
      <x:c r="L912" s="19" t="n">
        <x:v>0.8</x:v>
      </x:c>
      <x:c r="M912" s="19" t="n">
        <x:v>0.75</x:v>
      </x:c>
    </x:row>
    <x:row r="913" ht="23" customHeight="1">
      <x:c r="A913" s="2" t="str">
        <x:v>D040_T07_C080_G075</x:v>
      </x:c>
      <x:c r="B913" s="2" t="str">
        <x:v>A0040</x:v>
      </x:c>
      <x:c r="C913" s="2" t="str">
        <x:v>圈内</x:v>
      </x:c>
      <x:c r="D913" s="10" t="n">
        <x:v>1</x:v>
      </x:c>
      <x:c r="E913" s="10" t="n">
        <x:v>8</x:v>
      </x:c>
      <x:c r="F913" s="10" t="n">
        <x:v>7</x:v>
      </x:c>
      <x:c r="G913" s="10" t="n">
        <x:v>1</x:v>
      </x:c>
      <x:c r="H913" s="10" t="n">
        <x:f>IF(G913=1,E913-D913,"")</x:f>
        <x:v>7</x:v>
      </x:c>
      <x:c r="I913" s="10" t="n">
        <x:f>MIN(F913,9)</x:f>
        <x:v>7</x:v>
      </x:c>
      <x:c r="J913" s="19" t="n">
        <x:v>0.4</x:v>
      </x:c>
      <x:c r="K913" s="2" t="n">
        <x:v>7</x:v>
      </x:c>
      <x:c r="L913" s="19" t="n">
        <x:v>0.8</x:v>
      </x:c>
      <x:c r="M913" s="19" t="n">
        <x:v>0.75</x:v>
      </x:c>
    </x:row>
    <x:row r="914" ht="23" customHeight="1">
      <x:c r="A914" s="2" t="str">
        <x:v>D040_T07_C080_G075</x:v>
      </x:c>
      <x:c r="B914" s="2" t="str">
        <x:v>A0041</x:v>
      </x:c>
      <x:c r="C914" s="2" t="str">
        <x:v>圈内</x:v>
      </x:c>
      <x:c r="D914" s="10" t="n">
        <x:v>1</x:v>
      </x:c>
      <x:c r="E914" s="10" t="n">
        <x:v>7</x:v>
      </x:c>
      <x:c r="F914" s="10" t="n">
        <x:v>6</x:v>
      </x:c>
      <x:c r="G914" s="10" t="n">
        <x:v>1</x:v>
      </x:c>
      <x:c r="H914" s="10" t="n">
        <x:f>IF(G914=1,E914-D914,"")</x:f>
        <x:v>6</x:v>
      </x:c>
      <x:c r="I914" s="10" t="n">
        <x:f>MIN(F914,9)</x:f>
        <x:v>6</x:v>
      </x:c>
      <x:c r="J914" s="19" t="n">
        <x:v>0.4</x:v>
      </x:c>
      <x:c r="K914" s="2" t="n">
        <x:v>7</x:v>
      </x:c>
      <x:c r="L914" s="19" t="n">
        <x:v>0.8</x:v>
      </x:c>
      <x:c r="M914" s="19" t="n">
        <x:v>0.75</x:v>
      </x:c>
    </x:row>
    <x:row r="915" ht="23" customHeight="1">
      <x:c r="A915" s="2" t="str">
        <x:v>D040_T07_C080_G075</x:v>
      </x:c>
      <x:c r="B915" s="2" t="str">
        <x:v>A0071</x:v>
      </x:c>
      <x:c r="C915" s="2" t="str">
        <x:v>圈内</x:v>
      </x:c>
      <x:c r="D915" s="10" t="n">
        <x:v>1</x:v>
      </x:c>
      <x:c r="E915" s="10" t="n">
        <x:v>7</x:v>
      </x:c>
      <x:c r="F915" s="10" t="n">
        <x:v>6</x:v>
      </x:c>
      <x:c r="G915" s="10" t="n">
        <x:v>1</x:v>
      </x:c>
      <x:c r="H915" s="10" t="n">
        <x:f>IF(G915=1,E915-D915,"")</x:f>
        <x:v>6</x:v>
      </x:c>
      <x:c r="I915" s="10" t="n">
        <x:f>MIN(F915,9)</x:f>
        <x:v>6</x:v>
      </x:c>
      <x:c r="J915" s="19" t="n">
        <x:v>0.4</x:v>
      </x:c>
      <x:c r="K915" s="2" t="n">
        <x:v>7</x:v>
      </x:c>
      <x:c r="L915" s="19" t="n">
        <x:v>0.8</x:v>
      </x:c>
      <x:c r="M915" s="19" t="n">
        <x:v>0.75</x:v>
      </x:c>
    </x:row>
    <x:row r="916" ht="23" customHeight="1">
      <x:c r="A916" s="2" t="str">
        <x:v>D040_T07_C080_G075</x:v>
      </x:c>
      <x:c r="B916" s="2" t="str">
        <x:v>A0189</x:v>
      </x:c>
      <x:c r="C916" s="2" t="str">
        <x:v>圈内</x:v>
      </x:c>
      <x:c r="D916" s="10" t="n">
        <x:v>1</x:v>
      </x:c>
      <x:c r="E916" s="10" t="n">
        <x:v>8</x:v>
      </x:c>
      <x:c r="F916" s="10" t="n">
        <x:v>7</x:v>
      </x:c>
      <x:c r="G916" s="10" t="n">
        <x:v>1</x:v>
      </x:c>
      <x:c r="H916" s="10" t="n">
        <x:f>IF(G916=1,E916-D916,"")</x:f>
        <x:v>7</x:v>
      </x:c>
      <x:c r="I916" s="10" t="n">
        <x:f>MIN(F916,9)</x:f>
        <x:v>7</x:v>
      </x:c>
      <x:c r="J916" s="19" t="n">
        <x:v>0.4</x:v>
      </x:c>
      <x:c r="K916" s="2" t="n">
        <x:v>7</x:v>
      </x:c>
      <x:c r="L916" s="19" t="n">
        <x:v>0.8</x:v>
      </x:c>
      <x:c r="M916" s="19" t="n">
        <x:v>0.75</x:v>
      </x:c>
    </x:row>
    <x:row r="917" ht="23" customHeight="1">
      <x:c r="A917" s="2" t="str">
        <x:v>D040_T07_C080_G075</x:v>
      </x:c>
      <x:c r="B917" s="2" t="str">
        <x:v>A0206</x:v>
      </x:c>
      <x:c r="C917" s="2" t="str">
        <x:v>圈内</x:v>
      </x:c>
      <x:c r="D917" s="10" t="n">
        <x:v>1</x:v>
      </x:c>
      <x:c r="E917" s="10" t="n">
        <x:v>7</x:v>
      </x:c>
      <x:c r="F917" s="10" t="n">
        <x:v>6</x:v>
      </x:c>
      <x:c r="G917" s="10" t="n">
        <x:v>1</x:v>
      </x:c>
      <x:c r="H917" s="10" t="n">
        <x:f>IF(G917=1,E917-D917,"")</x:f>
        <x:v>6</x:v>
      </x:c>
      <x:c r="I917" s="10" t="n">
        <x:f>MIN(F917,9)</x:f>
        <x:v>6</x:v>
      </x:c>
      <x:c r="J917" s="19" t="n">
        <x:v>0.4</x:v>
      </x:c>
      <x:c r="K917" s="2" t="n">
        <x:v>7</x:v>
      </x:c>
      <x:c r="L917" s="19" t="n">
        <x:v>0.8</x:v>
      </x:c>
      <x:c r="M917" s="19" t="n">
        <x:v>0.75</x:v>
      </x:c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7" hidden="0" customWidth="1"/>
    <x:col min="4" max="4" width="18" hidden="0" customWidth="1"/>
    <x:col min="5" max="5" width="25" hidden="0" customWidth="1"/>
    <x:col min="6" max="6" width="25" hidden="0" customWidth="1"/>
    <x:col min="7" max="7" width="23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政府发布前一轮仍相信的队列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 t="str">
        <x:v>948条轨迹。发布当轮更新的等待为0。共同3轮窗口内的受限等待保留所有未转变者。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8" t="str">
        <x:v>情景ID</x:v>
      </x:c>
      <x:c r="B6" s="8" t="str">
        <x:v>用户ID</x:v>
      </x:c>
      <x:c r="C6" s="8" t="str">
        <x:v>发布轮RT</x:v>
      </x:c>
      <x:c r="D6" s="8" t="str">
        <x:v>首次不信轮</x:v>
      </x:c>
      <x:c r="E6" s="8" t="str">
        <x:v>等待或删失步数</x:v>
      </x:c>
      <x:c r="F6" s="8" t="str">
        <x:v>事件 1转变0删失</x:v>
      </x:c>
      <x:c r="G6" s="8" t="str">
        <x:v>3轮限制等待</x:v>
      </x:c>
      <x:c r="H6" s="8" t="str">
        <x:v>完整发布后随访</x:v>
      </x:c>
      <x:c r="I6" s="8" t="str">
        <x:v>DGC</x:v>
      </x:c>
      <x:c r="J6" s="8" t="str">
        <x:v>TC</x:v>
      </x:c>
      <x:c r="K6" s="8" t="str">
        <x:v>GC</x:v>
      </x:c>
    </x:row>
    <x:row r="7" ht="23" customHeight="1">
      <x:c r="A7" s="2" t="str">
        <x:v>D000_T02_C020_G025</x:v>
      </x:c>
      <x:c r="B7" s="2" t="str">
        <x:v>A0011</x:v>
      </x:c>
      <x:c r="C7" s="10" t="n">
        <x:v>2</x:v>
      </x:c>
      <x:c r="D7" s="10" t="n">
        <x:v>5</x:v>
      </x:c>
      <x:c r="E7" s="10" t="n">
        <x:v>3</x:v>
      </x:c>
      <x:c r="F7" s="10" t="n">
        <x:v>1</x:v>
      </x:c>
      <x:c r="G7" s="10" t="n">
        <x:f>MIN(E7,3)</x:f>
        <x:v>3</x:v>
      </x:c>
      <x:c r="H7" s="10" t="n">
        <x:v>8</x:v>
      </x:c>
      <x:c r="I7" s="19" t="n">
        <x:v>0</x:v>
      </x:c>
      <x:c r="J7" s="19" t="n">
        <x:v>0.2</x:v>
      </x:c>
      <x:c r="K7" s="19" t="n">
        <x:v>0.25</x:v>
      </x:c>
    </x:row>
    <x:row r="8" ht="23" customHeight="1">
      <x:c r="A8" s="2" t="str">
        <x:v>D000_T02_C020_G025</x:v>
      </x:c>
      <x:c r="B8" s="2" t="str">
        <x:v>A0018</x:v>
      </x:c>
      <x:c r="C8" s="10" t="n">
        <x:v>2</x:v>
      </x:c>
      <x:c r="D8" s="10" t="n">
        <x:v>6</x:v>
      </x:c>
      <x:c r="E8" s="10" t="n">
        <x:v>4</x:v>
      </x:c>
      <x:c r="F8" s="10" t="n">
        <x:v>1</x:v>
      </x:c>
      <x:c r="G8" s="10" t="n">
        <x:f>MIN(E8,3)</x:f>
        <x:v>3</x:v>
      </x:c>
      <x:c r="H8" s="10" t="n">
        <x:v>8</x:v>
      </x:c>
      <x:c r="I8" s="19" t="n">
        <x:v>0</x:v>
      </x:c>
      <x:c r="J8" s="19" t="n">
        <x:v>0.2</x:v>
      </x:c>
      <x:c r="K8" s="19" t="n">
        <x:v>0.25</x:v>
      </x:c>
    </x:row>
    <x:row r="9" ht="23" customHeight="1">
      <x:c r="A9" s="2" t="str">
        <x:v>D000_T02_C020_G025</x:v>
      </x:c>
      <x:c r="B9" s="2" t="str">
        <x:v>A0029</x:v>
      </x:c>
      <x:c r="C9" s="10" t="n">
        <x:v>2</x:v>
      </x:c>
      <x:c r="D9" s="10" t="n">
        <x:v>10</x:v>
      </x:c>
      <x:c r="E9" s="10" t="n">
        <x:v>8</x:v>
      </x:c>
      <x:c r="F9" s="10" t="n">
        <x:v>1</x:v>
      </x:c>
      <x:c r="G9" s="10" t="n">
        <x:f>MIN(E9,3)</x:f>
        <x:v>3</x:v>
      </x:c>
      <x:c r="H9" s="10" t="n">
        <x:v>8</x:v>
      </x:c>
      <x:c r="I9" s="19" t="n">
        <x:v>0</x:v>
      </x:c>
      <x:c r="J9" s="19" t="n">
        <x:v>0.2</x:v>
      </x:c>
      <x:c r="K9" s="19" t="n">
        <x:v>0.25</x:v>
      </x:c>
    </x:row>
    <x:row r="10" ht="23" customHeight="1">
      <x:c r="A10" s="2" t="str">
        <x:v>D000_T02_C020_G025</x:v>
      </x:c>
      <x:c r="B10" s="2" t="str">
        <x:v>A0032</x:v>
      </x:c>
      <x:c r="C10" s="10" t="n">
        <x:v>2</x:v>
      </x:c>
      <x:c r="D10" s="10" t="n">
        <x:v>5</x:v>
      </x:c>
      <x:c r="E10" s="10" t="n">
        <x:v>3</x:v>
      </x:c>
      <x:c r="F10" s="10" t="n">
        <x:v>1</x:v>
      </x:c>
      <x:c r="G10" s="10" t="n">
        <x:f>MIN(E10,3)</x:f>
        <x:v>3</x:v>
      </x:c>
      <x:c r="H10" s="10" t="n">
        <x:v>8</x:v>
      </x:c>
      <x:c r="I10" s="19" t="n">
        <x:v>0</x:v>
      </x:c>
      <x:c r="J10" s="19" t="n">
        <x:v>0.2</x:v>
      </x:c>
      <x:c r="K10" s="19" t="n">
        <x:v>0.25</x:v>
      </x:c>
    </x:row>
    <x:row r="11" ht="23" customHeight="1">
      <x:c r="A11" s="2" t="str">
        <x:v>D000_T02_C020_G050</x:v>
      </x:c>
      <x:c r="B11" s="2" t="str">
        <x:v>A0011</x:v>
      </x:c>
      <x:c r="C11" s="10" t="n">
        <x:v>2</x:v>
      </x:c>
      <x:c r="D11" s="10" t="n">
        <x:v>2</x:v>
      </x:c>
      <x:c r="E11" s="10" t="n">
        <x:v>0</x:v>
      </x:c>
      <x:c r="F11" s="10" t="n">
        <x:v>1</x:v>
      </x:c>
      <x:c r="G11" s="10" t="n">
        <x:f>MIN(E11,3)</x:f>
        <x:v>0</x:v>
      </x:c>
      <x:c r="H11" s="10" t="n">
        <x:v>8</x:v>
      </x:c>
      <x:c r="I11" s="19" t="n">
        <x:v>0</x:v>
      </x:c>
      <x:c r="J11" s="19" t="n">
        <x:v>0.2</x:v>
      </x:c>
      <x:c r="K11" s="19" t="n">
        <x:v>0.5</x:v>
      </x:c>
    </x:row>
    <x:row r="12" ht="23" customHeight="1">
      <x:c r="A12" s="2" t="str">
        <x:v>D000_T02_C020_G050</x:v>
      </x:c>
      <x:c r="B12" s="2" t="str">
        <x:v>A0014</x:v>
      </x:c>
      <x:c r="C12" s="10" t="n">
        <x:v>2</x:v>
      </x:c>
      <x:c r="D12" s="10" t="n">
        <x:v>2</x:v>
      </x:c>
      <x:c r="E12" s="10" t="n">
        <x:v>0</x:v>
      </x:c>
      <x:c r="F12" s="10" t="n">
        <x:v>1</x:v>
      </x:c>
      <x:c r="G12" s="10" t="n">
        <x:f>MIN(E12,3)</x:f>
        <x:v>0</x:v>
      </x:c>
      <x:c r="H12" s="10" t="n">
        <x:v>8</x:v>
      </x:c>
      <x:c r="I12" s="19" t="n">
        <x:v>0</x:v>
      </x:c>
      <x:c r="J12" s="19" t="n">
        <x:v>0.2</x:v>
      </x:c>
      <x:c r="K12" s="19" t="n">
        <x:v>0.5</x:v>
      </x:c>
    </x:row>
    <x:row r="13" ht="23" customHeight="1">
      <x:c r="A13" s="2" t="str">
        <x:v>D000_T02_C020_G050</x:v>
      </x:c>
      <x:c r="B13" s="2" t="str">
        <x:v>A0016</x:v>
      </x:c>
      <x:c r="C13" s="10" t="n">
        <x:v>2</x:v>
      </x:c>
      <x:c r="D13" s="10" t="n">
        <x:v>4</x:v>
      </x:c>
      <x:c r="E13" s="10" t="n">
        <x:v>2</x:v>
      </x:c>
      <x:c r="F13" s="10" t="n">
        <x:v>1</x:v>
      </x:c>
      <x:c r="G13" s="10" t="n">
        <x:f>MIN(E13,3)</x:f>
        <x:v>2</x:v>
      </x:c>
      <x:c r="H13" s="10" t="n">
        <x:v>8</x:v>
      </x:c>
      <x:c r="I13" s="19" t="n">
        <x:v>0</x:v>
      </x:c>
      <x:c r="J13" s="19" t="n">
        <x:v>0.2</x:v>
      </x:c>
      <x:c r="K13" s="19" t="n">
        <x:v>0.5</x:v>
      </x:c>
    </x:row>
    <x:row r="14" ht="23" customHeight="1">
      <x:c r="A14" s="2" t="str">
        <x:v>D000_T02_C020_G050</x:v>
      </x:c>
      <x:c r="B14" s="2" t="str">
        <x:v>A0017</x:v>
      </x:c>
      <x:c r="C14" s="10" t="n">
        <x:v>2</x:v>
      </x:c>
      <x:c r="D14" s="10" t="n">
        <x:v>10</x:v>
      </x:c>
      <x:c r="E14" s="10" t="n">
        <x:v>8</x:v>
      </x:c>
      <x:c r="F14" s="10" t="n">
        <x:v>1</x:v>
      </x:c>
      <x:c r="G14" s="10" t="n">
        <x:f>MIN(E14,3)</x:f>
        <x:v>3</x:v>
      </x:c>
      <x:c r="H14" s="10" t="n">
        <x:v>8</x:v>
      </x:c>
      <x:c r="I14" s="19" t="n">
        <x:v>0</x:v>
      </x:c>
      <x:c r="J14" s="19" t="n">
        <x:v>0.2</x:v>
      </x:c>
      <x:c r="K14" s="19" t="n">
        <x:v>0.5</x:v>
      </x:c>
    </x:row>
    <x:row r="15" ht="23" customHeight="1">
      <x:c r="A15" s="2" t="str">
        <x:v>D000_T02_C020_G050</x:v>
      </x:c>
      <x:c r="B15" s="2" t="str">
        <x:v>A0018</x:v>
      </x:c>
      <x:c r="C15" s="10" t="n">
        <x:v>2</x:v>
      </x:c>
      <x:c r="D15" s="10" t="n">
        <x:v>10</x:v>
      </x:c>
      <x:c r="E15" s="10" t="n">
        <x:v>8</x:v>
      </x:c>
      <x:c r="F15" s="10" t="n">
        <x:v>1</x:v>
      </x:c>
      <x:c r="G15" s="10" t="n">
        <x:f>MIN(E15,3)</x:f>
        <x:v>3</x:v>
      </x:c>
      <x:c r="H15" s="10" t="n">
        <x:v>8</x:v>
      </x:c>
      <x:c r="I15" s="19" t="n">
        <x:v>0</x:v>
      </x:c>
      <x:c r="J15" s="19" t="n">
        <x:v>0.2</x:v>
      </x:c>
      <x:c r="K15" s="19" t="n">
        <x:v>0.5</x:v>
      </x:c>
    </x:row>
    <x:row r="16" ht="23" customHeight="1">
      <x:c r="A16" s="2" t="str">
        <x:v>D000_T02_C020_G050</x:v>
      </x:c>
      <x:c r="B16" s="2" t="str">
        <x:v>A0029</x:v>
      </x:c>
      <x:c r="C16" s="10" t="n">
        <x:v>2</x:v>
      </x:c>
      <x:c r="D16" s="10" t="n">
        <x:v>4</x:v>
      </x:c>
      <x:c r="E16" s="10" t="n">
        <x:v>2</x:v>
      </x:c>
      <x:c r="F16" s="10" t="n">
        <x:v>1</x:v>
      </x:c>
      <x:c r="G16" s="10" t="n">
        <x:f>MIN(E16,3)</x:f>
        <x:v>2</x:v>
      </x:c>
      <x:c r="H16" s="10" t="n">
        <x:v>8</x:v>
      </x:c>
      <x:c r="I16" s="19" t="n">
        <x:v>0</x:v>
      </x:c>
      <x:c r="J16" s="19" t="n">
        <x:v>0.2</x:v>
      </x:c>
      <x:c r="K16" s="19" t="n">
        <x:v>0.5</x:v>
      </x:c>
    </x:row>
    <x:row r="17" ht="23" customHeight="1">
      <x:c r="A17" s="2" t="str">
        <x:v>D000_T02_C020_G050</x:v>
      </x:c>
      <x:c r="B17" s="2" t="str">
        <x:v>A0040</x:v>
      </x:c>
      <x:c r="C17" s="10" t="n">
        <x:v>2</x:v>
      </x:c>
      <x:c r="D17" s="10" t="n">
        <x:v>4</x:v>
      </x:c>
      <x:c r="E17" s="10" t="n">
        <x:v>2</x:v>
      </x:c>
      <x:c r="F17" s="10" t="n">
        <x:v>1</x:v>
      </x:c>
      <x:c r="G17" s="10" t="n">
        <x:f>MIN(E17,3)</x:f>
        <x:v>2</x:v>
      </x:c>
      <x:c r="H17" s="10" t="n">
        <x:v>8</x:v>
      </x:c>
      <x:c r="I17" s="19" t="n">
        <x:v>0</x:v>
      </x:c>
      <x:c r="J17" s="19" t="n">
        <x:v>0.2</x:v>
      </x:c>
      <x:c r="K17" s="19" t="n">
        <x:v>0.5</x:v>
      </x:c>
    </x:row>
    <x:row r="18" ht="23" customHeight="1">
      <x:c r="A18" s="2" t="str">
        <x:v>D000_T02_C020_G075</x:v>
      </x:c>
      <x:c r="B18" s="2" t="str">
        <x:v>A0011</x:v>
      </x:c>
      <x:c r="C18" s="10" t="n">
        <x:v>2</x:v>
      </x:c>
      <x:c r="D18" s="10" t="n">
        <x:v>2</x:v>
      </x:c>
      <x:c r="E18" s="10" t="n">
        <x:v>0</x:v>
      </x:c>
      <x:c r="F18" s="10" t="n">
        <x:v>1</x:v>
      </x:c>
      <x:c r="G18" s="10" t="n">
        <x:f>MIN(E18,3)</x:f>
        <x:v>0</x:v>
      </x:c>
      <x:c r="H18" s="10" t="n">
        <x:v>8</x:v>
      </x:c>
      <x:c r="I18" s="19" t="n">
        <x:v>0</x:v>
      </x:c>
      <x:c r="J18" s="19" t="n">
        <x:v>0.2</x:v>
      </x:c>
      <x:c r="K18" s="19" t="n">
        <x:v>0.75</x:v>
      </x:c>
    </x:row>
    <x:row r="19" ht="23" customHeight="1">
      <x:c r="A19" s="2" t="str">
        <x:v>D000_T02_C020_G075</x:v>
      </x:c>
      <x:c r="B19" s="2" t="str">
        <x:v>A0012</x:v>
      </x:c>
      <x:c r="C19" s="10" t="n">
        <x:v>2</x:v>
      </x:c>
      <x:c r="D19" s="10" t="n">
        <x:v>5</x:v>
      </x:c>
      <x:c r="E19" s="10" t="n">
        <x:v>3</x:v>
      </x:c>
      <x:c r="F19" s="10" t="n">
        <x:v>1</x:v>
      </x:c>
      <x:c r="G19" s="10" t="n">
        <x:f>MIN(E19,3)</x:f>
        <x:v>3</x:v>
      </x:c>
      <x:c r="H19" s="10" t="n">
        <x:v>8</x:v>
      </x:c>
      <x:c r="I19" s="19" t="n">
        <x:v>0</x:v>
      </x:c>
      <x:c r="J19" s="19" t="n">
        <x:v>0.2</x:v>
      </x:c>
      <x:c r="K19" s="19" t="n">
        <x:v>0.75</x:v>
      </x:c>
    </x:row>
    <x:row r="20" ht="23" customHeight="1">
      <x:c r="A20" s="2" t="str">
        <x:v>D000_T02_C020_G075</x:v>
      </x:c>
      <x:c r="B20" s="2" t="str">
        <x:v>A0041</x:v>
      </x:c>
      <x:c r="C20" s="10" t="n">
        <x:v>2</x:v>
      </x:c>
      <x:c r="D20" s="10" t="n">
        <x:v>3</x:v>
      </x:c>
      <x:c r="E20" s="10" t="n">
        <x:v>1</x:v>
      </x:c>
      <x:c r="F20" s="10" t="n">
        <x:v>1</x:v>
      </x:c>
      <x:c r="G20" s="10" t="n">
        <x:f>MIN(E20,3)</x:f>
        <x:v>1</x:v>
      </x:c>
      <x:c r="H20" s="10" t="n">
        <x:v>8</x:v>
      </x:c>
      <x:c r="I20" s="19" t="n">
        <x:v>0</x:v>
      </x:c>
      <x:c r="J20" s="19" t="n">
        <x:v>0.2</x:v>
      </x:c>
      <x:c r="K20" s="19" t="n">
        <x:v>0.75</x:v>
      </x:c>
    </x:row>
    <x:row r="21" ht="23" customHeight="1">
      <x:c r="A21" s="2" t="str">
        <x:v>D000_T02_C080_G025</x:v>
      </x:c>
      <x:c r="B21" s="2" t="str">
        <x:v>A0011</x:v>
      </x:c>
      <x:c r="C21" s="10" t="n">
        <x:v>2</x:v>
      </x:c>
      <x:c r="D21" s="10" t="n">
        <x:v>5</x:v>
      </x:c>
      <x:c r="E21" s="10" t="n">
        <x:v>3</x:v>
      </x:c>
      <x:c r="F21" s="10" t="n">
        <x:v>1</x:v>
      </x:c>
      <x:c r="G21" s="10" t="n">
        <x:f>MIN(E21,3)</x:f>
        <x:v>3</x:v>
      </x:c>
      <x:c r="H21" s="10" t="n">
        <x:v>8</x:v>
      </x:c>
      <x:c r="I21" s="19" t="n">
        <x:v>0</x:v>
      </x:c>
      <x:c r="J21" s="19" t="n">
        <x:v>0.8</x:v>
      </x:c>
      <x:c r="K21" s="19" t="n">
        <x:v>0.25</x:v>
      </x:c>
    </x:row>
    <x:row r="22" ht="23" customHeight="1">
      <x:c r="A22" s="2" t="str">
        <x:v>D000_T02_C080_G025</x:v>
      </x:c>
      <x:c r="B22" s="2" t="str">
        <x:v>A0017</x:v>
      </x:c>
      <x:c r="C22" s="10" t="n">
        <x:v>2</x:v>
      </x:c>
      <x:c r="D22" s="10" t="n">
        <x:v>3</x:v>
      </x:c>
      <x:c r="E22" s="10" t="n">
        <x:v>1</x:v>
      </x:c>
      <x:c r="F22" s="10" t="n">
        <x:v>1</x:v>
      </x:c>
      <x:c r="G22" s="10" t="n">
        <x:f>MIN(E22,3)</x:f>
        <x:v>1</x:v>
      </x:c>
      <x:c r="H22" s="10" t="n">
        <x:v>8</x:v>
      </x:c>
      <x:c r="I22" s="19" t="n">
        <x:v>0</x:v>
      </x:c>
      <x:c r="J22" s="19" t="n">
        <x:v>0.8</x:v>
      </x:c>
      <x:c r="K22" s="19" t="n">
        <x:v>0.25</x:v>
      </x:c>
    </x:row>
    <x:row r="23" ht="23" customHeight="1">
      <x:c r="A23" s="2" t="str">
        <x:v>D000_T02_C080_G025</x:v>
      </x:c>
      <x:c r="B23" s="2" t="str">
        <x:v>A0018</x:v>
      </x:c>
      <x:c r="C23" s="10" t="n">
        <x:v>2</x:v>
      </x:c>
      <x:c r="D23" s="10" t="n">
        <x:v>3</x:v>
      </x:c>
      <x:c r="E23" s="10" t="n">
        <x:v>1</x:v>
      </x:c>
      <x:c r="F23" s="10" t="n">
        <x:v>1</x:v>
      </x:c>
      <x:c r="G23" s="10" t="n">
        <x:f>MIN(E23,3)</x:f>
        <x:v>1</x:v>
      </x:c>
      <x:c r="H23" s="10" t="n">
        <x:v>8</x:v>
      </x:c>
      <x:c r="I23" s="19" t="n">
        <x:v>0</x:v>
      </x:c>
      <x:c r="J23" s="19" t="n">
        <x:v>0.8</x:v>
      </x:c>
      <x:c r="K23" s="19" t="n">
        <x:v>0.25</x:v>
      </x:c>
    </x:row>
    <x:row r="24" ht="23" customHeight="1">
      <x:c r="A24" s="2" t="str">
        <x:v>D000_T02_C080_G050</x:v>
      </x:c>
      <x:c r="B24" s="2" t="str">
        <x:v>A0011</x:v>
      </x:c>
      <x:c r="C24" s="10" t="n">
        <x:v>2</x:v>
      </x:c>
      <x:c r="D24" s="10" t="n">
        <x:v>3</x:v>
      </x:c>
      <x:c r="E24" s="10" t="n">
        <x:v>1</x:v>
      </x:c>
      <x:c r="F24" s="10" t="n">
        <x:v>1</x:v>
      </x:c>
      <x:c r="G24" s="10" t="n">
        <x:f>MIN(E24,3)</x:f>
        <x:v>1</x:v>
      </x:c>
      <x:c r="H24" s="10" t="n">
        <x:v>8</x:v>
      </x:c>
      <x:c r="I24" s="19" t="n">
        <x:v>0</x:v>
      </x:c>
      <x:c r="J24" s="19" t="n">
        <x:v>0.8</x:v>
      </x:c>
      <x:c r="K24" s="19" t="n">
        <x:v>0.5</x:v>
      </x:c>
    </x:row>
    <x:row r="25" ht="23" customHeight="1">
      <x:c r="A25" s="2" t="str">
        <x:v>D000_T02_C080_G050</x:v>
      </x:c>
      <x:c r="B25" s="2" t="str">
        <x:v>A0012</x:v>
      </x:c>
      <x:c r="C25" s="10" t="n">
        <x:v>2</x:v>
      </x:c>
      <x:c r="D25" s="10" t="n">
        <x:v>7</x:v>
      </x:c>
      <x:c r="E25" s="10" t="n">
        <x:v>5</x:v>
      </x:c>
      <x:c r="F25" s="10" t="n">
        <x:v>1</x:v>
      </x:c>
      <x:c r="G25" s="10" t="n">
        <x:f>MIN(E25,3)</x:f>
        <x:v>3</x:v>
      </x:c>
      <x:c r="H25" s="10" t="n">
        <x:v>8</x:v>
      </x:c>
      <x:c r="I25" s="19" t="n">
        <x:v>0</x:v>
      </x:c>
      <x:c r="J25" s="19" t="n">
        <x:v>0.8</x:v>
      </x:c>
      <x:c r="K25" s="19" t="n">
        <x:v>0.5</x:v>
      </x:c>
    </x:row>
    <x:row r="26" ht="23" customHeight="1">
      <x:c r="A26" s="2" t="str">
        <x:v>D000_T02_C080_G050</x:v>
      </x:c>
      <x:c r="B26" s="2" t="str">
        <x:v>A0034</x:v>
      </x:c>
      <x:c r="C26" s="10" t="n">
        <x:v>2</x:v>
      </x:c>
      <x:c r="D26" s="10" t="n">
        <x:v>2</x:v>
      </x:c>
      <x:c r="E26" s="10" t="n">
        <x:v>0</x:v>
      </x:c>
      <x:c r="F26" s="10" t="n">
        <x:v>1</x:v>
      </x:c>
      <x:c r="G26" s="10" t="n">
        <x:f>MIN(E26,3)</x:f>
        <x:v>0</x:v>
      </x:c>
      <x:c r="H26" s="10" t="n">
        <x:v>8</x:v>
      </x:c>
      <x:c r="I26" s="19" t="n">
        <x:v>0</x:v>
      </x:c>
      <x:c r="J26" s="19" t="n">
        <x:v>0.8</x:v>
      </x:c>
      <x:c r="K26" s="19" t="n">
        <x:v>0.5</x:v>
      </x:c>
    </x:row>
    <x:row r="27" ht="23" customHeight="1">
      <x:c r="A27" s="2" t="str">
        <x:v>D000_T02_C080_G050</x:v>
      </x:c>
      <x:c r="B27" s="2" t="str">
        <x:v>A0035</x:v>
      </x:c>
      <x:c r="C27" s="10" t="n">
        <x:v>2</x:v>
      </x:c>
      <x:c r="D27" s="10" t="n">
        <x:v>2</x:v>
      </x:c>
      <x:c r="E27" s="10" t="n">
        <x:v>0</x:v>
      </x:c>
      <x:c r="F27" s="10" t="n">
        <x:v>1</x:v>
      </x:c>
      <x:c r="G27" s="10" t="n">
        <x:f>MIN(E27,3)</x:f>
        <x:v>0</x:v>
      </x:c>
      <x:c r="H27" s="10" t="n">
        <x:v>8</x:v>
      </x:c>
      <x:c r="I27" s="19" t="n">
        <x:v>0</x:v>
      </x:c>
      <x:c r="J27" s="19" t="n">
        <x:v>0.8</x:v>
      </x:c>
      <x:c r="K27" s="19" t="n">
        <x:v>0.5</x:v>
      </x:c>
    </x:row>
    <x:row r="28" ht="23" customHeight="1">
      <x:c r="A28" s="2" t="str">
        <x:v>D000_T02_C080_G050</x:v>
      </x:c>
      <x:c r="B28" s="2" t="str">
        <x:v>A0040</x:v>
      </x:c>
      <x:c r="C28" s="10" t="n">
        <x:v>2</x:v>
      </x:c>
      <x:c r="D28" s="10" t="n">
        <x:v>2</x:v>
      </x:c>
      <x:c r="E28" s="10" t="n">
        <x:v>0</x:v>
      </x:c>
      <x:c r="F28" s="10" t="n">
        <x:v>1</x:v>
      </x:c>
      <x:c r="G28" s="10" t="n">
        <x:f>MIN(E28,3)</x:f>
        <x:v>0</x:v>
      </x:c>
      <x:c r="H28" s="10" t="n">
        <x:v>8</x:v>
      </x:c>
      <x:c r="I28" s="19" t="n">
        <x:v>0</x:v>
      </x:c>
      <x:c r="J28" s="19" t="n">
        <x:v>0.8</x:v>
      </x:c>
      <x:c r="K28" s="19" t="n">
        <x:v>0.5</x:v>
      </x:c>
    </x:row>
    <x:row r="29" ht="23" customHeight="1">
      <x:c r="A29" s="2" t="str">
        <x:v>D000_T02_C080_G075</x:v>
      </x:c>
      <x:c r="B29" s="2" t="str">
        <x:v>A0005</x:v>
      </x:c>
      <x:c r="C29" s="10" t="n">
        <x:v>2</x:v>
      </x:c>
      <x:c r="D29" s="10" t="n">
        <x:v>2</x:v>
      </x:c>
      <x:c r="E29" s="10" t="n">
        <x:v>0</x:v>
      </x:c>
      <x:c r="F29" s="10" t="n">
        <x:v>1</x:v>
      </x:c>
      <x:c r="G29" s="10" t="n">
        <x:f>MIN(E29,3)</x:f>
        <x:v>0</x:v>
      </x:c>
      <x:c r="H29" s="10" t="n">
        <x:v>8</x:v>
      </x:c>
      <x:c r="I29" s="19" t="n">
        <x:v>0</x:v>
      </x:c>
      <x:c r="J29" s="19" t="n">
        <x:v>0.8</x:v>
      </x:c>
      <x:c r="K29" s="19" t="n">
        <x:v>0.75</x:v>
      </x:c>
    </x:row>
    <x:row r="30" ht="23" customHeight="1">
      <x:c r="A30" s="2" t="str">
        <x:v>D000_T02_C080_G075</x:v>
      </x:c>
      <x:c r="B30" s="2" t="str">
        <x:v>A0011</x:v>
      </x:c>
      <x:c r="C30" s="10" t="n">
        <x:v>2</x:v>
      </x:c>
      <x:c r="D30" s="10" t="n">
        <x:v>3</x:v>
      </x:c>
      <x:c r="E30" s="10" t="n">
        <x:v>1</x:v>
      </x:c>
      <x:c r="F30" s="10" t="n">
        <x:v>1</x:v>
      </x:c>
      <x:c r="G30" s="10" t="n">
        <x:f>MIN(E30,3)</x:f>
        <x:v>1</x:v>
      </x:c>
      <x:c r="H30" s="10" t="n">
        <x:v>8</x:v>
      </x:c>
      <x:c r="I30" s="19" t="n">
        <x:v>0</x:v>
      </x:c>
      <x:c r="J30" s="19" t="n">
        <x:v>0.8</x:v>
      </x:c>
      <x:c r="K30" s="19" t="n">
        <x:v>0.75</x:v>
      </x:c>
    </x:row>
    <x:row r="31" ht="23" customHeight="1">
      <x:c r="A31" s="2" t="str">
        <x:v>D000_T02_C080_G075</x:v>
      </x:c>
      <x:c r="B31" s="2" t="str">
        <x:v>A0012</x:v>
      </x:c>
      <x:c r="C31" s="10" t="n">
        <x:v>2</x:v>
      </x:c>
      <x:c r="D31" s="10" t="n">
        <x:v>2</x:v>
      </x:c>
      <x:c r="E31" s="10" t="n">
        <x:v>0</x:v>
      </x:c>
      <x:c r="F31" s="10" t="n">
        <x:v>1</x:v>
      </x:c>
      <x:c r="G31" s="10" t="n">
        <x:f>MIN(E31,3)</x:f>
        <x:v>0</x:v>
      </x:c>
      <x:c r="H31" s="10" t="n">
        <x:v>8</x:v>
      </x:c>
      <x:c r="I31" s="19" t="n">
        <x:v>0</x:v>
      </x:c>
      <x:c r="J31" s="19" t="n">
        <x:v>0.8</x:v>
      </x:c>
      <x:c r="K31" s="19" t="n">
        <x:v>0.75</x:v>
      </x:c>
    </x:row>
    <x:row r="32" ht="23" customHeight="1">
      <x:c r="A32" s="2" t="str">
        <x:v>D000_T02_C080_G075</x:v>
      </x:c>
      <x:c r="B32" s="2" t="str">
        <x:v>A0017</x:v>
      </x:c>
      <x:c r="C32" s="10" t="n">
        <x:v>2</x:v>
      </x:c>
      <x:c r="D32" s="10" t="n">
        <x:v>4</x:v>
      </x:c>
      <x:c r="E32" s="10" t="n">
        <x:v>2</x:v>
      </x:c>
      <x:c r="F32" s="10" t="n">
        <x:v>1</x:v>
      </x:c>
      <x:c r="G32" s="10" t="n">
        <x:f>MIN(E32,3)</x:f>
        <x:v>2</x:v>
      </x:c>
      <x:c r="H32" s="10" t="n">
        <x:v>8</x:v>
      </x:c>
      <x:c r="I32" s="19" t="n">
        <x:v>0</x:v>
      </x:c>
      <x:c r="J32" s="19" t="n">
        <x:v>0.8</x:v>
      </x:c>
      <x:c r="K32" s="19" t="n">
        <x:v>0.75</x:v>
      </x:c>
    </x:row>
    <x:row r="33" ht="23" customHeight="1">
      <x:c r="A33" s="2" t="str">
        <x:v>D000_T02_C080_G075</x:v>
      </x:c>
      <x:c r="B33" s="2" t="str">
        <x:v>A0018</x:v>
      </x:c>
      <x:c r="C33" s="10" t="n">
        <x:v>2</x:v>
      </x:c>
      <x:c r="D33" s="10" t="n">
        <x:v>2</x:v>
      </x:c>
      <x:c r="E33" s="10" t="n">
        <x:v>0</x:v>
      </x:c>
      <x:c r="F33" s="10" t="n">
        <x:v>1</x:v>
      </x:c>
      <x:c r="G33" s="10" t="n">
        <x:f>MIN(E33,3)</x:f>
        <x:v>0</x:v>
      </x:c>
      <x:c r="H33" s="10" t="n">
        <x:v>8</x:v>
      </x:c>
      <x:c r="I33" s="19" t="n">
        <x:v>0</x:v>
      </x:c>
      <x:c r="J33" s="19" t="n">
        <x:v>0.8</x:v>
      </x:c>
      <x:c r="K33" s="19" t="n">
        <x:v>0.75</x:v>
      </x:c>
    </x:row>
    <x:row r="34" ht="23" customHeight="1">
      <x:c r="A34" s="2" t="str">
        <x:v>D000_T02_C080_G075</x:v>
      </x:c>
      <x:c r="B34" s="2" t="str">
        <x:v>A0040</x:v>
      </x:c>
      <x:c r="C34" s="10" t="n">
        <x:v>2</x:v>
      </x:c>
      <x:c r="D34" s="10" t="n">
        <x:v>2</x:v>
      </x:c>
      <x:c r="E34" s="10" t="n">
        <x:v>0</x:v>
      </x:c>
      <x:c r="F34" s="10" t="n">
        <x:v>1</x:v>
      </x:c>
      <x:c r="G34" s="10" t="n">
        <x:f>MIN(E34,3)</x:f>
        <x:v>0</x:v>
      </x:c>
      <x:c r="H34" s="10" t="n">
        <x:v>8</x:v>
      </x:c>
      <x:c r="I34" s="19" t="n">
        <x:v>0</x:v>
      </x:c>
      <x:c r="J34" s="19" t="n">
        <x:v>0.8</x:v>
      </x:c>
      <x:c r="K34" s="19" t="n">
        <x:v>0.75</x:v>
      </x:c>
    </x:row>
    <x:row r="35" ht="23" customHeight="1">
      <x:c r="A35" s="2" t="str">
        <x:v>D000_T02_C080_G075</x:v>
      </x:c>
      <x:c r="B35" s="2" t="str">
        <x:v>A0041</x:v>
      </x:c>
      <x:c r="C35" s="10" t="n">
        <x:v>2</x:v>
      </x:c>
      <x:c r="D35" s="10" t="n">
        <x:v>2</x:v>
      </x:c>
      <x:c r="E35" s="10" t="n">
        <x:v>0</x:v>
      </x:c>
      <x:c r="F35" s="10" t="n">
        <x:v>1</x:v>
      </x:c>
      <x:c r="G35" s="10" t="n">
        <x:f>MIN(E35,3)</x:f>
        <x:v>0</x:v>
      </x:c>
      <x:c r="H35" s="10" t="n">
        <x:v>8</x:v>
      </x:c>
      <x:c r="I35" s="19" t="n">
        <x:v>0</x:v>
      </x:c>
      <x:c r="J35" s="19" t="n">
        <x:v>0.8</x:v>
      </x:c>
      <x:c r="K35" s="19" t="n">
        <x:v>0.75</x:v>
      </x:c>
    </x:row>
    <x:row r="36" ht="23" customHeight="1">
      <x:c r="A36" s="2" t="str">
        <x:v>D000_T02_C080_G075</x:v>
      </x:c>
      <x:c r="B36" s="2" t="str">
        <x:v>A0206</x:v>
      </x:c>
      <x:c r="C36" s="10" t="n">
        <x:v>2</x:v>
      </x:c>
      <x:c r="D36" s="10" t="n">
        <x:v>2</x:v>
      </x:c>
      <x:c r="E36" s="10" t="n">
        <x:v>0</x:v>
      </x:c>
      <x:c r="F36" s="10" t="n">
        <x:v>1</x:v>
      </x:c>
      <x:c r="G36" s="10" t="n">
        <x:f>MIN(E36,3)</x:f>
        <x:v>0</x:v>
      </x:c>
      <x:c r="H36" s="10" t="n">
        <x:v>8</x:v>
      </x:c>
      <x:c r="I36" s="19" t="n">
        <x:v>0</x:v>
      </x:c>
      <x:c r="J36" s="19" t="n">
        <x:v>0.8</x:v>
      </x:c>
      <x:c r="K36" s="19" t="n">
        <x:v>0.75</x:v>
      </x:c>
    </x:row>
    <x:row r="37" ht="23" customHeight="1">
      <x:c r="A37" s="2" t="str">
        <x:v>D000_T04_C020_G025</x:v>
      </x:c>
      <x:c r="B37" s="2" t="str">
        <x:v>A0001</x:v>
      </x:c>
      <x:c r="C37" s="10" t="n">
        <x:v>4</x:v>
      </x:c>
      <x:c r="D37" s="10" t="n">
        <x:v>6</x:v>
      </x:c>
      <x:c r="E37" s="10" t="n">
        <x:v>2</x:v>
      </x:c>
      <x:c r="F37" s="10" t="n">
        <x:v>1</x:v>
      </x:c>
      <x:c r="G37" s="10" t="n">
        <x:f>MIN(E37,3)</x:f>
        <x:v>2</x:v>
      </x:c>
      <x:c r="H37" s="10" t="n">
        <x:v>6</x:v>
      </x:c>
      <x:c r="I37" s="19" t="n">
        <x:v>0</x:v>
      </x:c>
      <x:c r="J37" s="19" t="n">
        <x:v>0.2</x:v>
      </x:c>
      <x:c r="K37" s="19" t="n">
        <x:v>0.25</x:v>
      </x:c>
    </x:row>
    <x:row r="38" ht="23" customHeight="1">
      <x:c r="A38" s="2" t="str">
        <x:v>D000_T04_C020_G025</x:v>
      </x:c>
      <x:c r="B38" s="2" t="str">
        <x:v>A0011</x:v>
      </x:c>
      <x:c r="C38" s="10" t="n">
        <x:v>4</x:v>
      </x:c>
      <x:c r="D38" s="10" t="n">
        <x:v>5</x:v>
      </x:c>
      <x:c r="E38" s="10" t="n">
        <x:v>1</x:v>
      </x:c>
      <x:c r="F38" s="10" t="n">
        <x:v>1</x:v>
      </x:c>
      <x:c r="G38" s="10" t="n">
        <x:f>MIN(E38,3)</x:f>
        <x:v>1</x:v>
      </x:c>
      <x:c r="H38" s="10" t="n">
        <x:v>6</x:v>
      </x:c>
      <x:c r="I38" s="19" t="n">
        <x:v>0</x:v>
      </x:c>
      <x:c r="J38" s="19" t="n">
        <x:v>0.2</x:v>
      </x:c>
      <x:c r="K38" s="19" t="n">
        <x:v>0.25</x:v>
      </x:c>
    </x:row>
    <x:row r="39" ht="23" customHeight="1">
      <x:c r="A39" s="2" t="str">
        <x:v>D000_T04_C020_G025</x:v>
      </x:c>
      <x:c r="B39" s="2" t="str">
        <x:v>A0018</x:v>
      </x:c>
      <x:c r="C39" s="10" t="n">
        <x:v>4</x:v>
      </x:c>
      <x:c r="D39" s="10"/>
      <x:c r="E39" s="10" t="n">
        <x:v>6</x:v>
      </x:c>
      <x:c r="F39" s="10" t="n">
        <x:v>0</x:v>
      </x:c>
      <x:c r="G39" s="10" t="n">
        <x:f>MIN(E39,3)</x:f>
        <x:v>3</x:v>
      </x:c>
      <x:c r="H39" s="10" t="n">
        <x:v>6</x:v>
      </x:c>
      <x:c r="I39" s="19" t="n">
        <x:v>0</x:v>
      </x:c>
      <x:c r="J39" s="19" t="n">
        <x:v>0.2</x:v>
      </x:c>
      <x:c r="K39" s="19" t="n">
        <x:v>0.25</x:v>
      </x:c>
    </x:row>
    <x:row r="40" ht="23" customHeight="1">
      <x:c r="A40" s="2" t="str">
        <x:v>D000_T04_C020_G025</x:v>
      </x:c>
      <x:c r="B40" s="2" t="str">
        <x:v>A0090</x:v>
      </x:c>
      <x:c r="C40" s="10" t="n">
        <x:v>4</x:v>
      </x:c>
      <x:c r="D40" s="10" t="n">
        <x:v>9</x:v>
      </x:c>
      <x:c r="E40" s="10" t="n">
        <x:v>5</x:v>
      </x:c>
      <x:c r="F40" s="10" t="n">
        <x:v>1</x:v>
      </x:c>
      <x:c r="G40" s="10" t="n">
        <x:f>MIN(E40,3)</x:f>
        <x:v>3</x:v>
      </x:c>
      <x:c r="H40" s="10" t="n">
        <x:v>6</x:v>
      </x:c>
      <x:c r="I40" s="19" t="n">
        <x:v>0</x:v>
      </x:c>
      <x:c r="J40" s="19" t="n">
        <x:v>0.2</x:v>
      </x:c>
      <x:c r="K40" s="19" t="n">
        <x:v>0.25</x:v>
      </x:c>
    </x:row>
    <x:row r="41" ht="23" customHeight="1">
      <x:c r="A41" s="2" t="str">
        <x:v>D000_T04_C020_G025</x:v>
      </x:c>
      <x:c r="B41" s="2" t="str">
        <x:v>A0206</x:v>
      </x:c>
      <x:c r="C41" s="10" t="n">
        <x:v>4</x:v>
      </x:c>
      <x:c r="D41" s="10" t="n">
        <x:v>4</x:v>
      </x:c>
      <x:c r="E41" s="10" t="n">
        <x:v>0</x:v>
      </x:c>
      <x:c r="F41" s="10" t="n">
        <x:v>1</x:v>
      </x:c>
      <x:c r="G41" s="10" t="n">
        <x:f>MIN(E41,3)</x:f>
        <x:v>0</x:v>
      </x:c>
      <x:c r="H41" s="10" t="n">
        <x:v>6</x:v>
      </x:c>
      <x:c r="I41" s="19" t="n">
        <x:v>0</x:v>
      </x:c>
      <x:c r="J41" s="19" t="n">
        <x:v>0.2</x:v>
      </x:c>
      <x:c r="K41" s="19" t="n">
        <x:v>0.25</x:v>
      </x:c>
    </x:row>
    <x:row r="42" ht="23" customHeight="1">
      <x:c r="A42" s="2" t="str">
        <x:v>D000_T04_C020_G050</x:v>
      </x:c>
      <x:c r="B42" s="2" t="str">
        <x:v>A0011</x:v>
      </x:c>
      <x:c r="C42" s="10" t="n">
        <x:v>4</x:v>
      </x:c>
      <x:c r="D42" s="10" t="n">
        <x:v>4</x:v>
      </x:c>
      <x:c r="E42" s="10" t="n">
        <x:v>0</x:v>
      </x:c>
      <x:c r="F42" s="10" t="n">
        <x:v>1</x:v>
      </x:c>
      <x:c r="G42" s="10" t="n">
        <x:f>MIN(E42,3)</x:f>
        <x:v>0</x:v>
      </x:c>
      <x:c r="H42" s="10" t="n">
        <x:v>6</x:v>
      </x:c>
      <x:c r="I42" s="19" t="n">
        <x:v>0</x:v>
      </x:c>
      <x:c r="J42" s="19" t="n">
        <x:v>0.2</x:v>
      </x:c>
      <x:c r="K42" s="19" t="n">
        <x:v>0.5</x:v>
      </x:c>
    </x:row>
    <x:row r="43" ht="23" customHeight="1">
      <x:c r="A43" s="2" t="str">
        <x:v>D000_T04_C020_G050</x:v>
      </x:c>
      <x:c r="B43" s="2" t="str">
        <x:v>A0012</x:v>
      </x:c>
      <x:c r="C43" s="10" t="n">
        <x:v>4</x:v>
      </x:c>
      <x:c r="D43" s="10" t="n">
        <x:v>7</x:v>
      </x:c>
      <x:c r="E43" s="10" t="n">
        <x:v>3</x:v>
      </x:c>
      <x:c r="F43" s="10" t="n">
        <x:v>1</x:v>
      </x:c>
      <x:c r="G43" s="10" t="n">
        <x:f>MIN(E43,3)</x:f>
        <x:v>3</x:v>
      </x:c>
      <x:c r="H43" s="10" t="n">
        <x:v>6</x:v>
      </x:c>
      <x:c r="I43" s="19" t="n">
        <x:v>0</x:v>
      </x:c>
      <x:c r="J43" s="19" t="n">
        <x:v>0.2</x:v>
      </x:c>
      <x:c r="K43" s="19" t="n">
        <x:v>0.5</x:v>
      </x:c>
    </x:row>
    <x:row r="44" ht="23" customHeight="1">
      <x:c r="A44" s="2" t="str">
        <x:v>D000_T04_C020_G050</x:v>
      </x:c>
      <x:c r="B44" s="2" t="str">
        <x:v>A0014</x:v>
      </x:c>
      <x:c r="C44" s="10" t="n">
        <x:v>4</x:v>
      </x:c>
      <x:c r="D44" s="10" t="n">
        <x:v>4</x:v>
      </x:c>
      <x:c r="E44" s="10" t="n">
        <x:v>0</x:v>
      </x:c>
      <x:c r="F44" s="10" t="n">
        <x:v>1</x:v>
      </x:c>
      <x:c r="G44" s="10" t="n">
        <x:f>MIN(E44,3)</x:f>
        <x:v>0</x:v>
      </x:c>
      <x:c r="H44" s="10" t="n">
        <x:v>6</x:v>
      </x:c>
      <x:c r="I44" s="19" t="n">
        <x:v>0</x:v>
      </x:c>
      <x:c r="J44" s="19" t="n">
        <x:v>0.2</x:v>
      </x:c>
      <x:c r="K44" s="19" t="n">
        <x:v>0.5</x:v>
      </x:c>
    </x:row>
    <x:row r="45" ht="23" customHeight="1">
      <x:c r="A45" s="2" t="str">
        <x:v>D000_T04_C020_G050</x:v>
      </x:c>
      <x:c r="B45" s="2" t="str">
        <x:v>A0018</x:v>
      </x:c>
      <x:c r="C45" s="10" t="n">
        <x:v>4</x:v>
      </x:c>
      <x:c r="D45" s="10" t="n">
        <x:v>9</x:v>
      </x:c>
      <x:c r="E45" s="10" t="n">
        <x:v>5</x:v>
      </x:c>
      <x:c r="F45" s="10" t="n">
        <x:v>1</x:v>
      </x:c>
      <x:c r="G45" s="10" t="n">
        <x:f>MIN(E45,3)</x:f>
        <x:v>3</x:v>
      </x:c>
      <x:c r="H45" s="10" t="n">
        <x:v>6</x:v>
      </x:c>
      <x:c r="I45" s="19" t="n">
        <x:v>0</x:v>
      </x:c>
      <x:c r="J45" s="19" t="n">
        <x:v>0.2</x:v>
      </x:c>
      <x:c r="K45" s="19" t="n">
        <x:v>0.5</x:v>
      </x:c>
    </x:row>
    <x:row r="46" ht="23" customHeight="1">
      <x:c r="A46" s="2" t="str">
        <x:v>D000_T04_C020_G050</x:v>
      </x:c>
      <x:c r="B46" s="2" t="str">
        <x:v>A0033</x:v>
      </x:c>
      <x:c r="C46" s="10" t="n">
        <x:v>4</x:v>
      </x:c>
      <x:c r="D46" s="10" t="n">
        <x:v>9</x:v>
      </x:c>
      <x:c r="E46" s="10" t="n">
        <x:v>5</x:v>
      </x:c>
      <x:c r="F46" s="10" t="n">
        <x:v>1</x:v>
      </x:c>
      <x:c r="G46" s="10" t="n">
        <x:f>MIN(E46,3)</x:f>
        <x:v>3</x:v>
      </x:c>
      <x:c r="H46" s="10" t="n">
        <x:v>6</x:v>
      </x:c>
      <x:c r="I46" s="19" t="n">
        <x:v>0</x:v>
      </x:c>
      <x:c r="J46" s="19" t="n">
        <x:v>0.2</x:v>
      </x:c>
      <x:c r="K46" s="19" t="n">
        <x:v>0.5</x:v>
      </x:c>
    </x:row>
    <x:row r="47" ht="23" customHeight="1">
      <x:c r="A47" s="2" t="str">
        <x:v>D000_T04_C020_G050</x:v>
      </x:c>
      <x:c r="B47" s="2" t="str">
        <x:v>A0040</x:v>
      </x:c>
      <x:c r="C47" s="10" t="n">
        <x:v>4</x:v>
      </x:c>
      <x:c r="D47" s="10"/>
      <x:c r="E47" s="10" t="n">
        <x:v>6</x:v>
      </x:c>
      <x:c r="F47" s="10" t="n">
        <x:v>0</x:v>
      </x:c>
      <x:c r="G47" s="10" t="n">
        <x:f>MIN(E47,3)</x:f>
        <x:v>3</x:v>
      </x:c>
      <x:c r="H47" s="10" t="n">
        <x:v>6</x:v>
      </x:c>
      <x:c r="I47" s="19" t="n">
        <x:v>0</x:v>
      </x:c>
      <x:c r="J47" s="19" t="n">
        <x:v>0.2</x:v>
      </x:c>
      <x:c r="K47" s="19" t="n">
        <x:v>0.5</x:v>
      </x:c>
    </x:row>
    <x:row r="48" ht="23" customHeight="1">
      <x:c r="A48" s="2" t="str">
        <x:v>D000_T04_C020_G050</x:v>
      </x:c>
      <x:c r="B48" s="2" t="str">
        <x:v>A0292</x:v>
      </x:c>
      <x:c r="C48" s="10" t="n">
        <x:v>4</x:v>
      </x:c>
      <x:c r="D48" s="10"/>
      <x:c r="E48" s="10" t="n">
        <x:v>6</x:v>
      </x:c>
      <x:c r="F48" s="10" t="n">
        <x:v>0</x:v>
      </x:c>
      <x:c r="G48" s="10" t="n">
        <x:f>MIN(E48,3)</x:f>
        <x:v>3</x:v>
      </x:c>
      <x:c r="H48" s="10" t="n">
        <x:v>6</x:v>
      </x:c>
      <x:c r="I48" s="19" t="n">
        <x:v>0</x:v>
      </x:c>
      <x:c r="J48" s="19" t="n">
        <x:v>0.2</x:v>
      </x:c>
      <x:c r="K48" s="19" t="n">
        <x:v>0.5</x:v>
      </x:c>
    </x:row>
    <x:row r="49" ht="23" customHeight="1">
      <x:c r="A49" s="2" t="str">
        <x:v>D000_T04_C020_G075</x:v>
      </x:c>
      <x:c r="B49" s="2" t="str">
        <x:v>A0002</x:v>
      </x:c>
      <x:c r="C49" s="10" t="n">
        <x:v>4</x:v>
      </x:c>
      <x:c r="D49" s="10"/>
      <x:c r="E49" s="10" t="n">
        <x:v>6</x:v>
      </x:c>
      <x:c r="F49" s="10" t="n">
        <x:v>0</x:v>
      </x:c>
      <x:c r="G49" s="10" t="n">
        <x:f>MIN(E49,3)</x:f>
        <x:v>3</x:v>
      </x:c>
      <x:c r="H49" s="10" t="n">
        <x:v>6</x:v>
      </x:c>
      <x:c r="I49" s="19" t="n">
        <x:v>0</x:v>
      </x:c>
      <x:c r="J49" s="19" t="n">
        <x:v>0.2</x:v>
      </x:c>
      <x:c r="K49" s="19" t="n">
        <x:v>0.75</x:v>
      </x:c>
    </x:row>
    <x:row r="50" ht="23" customHeight="1">
      <x:c r="A50" s="2" t="str">
        <x:v>D000_T04_C020_G075</x:v>
      </x:c>
      <x:c r="B50" s="2" t="str">
        <x:v>A0012</x:v>
      </x:c>
      <x:c r="C50" s="10" t="n">
        <x:v>4</x:v>
      </x:c>
      <x:c r="D50" s="10" t="n">
        <x:v>6</x:v>
      </x:c>
      <x:c r="E50" s="10" t="n">
        <x:v>2</x:v>
      </x:c>
      <x:c r="F50" s="10" t="n">
        <x:v>1</x:v>
      </x:c>
      <x:c r="G50" s="10" t="n">
        <x:f>MIN(E50,3)</x:f>
        <x:v>2</x:v>
      </x:c>
      <x:c r="H50" s="10" t="n">
        <x:v>6</x:v>
      </x:c>
      <x:c r="I50" s="19" t="n">
        <x:v>0</x:v>
      </x:c>
      <x:c r="J50" s="19" t="n">
        <x:v>0.2</x:v>
      </x:c>
      <x:c r="K50" s="19" t="n">
        <x:v>0.75</x:v>
      </x:c>
    </x:row>
    <x:row r="51" ht="23" customHeight="1">
      <x:c r="A51" s="2" t="str">
        <x:v>D000_T04_C020_G075</x:v>
      </x:c>
      <x:c r="B51" s="2" t="str">
        <x:v>A0018</x:v>
      </x:c>
      <x:c r="C51" s="10" t="n">
        <x:v>4</x:v>
      </x:c>
      <x:c r="D51" s="10" t="n">
        <x:v>7</x:v>
      </x:c>
      <x:c r="E51" s="10" t="n">
        <x:v>3</x:v>
      </x:c>
      <x:c r="F51" s="10" t="n">
        <x:v>1</x:v>
      </x:c>
      <x:c r="G51" s="10" t="n">
        <x:f>MIN(E51,3)</x:f>
        <x:v>3</x:v>
      </x:c>
      <x:c r="H51" s="10" t="n">
        <x:v>6</x:v>
      </x:c>
      <x:c r="I51" s="19" t="n">
        <x:v>0</x:v>
      </x:c>
      <x:c r="J51" s="19" t="n">
        <x:v>0.2</x:v>
      </x:c>
      <x:c r="K51" s="19" t="n">
        <x:v>0.75</x:v>
      </x:c>
    </x:row>
    <x:row r="52" ht="23" customHeight="1">
      <x:c r="A52" s="2" t="str">
        <x:v>D000_T04_C020_G075</x:v>
      </x:c>
      <x:c r="B52" s="2" t="str">
        <x:v>A0159</x:v>
      </x:c>
      <x:c r="C52" s="10" t="n">
        <x:v>4</x:v>
      </x:c>
      <x:c r="D52" s="10" t="n">
        <x:v>8</x:v>
      </x:c>
      <x:c r="E52" s="10" t="n">
        <x:v>4</x:v>
      </x:c>
      <x:c r="F52" s="10" t="n">
        <x:v>1</x:v>
      </x:c>
      <x:c r="G52" s="10" t="n">
        <x:f>MIN(E52,3)</x:f>
        <x:v>3</x:v>
      </x:c>
      <x:c r="H52" s="10" t="n">
        <x:v>6</x:v>
      </x:c>
      <x:c r="I52" s="19" t="n">
        <x:v>0</x:v>
      </x:c>
      <x:c r="J52" s="19" t="n">
        <x:v>0.2</x:v>
      </x:c>
      <x:c r="K52" s="19" t="n">
        <x:v>0.75</x:v>
      </x:c>
    </x:row>
    <x:row r="53" ht="23" customHeight="1">
      <x:c r="A53" s="2" t="str">
        <x:v>D000_T04_C080_G025</x:v>
      </x:c>
      <x:c r="B53" s="2" t="str">
        <x:v>A0005</x:v>
      </x:c>
      <x:c r="C53" s="10" t="n">
        <x:v>4</x:v>
      </x:c>
      <x:c r="D53" s="10" t="n">
        <x:v>4</x:v>
      </x:c>
      <x:c r="E53" s="10" t="n">
        <x:v>0</x:v>
      </x:c>
      <x:c r="F53" s="10" t="n">
        <x:v>1</x:v>
      </x:c>
      <x:c r="G53" s="10" t="n">
        <x:f>MIN(E53,3)</x:f>
        <x:v>0</x:v>
      </x:c>
      <x:c r="H53" s="10" t="n">
        <x:v>6</x:v>
      </x:c>
      <x:c r="I53" s="19" t="n">
        <x:v>0</x:v>
      </x:c>
      <x:c r="J53" s="19" t="n">
        <x:v>0.8</x:v>
      </x:c>
      <x:c r="K53" s="19" t="n">
        <x:v>0.25</x:v>
      </x:c>
    </x:row>
    <x:row r="54" ht="23" customHeight="1">
      <x:c r="A54" s="2" t="str">
        <x:v>D000_T04_C080_G025</x:v>
      </x:c>
      <x:c r="B54" s="2" t="str">
        <x:v>A0011</x:v>
      </x:c>
      <x:c r="C54" s="10" t="n">
        <x:v>4</x:v>
      </x:c>
      <x:c r="D54" s="10"/>
      <x:c r="E54" s="10" t="n">
        <x:v>6</x:v>
      </x:c>
      <x:c r="F54" s="10" t="n">
        <x:v>0</x:v>
      </x:c>
      <x:c r="G54" s="10" t="n">
        <x:f>MIN(E54,3)</x:f>
        <x:v>3</x:v>
      </x:c>
      <x:c r="H54" s="10" t="n">
        <x:v>6</x:v>
      </x:c>
      <x:c r="I54" s="19" t="n">
        <x:v>0</x:v>
      </x:c>
      <x:c r="J54" s="19" t="n">
        <x:v>0.8</x:v>
      </x:c>
      <x:c r="K54" s="19" t="n">
        <x:v>0.25</x:v>
      </x:c>
    </x:row>
    <x:row r="55" ht="23" customHeight="1">
      <x:c r="A55" s="2" t="str">
        <x:v>D000_T04_C080_G025</x:v>
      </x:c>
      <x:c r="B55" s="2" t="str">
        <x:v>A0012</x:v>
      </x:c>
      <x:c r="C55" s="10" t="n">
        <x:v>4</x:v>
      </x:c>
      <x:c r="D55" s="10" t="n">
        <x:v>7</x:v>
      </x:c>
      <x:c r="E55" s="10" t="n">
        <x:v>3</x:v>
      </x:c>
      <x:c r="F55" s="10" t="n">
        <x:v>1</x:v>
      </x:c>
      <x:c r="G55" s="10" t="n">
        <x:f>MIN(E55,3)</x:f>
        <x:v>3</x:v>
      </x:c>
      <x:c r="H55" s="10" t="n">
        <x:v>6</x:v>
      </x:c>
      <x:c r="I55" s="19" t="n">
        <x:v>0</x:v>
      </x:c>
      <x:c r="J55" s="19" t="n">
        <x:v>0.8</x:v>
      </x:c>
      <x:c r="K55" s="19" t="n">
        <x:v>0.25</x:v>
      </x:c>
    </x:row>
    <x:row r="56" ht="23" customHeight="1">
      <x:c r="A56" s="2" t="str">
        <x:v>D000_T04_C080_G025</x:v>
      </x:c>
      <x:c r="B56" s="2" t="str">
        <x:v>A0014</x:v>
      </x:c>
      <x:c r="C56" s="10" t="n">
        <x:v>4</x:v>
      </x:c>
      <x:c r="D56" s="10" t="n">
        <x:v>4</x:v>
      </x:c>
      <x:c r="E56" s="10" t="n">
        <x:v>0</x:v>
      </x:c>
      <x:c r="F56" s="10" t="n">
        <x:v>1</x:v>
      </x:c>
      <x:c r="G56" s="10" t="n">
        <x:f>MIN(E56,3)</x:f>
        <x:v>0</x:v>
      </x:c>
      <x:c r="H56" s="10" t="n">
        <x:v>6</x:v>
      </x:c>
      <x:c r="I56" s="19" t="n">
        <x:v>0</x:v>
      </x:c>
      <x:c r="J56" s="19" t="n">
        <x:v>0.8</x:v>
      </x:c>
      <x:c r="K56" s="19" t="n">
        <x:v>0.25</x:v>
      </x:c>
    </x:row>
    <x:row r="57" ht="23" customHeight="1">
      <x:c r="A57" s="2" t="str">
        <x:v>D000_T04_C080_G025</x:v>
      </x:c>
      <x:c r="B57" s="2" t="str">
        <x:v>A0017</x:v>
      </x:c>
      <x:c r="C57" s="10" t="n">
        <x:v>4</x:v>
      </x:c>
      <x:c r="D57" s="10"/>
      <x:c r="E57" s="10" t="n">
        <x:v>6</x:v>
      </x:c>
      <x:c r="F57" s="10" t="n">
        <x:v>0</x:v>
      </x:c>
      <x:c r="G57" s="10" t="n">
        <x:f>MIN(E57,3)</x:f>
        <x:v>3</x:v>
      </x:c>
      <x:c r="H57" s="10" t="n">
        <x:v>6</x:v>
      </x:c>
      <x:c r="I57" s="19" t="n">
        <x:v>0</x:v>
      </x:c>
      <x:c r="J57" s="19" t="n">
        <x:v>0.8</x:v>
      </x:c>
      <x:c r="K57" s="19" t="n">
        <x:v>0.25</x:v>
      </x:c>
    </x:row>
    <x:row r="58" ht="23" customHeight="1">
      <x:c r="A58" s="2" t="str">
        <x:v>D000_T04_C080_G025</x:v>
      </x:c>
      <x:c r="B58" s="2" t="str">
        <x:v>A0018</x:v>
      </x:c>
      <x:c r="C58" s="10" t="n">
        <x:v>4</x:v>
      </x:c>
      <x:c r="D58" s="10" t="n">
        <x:v>9</x:v>
      </x:c>
      <x:c r="E58" s="10" t="n">
        <x:v>5</x:v>
      </x:c>
      <x:c r="F58" s="10" t="n">
        <x:v>1</x:v>
      </x:c>
      <x:c r="G58" s="10" t="n">
        <x:f>MIN(E58,3)</x:f>
        <x:v>3</x:v>
      </x:c>
      <x:c r="H58" s="10" t="n">
        <x:v>6</x:v>
      </x:c>
      <x:c r="I58" s="19" t="n">
        <x:v>0</x:v>
      </x:c>
      <x:c r="J58" s="19" t="n">
        <x:v>0.8</x:v>
      </x:c>
      <x:c r="K58" s="19" t="n">
        <x:v>0.25</x:v>
      </x:c>
    </x:row>
    <x:row r="59" ht="23" customHeight="1">
      <x:c r="A59" s="2" t="str">
        <x:v>D000_T04_C080_G025</x:v>
      </x:c>
      <x:c r="B59" s="2" t="str">
        <x:v>A0032</x:v>
      </x:c>
      <x:c r="C59" s="10" t="n">
        <x:v>4</x:v>
      </x:c>
      <x:c r="D59" s="10"/>
      <x:c r="E59" s="10" t="n">
        <x:v>6</x:v>
      </x:c>
      <x:c r="F59" s="10" t="n">
        <x:v>0</x:v>
      </x:c>
      <x:c r="G59" s="10" t="n">
        <x:f>MIN(E59,3)</x:f>
        <x:v>3</x:v>
      </x:c>
      <x:c r="H59" s="10" t="n">
        <x:v>6</x:v>
      </x:c>
      <x:c r="I59" s="19" t="n">
        <x:v>0</x:v>
      </x:c>
      <x:c r="J59" s="19" t="n">
        <x:v>0.8</x:v>
      </x:c>
      <x:c r="K59" s="19" t="n">
        <x:v>0.25</x:v>
      </x:c>
    </x:row>
    <x:row r="60" ht="23" customHeight="1">
      <x:c r="A60" s="2" t="str">
        <x:v>D000_T04_C080_G025</x:v>
      </x:c>
      <x:c r="B60" s="2" t="str">
        <x:v>A0033</x:v>
      </x:c>
      <x:c r="C60" s="10" t="n">
        <x:v>4</x:v>
      </x:c>
      <x:c r="D60" s="10" t="n">
        <x:v>4</x:v>
      </x:c>
      <x:c r="E60" s="10" t="n">
        <x:v>0</x:v>
      </x:c>
      <x:c r="F60" s="10" t="n">
        <x:v>1</x:v>
      </x:c>
      <x:c r="G60" s="10" t="n">
        <x:f>MIN(E60,3)</x:f>
        <x:v>0</x:v>
      </x:c>
      <x:c r="H60" s="10" t="n">
        <x:v>6</x:v>
      </x:c>
      <x:c r="I60" s="19" t="n">
        <x:v>0</x:v>
      </x:c>
      <x:c r="J60" s="19" t="n">
        <x:v>0.8</x:v>
      </x:c>
      <x:c r="K60" s="19" t="n">
        <x:v>0.25</x:v>
      </x:c>
    </x:row>
    <x:row r="61" ht="23" customHeight="1">
      <x:c r="A61" s="2" t="str">
        <x:v>D000_T04_C080_G025</x:v>
      </x:c>
      <x:c r="B61" s="2" t="str">
        <x:v>A0116</x:v>
      </x:c>
      <x:c r="C61" s="10" t="n">
        <x:v>4</x:v>
      </x:c>
      <x:c r="D61" s="10"/>
      <x:c r="E61" s="10" t="n">
        <x:v>6</x:v>
      </x:c>
      <x:c r="F61" s="10" t="n">
        <x:v>0</x:v>
      </x:c>
      <x:c r="G61" s="10" t="n">
        <x:f>MIN(E61,3)</x:f>
        <x:v>3</x:v>
      </x:c>
      <x:c r="H61" s="10" t="n">
        <x:v>6</x:v>
      </x:c>
      <x:c r="I61" s="19" t="n">
        <x:v>0</x:v>
      </x:c>
      <x:c r="J61" s="19" t="n">
        <x:v>0.8</x:v>
      </x:c>
      <x:c r="K61" s="19" t="n">
        <x:v>0.25</x:v>
      </x:c>
    </x:row>
    <x:row r="62" ht="23" customHeight="1">
      <x:c r="A62" s="2" t="str">
        <x:v>D000_T04_C080_G050</x:v>
      </x:c>
      <x:c r="B62" s="2" t="str">
        <x:v>A0011</x:v>
      </x:c>
      <x:c r="C62" s="10" t="n">
        <x:v>4</x:v>
      </x:c>
      <x:c r="D62" s="10"/>
      <x:c r="E62" s="10" t="n">
        <x:v>6</x:v>
      </x:c>
      <x:c r="F62" s="10" t="n">
        <x:v>0</x:v>
      </x:c>
      <x:c r="G62" s="10" t="n">
        <x:f>MIN(E62,3)</x:f>
        <x:v>3</x:v>
      </x:c>
      <x:c r="H62" s="10" t="n">
        <x:v>6</x:v>
      </x:c>
      <x:c r="I62" s="19" t="n">
        <x:v>0</x:v>
      </x:c>
      <x:c r="J62" s="19" t="n">
        <x:v>0.8</x:v>
      </x:c>
      <x:c r="K62" s="19" t="n">
        <x:v>0.5</x:v>
      </x:c>
    </x:row>
    <x:row r="63" ht="23" customHeight="1">
      <x:c r="A63" s="2" t="str">
        <x:v>D000_T04_C080_G050</x:v>
      </x:c>
      <x:c r="B63" s="2" t="str">
        <x:v>A0015</x:v>
      </x:c>
      <x:c r="C63" s="10" t="n">
        <x:v>4</x:v>
      </x:c>
      <x:c r="D63" s="10" t="n">
        <x:v>4</x:v>
      </x:c>
      <x:c r="E63" s="10" t="n">
        <x:v>0</x:v>
      </x:c>
      <x:c r="F63" s="10" t="n">
        <x:v>1</x:v>
      </x:c>
      <x:c r="G63" s="10" t="n">
        <x:f>MIN(E63,3)</x:f>
        <x:v>0</x:v>
      </x:c>
      <x:c r="H63" s="10" t="n">
        <x:v>6</x:v>
      </x:c>
      <x:c r="I63" s="19" t="n">
        <x:v>0</x:v>
      </x:c>
      <x:c r="J63" s="19" t="n">
        <x:v>0.8</x:v>
      </x:c>
      <x:c r="K63" s="19" t="n">
        <x:v>0.5</x:v>
      </x:c>
    </x:row>
    <x:row r="64" ht="23" customHeight="1">
      <x:c r="A64" s="2" t="str">
        <x:v>D000_T04_C080_G050</x:v>
      </x:c>
      <x:c r="B64" s="2" t="str">
        <x:v>A0040</x:v>
      </x:c>
      <x:c r="C64" s="10" t="n">
        <x:v>4</x:v>
      </x:c>
      <x:c r="D64" s="10" t="n">
        <x:v>4</x:v>
      </x:c>
      <x:c r="E64" s="10" t="n">
        <x:v>0</x:v>
      </x:c>
      <x:c r="F64" s="10" t="n">
        <x:v>1</x:v>
      </x:c>
      <x:c r="G64" s="10" t="n">
        <x:f>MIN(E64,3)</x:f>
        <x:v>0</x:v>
      </x:c>
      <x:c r="H64" s="10" t="n">
        <x:v>6</x:v>
      </x:c>
      <x:c r="I64" s="19" t="n">
        <x:v>0</x:v>
      </x:c>
      <x:c r="J64" s="19" t="n">
        <x:v>0.8</x:v>
      </x:c>
      <x:c r="K64" s="19" t="n">
        <x:v>0.5</x:v>
      </x:c>
    </x:row>
    <x:row r="65" ht="23" customHeight="1">
      <x:c r="A65" s="2" t="str">
        <x:v>D000_T04_C080_G050</x:v>
      </x:c>
      <x:c r="B65" s="2" t="str">
        <x:v>A0071</x:v>
      </x:c>
      <x:c r="C65" s="10" t="n">
        <x:v>4</x:v>
      </x:c>
      <x:c r="D65" s="10" t="n">
        <x:v>4</x:v>
      </x:c>
      <x:c r="E65" s="10" t="n">
        <x:v>0</x:v>
      </x:c>
      <x:c r="F65" s="10" t="n">
        <x:v>1</x:v>
      </x:c>
      <x:c r="G65" s="10" t="n">
        <x:f>MIN(E65,3)</x:f>
        <x:v>0</x:v>
      </x:c>
      <x:c r="H65" s="10" t="n">
        <x:v>6</x:v>
      </x:c>
      <x:c r="I65" s="19" t="n">
        <x:v>0</x:v>
      </x:c>
      <x:c r="J65" s="19" t="n">
        <x:v>0.8</x:v>
      </x:c>
      <x:c r="K65" s="19" t="n">
        <x:v>0.5</x:v>
      </x:c>
    </x:row>
    <x:row r="66" ht="23" customHeight="1">
      <x:c r="A66" s="2" t="str">
        <x:v>D000_T04_C080_G075</x:v>
      </x:c>
      <x:c r="B66" s="2" t="str">
        <x:v>A0005</x:v>
      </x:c>
      <x:c r="C66" s="10" t="n">
        <x:v>4</x:v>
      </x:c>
      <x:c r="D66" s="10" t="n">
        <x:v>4</x:v>
      </x:c>
      <x:c r="E66" s="10" t="n">
        <x:v>0</x:v>
      </x:c>
      <x:c r="F66" s="10" t="n">
        <x:v>1</x:v>
      </x:c>
      <x:c r="G66" s="10" t="n">
        <x:f>MIN(E66,3)</x:f>
        <x:v>0</x:v>
      </x:c>
      <x:c r="H66" s="10" t="n">
        <x:v>6</x:v>
      </x:c>
      <x:c r="I66" s="19" t="n">
        <x:v>0</x:v>
      </x:c>
      <x:c r="J66" s="19" t="n">
        <x:v>0.8</x:v>
      </x:c>
      <x:c r="K66" s="19" t="n">
        <x:v>0.75</x:v>
      </x:c>
    </x:row>
    <x:row r="67" ht="23" customHeight="1">
      <x:c r="A67" s="2" t="str">
        <x:v>D000_T04_C080_G075</x:v>
      </x:c>
      <x:c r="B67" s="2" t="str">
        <x:v>A0011</x:v>
      </x:c>
      <x:c r="C67" s="10" t="n">
        <x:v>4</x:v>
      </x:c>
      <x:c r="D67" s="10" t="n">
        <x:v>6</x:v>
      </x:c>
      <x:c r="E67" s="10" t="n">
        <x:v>2</x:v>
      </x:c>
      <x:c r="F67" s="10" t="n">
        <x:v>1</x:v>
      </x:c>
      <x:c r="G67" s="10" t="n">
        <x:f>MIN(E67,3)</x:f>
        <x:v>2</x:v>
      </x:c>
      <x:c r="H67" s="10" t="n">
        <x:v>6</x:v>
      </x:c>
      <x:c r="I67" s="19" t="n">
        <x:v>0</x:v>
      </x:c>
      <x:c r="J67" s="19" t="n">
        <x:v>0.8</x:v>
      </x:c>
      <x:c r="K67" s="19" t="n">
        <x:v>0.75</x:v>
      </x:c>
    </x:row>
    <x:row r="68" ht="23" customHeight="1">
      <x:c r="A68" s="2" t="str">
        <x:v>D000_T04_C080_G075</x:v>
      </x:c>
      <x:c r="B68" s="2" t="str">
        <x:v>A0012</x:v>
      </x:c>
      <x:c r="C68" s="10" t="n">
        <x:v>4</x:v>
      </x:c>
      <x:c r="D68" s="10" t="n">
        <x:v>4</x:v>
      </x:c>
      <x:c r="E68" s="10" t="n">
        <x:v>0</x:v>
      </x:c>
      <x:c r="F68" s="10" t="n">
        <x:v>1</x:v>
      </x:c>
      <x:c r="G68" s="10" t="n">
        <x:f>MIN(E68,3)</x:f>
        <x:v>0</x:v>
      </x:c>
      <x:c r="H68" s="10" t="n">
        <x:v>6</x:v>
      </x:c>
      <x:c r="I68" s="19" t="n">
        <x:v>0</x:v>
      </x:c>
      <x:c r="J68" s="19" t="n">
        <x:v>0.8</x:v>
      </x:c>
      <x:c r="K68" s="19" t="n">
        <x:v>0.75</x:v>
      </x:c>
    </x:row>
    <x:row r="69" ht="23" customHeight="1">
      <x:c r="A69" s="2" t="str">
        <x:v>D000_T04_C080_G075</x:v>
      </x:c>
      <x:c r="B69" s="2" t="str">
        <x:v>A0029</x:v>
      </x:c>
      <x:c r="C69" s="10" t="n">
        <x:v>4</x:v>
      </x:c>
      <x:c r="D69" s="10" t="n">
        <x:v>4</x:v>
      </x:c>
      <x:c r="E69" s="10" t="n">
        <x:v>0</x:v>
      </x:c>
      <x:c r="F69" s="10" t="n">
        <x:v>1</x:v>
      </x:c>
      <x:c r="G69" s="10" t="n">
        <x:f>MIN(E69,3)</x:f>
        <x:v>0</x:v>
      </x:c>
      <x:c r="H69" s="10" t="n">
        <x:v>6</x:v>
      </x:c>
      <x:c r="I69" s="19" t="n">
        <x:v>0</x:v>
      </x:c>
      <x:c r="J69" s="19" t="n">
        <x:v>0.8</x:v>
      </x:c>
      <x:c r="K69" s="19" t="n">
        <x:v>0.75</x:v>
      </x:c>
    </x:row>
    <x:row r="70" ht="23" customHeight="1">
      <x:c r="A70" s="2" t="str">
        <x:v>D000_T04_C080_G075</x:v>
      </x:c>
      <x:c r="B70" s="2" t="str">
        <x:v>A0037</x:v>
      </x:c>
      <x:c r="C70" s="10" t="n">
        <x:v>4</x:v>
      </x:c>
      <x:c r="D70" s="10" t="n">
        <x:v>5</x:v>
      </x:c>
      <x:c r="E70" s="10" t="n">
        <x:v>1</x:v>
      </x:c>
      <x:c r="F70" s="10" t="n">
        <x:v>1</x:v>
      </x:c>
      <x:c r="G70" s="10" t="n">
        <x:f>MIN(E70,3)</x:f>
        <x:v>1</x:v>
      </x:c>
      <x:c r="H70" s="10" t="n">
        <x:v>6</x:v>
      </x:c>
      <x:c r="I70" s="19" t="n">
        <x:v>0</x:v>
      </x:c>
      <x:c r="J70" s="19" t="n">
        <x:v>0.8</x:v>
      </x:c>
      <x:c r="K70" s="19" t="n">
        <x:v>0.75</x:v>
      </x:c>
    </x:row>
    <x:row r="71" ht="23" customHeight="1">
      <x:c r="A71" s="2" t="str">
        <x:v>D000_T04_C080_G075</x:v>
      </x:c>
      <x:c r="B71" s="2" t="str">
        <x:v>A0038</x:v>
      </x:c>
      <x:c r="C71" s="10" t="n">
        <x:v>4</x:v>
      </x:c>
      <x:c r="D71" s="10" t="n">
        <x:v>4</x:v>
      </x:c>
      <x:c r="E71" s="10" t="n">
        <x:v>0</x:v>
      </x:c>
      <x:c r="F71" s="10" t="n">
        <x:v>1</x:v>
      </x:c>
      <x:c r="G71" s="10" t="n">
        <x:f>MIN(E71,3)</x:f>
        <x:v>0</x:v>
      </x:c>
      <x:c r="H71" s="10" t="n">
        <x:v>6</x:v>
      </x:c>
      <x:c r="I71" s="19" t="n">
        <x:v>0</x:v>
      </x:c>
      <x:c r="J71" s="19" t="n">
        <x:v>0.8</x:v>
      </x:c>
      <x:c r="K71" s="19" t="n">
        <x:v>0.75</x:v>
      </x:c>
    </x:row>
    <x:row r="72" ht="23" customHeight="1">
      <x:c r="A72" s="2" t="str">
        <x:v>D000_T07_C020_G025</x:v>
      </x:c>
      <x:c r="B72" s="2" t="str">
        <x:v>A0001</x:v>
      </x:c>
      <x:c r="C72" s="10" t="n">
        <x:v>7</x:v>
      </x:c>
      <x:c r="D72" s="10"/>
      <x:c r="E72" s="10" t="n">
        <x:v>3</x:v>
      </x:c>
      <x:c r="F72" s="10" t="n">
        <x:v>0</x:v>
      </x:c>
      <x:c r="G72" s="10" t="n">
        <x:f>MIN(E72,3)</x:f>
        <x:v>3</x:v>
      </x:c>
      <x:c r="H72" s="10" t="n">
        <x:v>3</x:v>
      </x:c>
      <x:c r="I72" s="19" t="n">
        <x:v>0</x:v>
      </x:c>
      <x:c r="J72" s="19" t="n">
        <x:v>0.2</x:v>
      </x:c>
      <x:c r="K72" s="19" t="n">
        <x:v>0.25</x:v>
      </x:c>
    </x:row>
    <x:row r="73" ht="23" customHeight="1">
      <x:c r="A73" s="2" t="str">
        <x:v>D000_T07_C020_G025</x:v>
      </x:c>
      <x:c r="B73" s="2" t="str">
        <x:v>A0011</x:v>
      </x:c>
      <x:c r="C73" s="10" t="n">
        <x:v>7</x:v>
      </x:c>
      <x:c r="D73" s="10" t="n">
        <x:v>7</x:v>
      </x:c>
      <x:c r="E73" s="10" t="n">
        <x:v>0</x:v>
      </x:c>
      <x:c r="F73" s="10" t="n">
        <x:v>1</x:v>
      </x:c>
      <x:c r="G73" s="10" t="n">
        <x:f>MIN(E73,3)</x:f>
        <x:v>0</x:v>
      </x:c>
      <x:c r="H73" s="10" t="n">
        <x:v>3</x:v>
      </x:c>
      <x:c r="I73" s="19" t="n">
        <x:v>0</x:v>
      </x:c>
      <x:c r="J73" s="19" t="n">
        <x:v>0.2</x:v>
      </x:c>
      <x:c r="K73" s="19" t="n">
        <x:v>0.25</x:v>
      </x:c>
    </x:row>
    <x:row r="74" ht="23" customHeight="1">
      <x:c r="A74" s="2" t="str">
        <x:v>D000_T07_C020_G025</x:v>
      </x:c>
      <x:c r="B74" s="2" t="str">
        <x:v>A0012</x:v>
      </x:c>
      <x:c r="C74" s="10" t="n">
        <x:v>7</x:v>
      </x:c>
      <x:c r="D74" s="10"/>
      <x:c r="E74" s="10" t="n">
        <x:v>3</x:v>
      </x:c>
      <x:c r="F74" s="10" t="n">
        <x:v>0</x:v>
      </x:c>
      <x:c r="G74" s="10" t="n">
        <x:f>MIN(E74,3)</x:f>
        <x:v>3</x:v>
      </x:c>
      <x:c r="H74" s="10" t="n">
        <x:v>3</x:v>
      </x:c>
      <x:c r="I74" s="19" t="n">
        <x:v>0</x:v>
      </x:c>
      <x:c r="J74" s="19" t="n">
        <x:v>0.2</x:v>
      </x:c>
      <x:c r="K74" s="19" t="n">
        <x:v>0.25</x:v>
      </x:c>
    </x:row>
    <x:row r="75" ht="23" customHeight="1">
      <x:c r="A75" s="2" t="str">
        <x:v>D000_T07_C020_G025</x:v>
      </x:c>
      <x:c r="B75" s="2" t="str">
        <x:v>A0014</x:v>
      </x:c>
      <x:c r="C75" s="10" t="n">
        <x:v>7</x:v>
      </x:c>
      <x:c r="D75" s="10" t="n">
        <x:v>7</x:v>
      </x:c>
      <x:c r="E75" s="10" t="n">
        <x:v>0</x:v>
      </x:c>
      <x:c r="F75" s="10" t="n">
        <x:v>1</x:v>
      </x:c>
      <x:c r="G75" s="10" t="n">
        <x:f>MIN(E75,3)</x:f>
        <x:v>0</x:v>
      </x:c>
      <x:c r="H75" s="10" t="n">
        <x:v>3</x:v>
      </x:c>
      <x:c r="I75" s="19" t="n">
        <x:v>0</x:v>
      </x:c>
      <x:c r="J75" s="19" t="n">
        <x:v>0.2</x:v>
      </x:c>
      <x:c r="K75" s="19" t="n">
        <x:v>0.25</x:v>
      </x:c>
    </x:row>
    <x:row r="76" ht="23" customHeight="1">
      <x:c r="A76" s="2" t="str">
        <x:v>D000_T07_C020_G025</x:v>
      </x:c>
      <x:c r="B76" s="2" t="str">
        <x:v>A0017</x:v>
      </x:c>
      <x:c r="C76" s="10" t="n">
        <x:v>7</x:v>
      </x:c>
      <x:c r="D76" s="10"/>
      <x:c r="E76" s="10" t="n">
        <x:v>3</x:v>
      </x:c>
      <x:c r="F76" s="10" t="n">
        <x:v>0</x:v>
      </x:c>
      <x:c r="G76" s="10" t="n">
        <x:f>MIN(E76,3)</x:f>
        <x:v>3</x:v>
      </x:c>
      <x:c r="H76" s="10" t="n">
        <x:v>3</x:v>
      </x:c>
      <x:c r="I76" s="19" t="n">
        <x:v>0</x:v>
      </x:c>
      <x:c r="J76" s="19" t="n">
        <x:v>0.2</x:v>
      </x:c>
      <x:c r="K76" s="19" t="n">
        <x:v>0.25</x:v>
      </x:c>
    </x:row>
    <x:row r="77" ht="23" customHeight="1">
      <x:c r="A77" s="2" t="str">
        <x:v>D000_T07_C020_G025</x:v>
      </x:c>
      <x:c r="B77" s="2" t="str">
        <x:v>A0025</x:v>
      </x:c>
      <x:c r="C77" s="10" t="n">
        <x:v>7</x:v>
      </x:c>
      <x:c r="D77" s="10" t="n">
        <x:v>9</x:v>
      </x:c>
      <x:c r="E77" s="10" t="n">
        <x:v>2</x:v>
      </x:c>
      <x:c r="F77" s="10" t="n">
        <x:v>1</x:v>
      </x:c>
      <x:c r="G77" s="10" t="n">
        <x:f>MIN(E77,3)</x:f>
        <x:v>2</x:v>
      </x:c>
      <x:c r="H77" s="10" t="n">
        <x:v>3</x:v>
      </x:c>
      <x:c r="I77" s="19" t="n">
        <x:v>0</x:v>
      </x:c>
      <x:c r="J77" s="19" t="n">
        <x:v>0.2</x:v>
      </x:c>
      <x:c r="K77" s="19" t="n">
        <x:v>0.25</x:v>
      </x:c>
    </x:row>
    <x:row r="78" ht="23" customHeight="1">
      <x:c r="A78" s="2" t="str">
        <x:v>D000_T07_C020_G025</x:v>
      </x:c>
      <x:c r="B78" s="2" t="str">
        <x:v>A0033</x:v>
      </x:c>
      <x:c r="C78" s="10" t="n">
        <x:v>7</x:v>
      </x:c>
      <x:c r="D78" s="10"/>
      <x:c r="E78" s="10" t="n">
        <x:v>3</x:v>
      </x:c>
      <x:c r="F78" s="10" t="n">
        <x:v>0</x:v>
      </x:c>
      <x:c r="G78" s="10" t="n">
        <x:f>MIN(E78,3)</x:f>
        <x:v>3</x:v>
      </x:c>
      <x:c r="H78" s="10" t="n">
        <x:v>3</x:v>
      </x:c>
      <x:c r="I78" s="19" t="n">
        <x:v>0</x:v>
      </x:c>
      <x:c r="J78" s="19" t="n">
        <x:v>0.2</x:v>
      </x:c>
      <x:c r="K78" s="19" t="n">
        <x:v>0.25</x:v>
      </x:c>
    </x:row>
    <x:row r="79" ht="23" customHeight="1">
      <x:c r="A79" s="2" t="str">
        <x:v>D000_T07_C020_G025</x:v>
      </x:c>
      <x:c r="B79" s="2" t="str">
        <x:v>A0060</x:v>
      </x:c>
      <x:c r="C79" s="10" t="n">
        <x:v>7</x:v>
      </x:c>
      <x:c r="D79" s="10"/>
      <x:c r="E79" s="10" t="n">
        <x:v>3</x:v>
      </x:c>
      <x:c r="F79" s="10" t="n">
        <x:v>0</x:v>
      </x:c>
      <x:c r="G79" s="10" t="n">
        <x:f>MIN(E79,3)</x:f>
        <x:v>3</x:v>
      </x:c>
      <x:c r="H79" s="10" t="n">
        <x:v>3</x:v>
      </x:c>
      <x:c r="I79" s="19" t="n">
        <x:v>0</x:v>
      </x:c>
      <x:c r="J79" s="19" t="n">
        <x:v>0.2</x:v>
      </x:c>
      <x:c r="K79" s="19" t="n">
        <x:v>0.25</x:v>
      </x:c>
    </x:row>
    <x:row r="80" ht="23" customHeight="1">
      <x:c r="A80" s="2" t="str">
        <x:v>D000_T07_C020_G025</x:v>
      </x:c>
      <x:c r="B80" s="2" t="str">
        <x:v>A0071</x:v>
      </x:c>
      <x:c r="C80" s="10" t="n">
        <x:v>7</x:v>
      </x:c>
      <x:c r="D80" s="10"/>
      <x:c r="E80" s="10" t="n">
        <x:v>3</x:v>
      </x:c>
      <x:c r="F80" s="10" t="n">
        <x:v>0</x:v>
      </x:c>
      <x:c r="G80" s="10" t="n">
        <x:f>MIN(E80,3)</x:f>
        <x:v>3</x:v>
      </x:c>
      <x:c r="H80" s="10" t="n">
        <x:v>3</x:v>
      </x:c>
      <x:c r="I80" s="19" t="n">
        <x:v>0</x:v>
      </x:c>
      <x:c r="J80" s="19" t="n">
        <x:v>0.2</x:v>
      </x:c>
      <x:c r="K80" s="19" t="n">
        <x:v>0.25</x:v>
      </x:c>
    </x:row>
    <x:row r="81" ht="23" customHeight="1">
      <x:c r="A81" s="2" t="str">
        <x:v>D000_T07_C020_G025</x:v>
      </x:c>
      <x:c r="B81" s="2" t="str">
        <x:v>A0116</x:v>
      </x:c>
      <x:c r="C81" s="10" t="n">
        <x:v>7</x:v>
      </x:c>
      <x:c r="D81" s="10"/>
      <x:c r="E81" s="10" t="n">
        <x:v>3</x:v>
      </x:c>
      <x:c r="F81" s="10" t="n">
        <x:v>0</x:v>
      </x:c>
      <x:c r="G81" s="10" t="n">
        <x:f>MIN(E81,3)</x:f>
        <x:v>3</x:v>
      </x:c>
      <x:c r="H81" s="10" t="n">
        <x:v>3</x:v>
      </x:c>
      <x:c r="I81" s="19" t="n">
        <x:v>0</x:v>
      </x:c>
      <x:c r="J81" s="19" t="n">
        <x:v>0.2</x:v>
      </x:c>
      <x:c r="K81" s="19" t="n">
        <x:v>0.25</x:v>
      </x:c>
    </x:row>
    <x:row r="82" ht="23" customHeight="1">
      <x:c r="A82" s="2" t="str">
        <x:v>D000_T07_C020_G025</x:v>
      </x:c>
      <x:c r="B82" s="2" t="str">
        <x:v>A0189</x:v>
      </x:c>
      <x:c r="C82" s="10" t="n">
        <x:v>7</x:v>
      </x:c>
      <x:c r="D82" s="10"/>
      <x:c r="E82" s="10" t="n">
        <x:v>3</x:v>
      </x:c>
      <x:c r="F82" s="10" t="n">
        <x:v>0</x:v>
      </x:c>
      <x:c r="G82" s="10" t="n">
        <x:f>MIN(E82,3)</x:f>
        <x:v>3</x:v>
      </x:c>
      <x:c r="H82" s="10" t="n">
        <x:v>3</x:v>
      </x:c>
      <x:c r="I82" s="19" t="n">
        <x:v>0</x:v>
      </x:c>
      <x:c r="J82" s="19" t="n">
        <x:v>0.2</x:v>
      </x:c>
      <x:c r="K82" s="19" t="n">
        <x:v>0.25</x:v>
      </x:c>
    </x:row>
    <x:row r="83" ht="23" customHeight="1">
      <x:c r="A83" s="2" t="str">
        <x:v>D000_T07_C020_G050</x:v>
      </x:c>
      <x:c r="B83" s="2" t="str">
        <x:v>A0011</x:v>
      </x:c>
      <x:c r="C83" s="10" t="n">
        <x:v>7</x:v>
      </x:c>
      <x:c r="D83" s="10" t="n">
        <x:v>7</x:v>
      </x:c>
      <x:c r="E83" s="10" t="n">
        <x:v>0</x:v>
      </x:c>
      <x:c r="F83" s="10" t="n">
        <x:v>1</x:v>
      </x:c>
      <x:c r="G83" s="10" t="n">
        <x:f>MIN(E83,3)</x:f>
        <x:v>0</x:v>
      </x:c>
      <x:c r="H83" s="10" t="n">
        <x:v>3</x:v>
      </x:c>
      <x:c r="I83" s="19" t="n">
        <x:v>0</x:v>
      </x:c>
      <x:c r="J83" s="19" t="n">
        <x:v>0.2</x:v>
      </x:c>
      <x:c r="K83" s="19" t="n">
        <x:v>0.5</x:v>
      </x:c>
    </x:row>
    <x:row r="84" ht="23" customHeight="1">
      <x:c r="A84" s="2" t="str">
        <x:v>D000_T07_C020_G050</x:v>
      </x:c>
      <x:c r="B84" s="2" t="str">
        <x:v>A0012</x:v>
      </x:c>
      <x:c r="C84" s="10" t="n">
        <x:v>7</x:v>
      </x:c>
      <x:c r="D84" s="10" t="n">
        <x:v>9</x:v>
      </x:c>
      <x:c r="E84" s="10" t="n">
        <x:v>2</x:v>
      </x:c>
      <x:c r="F84" s="10" t="n">
        <x:v>1</x:v>
      </x:c>
      <x:c r="G84" s="10" t="n">
        <x:f>MIN(E84,3)</x:f>
        <x:v>2</x:v>
      </x:c>
      <x:c r="H84" s="10" t="n">
        <x:v>3</x:v>
      </x:c>
      <x:c r="I84" s="19" t="n">
        <x:v>0</x:v>
      </x:c>
      <x:c r="J84" s="19" t="n">
        <x:v>0.2</x:v>
      </x:c>
      <x:c r="K84" s="19" t="n">
        <x:v>0.5</x:v>
      </x:c>
    </x:row>
    <x:row r="85" ht="23" customHeight="1">
      <x:c r="A85" s="2" t="str">
        <x:v>D000_T07_C020_G050</x:v>
      </x:c>
      <x:c r="B85" s="2" t="str">
        <x:v>A0014</x:v>
      </x:c>
      <x:c r="C85" s="10" t="n">
        <x:v>7</x:v>
      </x:c>
      <x:c r="D85" s="10" t="n">
        <x:v>7</x:v>
      </x:c>
      <x:c r="E85" s="10" t="n">
        <x:v>0</x:v>
      </x:c>
      <x:c r="F85" s="10" t="n">
        <x:v>1</x:v>
      </x:c>
      <x:c r="G85" s="10" t="n">
        <x:f>MIN(E85,3)</x:f>
        <x:v>0</x:v>
      </x:c>
      <x:c r="H85" s="10" t="n">
        <x:v>3</x:v>
      </x:c>
      <x:c r="I85" s="19" t="n">
        <x:v>0</x:v>
      </x:c>
      <x:c r="J85" s="19" t="n">
        <x:v>0.2</x:v>
      </x:c>
      <x:c r="K85" s="19" t="n">
        <x:v>0.5</x:v>
      </x:c>
    </x:row>
    <x:row r="86" ht="23" customHeight="1">
      <x:c r="A86" s="2" t="str">
        <x:v>D000_T07_C020_G050</x:v>
      </x:c>
      <x:c r="B86" s="2" t="str">
        <x:v>A0017</x:v>
      </x:c>
      <x:c r="C86" s="10" t="n">
        <x:v>7</x:v>
      </x:c>
      <x:c r="D86" s="10" t="n">
        <x:v>10</x:v>
      </x:c>
      <x:c r="E86" s="10" t="n">
        <x:v>3</x:v>
      </x:c>
      <x:c r="F86" s="10" t="n">
        <x:v>1</x:v>
      </x:c>
      <x:c r="G86" s="10" t="n">
        <x:f>MIN(E86,3)</x:f>
        <x:v>3</x:v>
      </x:c>
      <x:c r="H86" s="10" t="n">
        <x:v>3</x:v>
      </x:c>
      <x:c r="I86" s="19" t="n">
        <x:v>0</x:v>
      </x:c>
      <x:c r="J86" s="19" t="n">
        <x:v>0.2</x:v>
      </x:c>
      <x:c r="K86" s="19" t="n">
        <x:v>0.5</x:v>
      </x:c>
    </x:row>
    <x:row r="87" ht="23" customHeight="1">
      <x:c r="A87" s="2" t="str">
        <x:v>D000_T07_C020_G050</x:v>
      </x:c>
      <x:c r="B87" s="2" t="str">
        <x:v>A0018</x:v>
      </x:c>
      <x:c r="C87" s="10" t="n">
        <x:v>7</x:v>
      </x:c>
      <x:c r="D87" s="10"/>
      <x:c r="E87" s="10" t="n">
        <x:v>3</x:v>
      </x:c>
      <x:c r="F87" s="10" t="n">
        <x:v>0</x:v>
      </x:c>
      <x:c r="G87" s="10" t="n">
        <x:f>MIN(E87,3)</x:f>
        <x:v>3</x:v>
      </x:c>
      <x:c r="H87" s="10" t="n">
        <x:v>3</x:v>
      </x:c>
      <x:c r="I87" s="19" t="n">
        <x:v>0</x:v>
      </x:c>
      <x:c r="J87" s="19" t="n">
        <x:v>0.2</x:v>
      </x:c>
      <x:c r="K87" s="19" t="n">
        <x:v>0.5</x:v>
      </x:c>
    </x:row>
    <x:row r="88" ht="23" customHeight="1">
      <x:c r="A88" s="2" t="str">
        <x:v>D000_T07_C020_G050</x:v>
      </x:c>
      <x:c r="B88" s="2" t="str">
        <x:v>A0027</x:v>
      </x:c>
      <x:c r="C88" s="10" t="n">
        <x:v>7</x:v>
      </x:c>
      <x:c r="D88" s="10"/>
      <x:c r="E88" s="10" t="n">
        <x:v>3</x:v>
      </x:c>
      <x:c r="F88" s="10" t="n">
        <x:v>0</x:v>
      </x:c>
      <x:c r="G88" s="10" t="n">
        <x:f>MIN(E88,3)</x:f>
        <x:v>3</x:v>
      </x:c>
      <x:c r="H88" s="10" t="n">
        <x:v>3</x:v>
      </x:c>
      <x:c r="I88" s="19" t="n">
        <x:v>0</x:v>
      </x:c>
      <x:c r="J88" s="19" t="n">
        <x:v>0.2</x:v>
      </x:c>
      <x:c r="K88" s="19" t="n">
        <x:v>0.5</x:v>
      </x:c>
    </x:row>
    <x:row r="89" ht="23" customHeight="1">
      <x:c r="A89" s="2" t="str">
        <x:v>D000_T07_C020_G050</x:v>
      </x:c>
      <x:c r="B89" s="2" t="str">
        <x:v>A0032</x:v>
      </x:c>
      <x:c r="C89" s="10" t="n">
        <x:v>7</x:v>
      </x:c>
      <x:c r="D89" s="10" t="n">
        <x:v>7</x:v>
      </x:c>
      <x:c r="E89" s="10" t="n">
        <x:v>0</x:v>
      </x:c>
      <x:c r="F89" s="10" t="n">
        <x:v>1</x:v>
      </x:c>
      <x:c r="G89" s="10" t="n">
        <x:f>MIN(E89,3)</x:f>
        <x:v>0</x:v>
      </x:c>
      <x:c r="H89" s="10" t="n">
        <x:v>3</x:v>
      </x:c>
      <x:c r="I89" s="19" t="n">
        <x:v>0</x:v>
      </x:c>
      <x:c r="J89" s="19" t="n">
        <x:v>0.2</x:v>
      </x:c>
      <x:c r="K89" s="19" t="n">
        <x:v>0.5</x:v>
      </x:c>
    </x:row>
    <x:row r="90" ht="23" customHeight="1">
      <x:c r="A90" s="2" t="str">
        <x:v>D000_T07_C020_G050</x:v>
      </x:c>
      <x:c r="B90" s="2" t="str">
        <x:v>A0159</x:v>
      </x:c>
      <x:c r="C90" s="10" t="n">
        <x:v>7</x:v>
      </x:c>
      <x:c r="D90" s="10"/>
      <x:c r="E90" s="10" t="n">
        <x:v>3</x:v>
      </x:c>
      <x:c r="F90" s="10" t="n">
        <x:v>0</x:v>
      </x:c>
      <x:c r="G90" s="10" t="n">
        <x:f>MIN(E90,3)</x:f>
        <x:v>3</x:v>
      </x:c>
      <x:c r="H90" s="10" t="n">
        <x:v>3</x:v>
      </x:c>
      <x:c r="I90" s="19" t="n">
        <x:v>0</x:v>
      </x:c>
      <x:c r="J90" s="19" t="n">
        <x:v>0.2</x:v>
      </x:c>
      <x:c r="K90" s="19" t="n">
        <x:v>0.5</x:v>
      </x:c>
    </x:row>
    <x:row r="91" ht="23" customHeight="1">
      <x:c r="A91" s="2" t="str">
        <x:v>D000_T07_C020_G075</x:v>
      </x:c>
      <x:c r="B91" s="2" t="str">
        <x:v>A0011</x:v>
      </x:c>
      <x:c r="C91" s="10" t="n">
        <x:v>7</x:v>
      </x:c>
      <x:c r="D91" s="10" t="n">
        <x:v>8</x:v>
      </x:c>
      <x:c r="E91" s="10" t="n">
        <x:v>1</x:v>
      </x:c>
      <x:c r="F91" s="10" t="n">
        <x:v>1</x:v>
      </x:c>
      <x:c r="G91" s="10" t="n">
        <x:f>MIN(E91,3)</x:f>
        <x:v>1</x:v>
      </x:c>
      <x:c r="H91" s="10" t="n">
        <x:v>3</x:v>
      </x:c>
      <x:c r="I91" s="19" t="n">
        <x:v>0</x:v>
      </x:c>
      <x:c r="J91" s="19" t="n">
        <x:v>0.2</x:v>
      </x:c>
      <x:c r="K91" s="19" t="n">
        <x:v>0.75</x:v>
      </x:c>
    </x:row>
    <x:row r="92" ht="23" customHeight="1">
      <x:c r="A92" s="2" t="str">
        <x:v>D000_T07_C020_G075</x:v>
      </x:c>
      <x:c r="B92" s="2" t="str">
        <x:v>A0017</x:v>
      </x:c>
      <x:c r="C92" s="10" t="n">
        <x:v>7</x:v>
      </x:c>
      <x:c r="D92" s="10" t="n">
        <x:v>10</x:v>
      </x:c>
      <x:c r="E92" s="10" t="n">
        <x:v>3</x:v>
      </x:c>
      <x:c r="F92" s="10" t="n">
        <x:v>1</x:v>
      </x:c>
      <x:c r="G92" s="10" t="n">
        <x:f>MIN(E92,3)</x:f>
        <x:v>3</x:v>
      </x:c>
      <x:c r="H92" s="10" t="n">
        <x:v>3</x:v>
      </x:c>
      <x:c r="I92" s="19" t="n">
        <x:v>0</x:v>
      </x:c>
      <x:c r="J92" s="19" t="n">
        <x:v>0.2</x:v>
      </x:c>
      <x:c r="K92" s="19" t="n">
        <x:v>0.75</x:v>
      </x:c>
    </x:row>
    <x:row r="93" ht="23" customHeight="1">
      <x:c r="A93" s="2" t="str">
        <x:v>D000_T07_C020_G075</x:v>
      </x:c>
      <x:c r="B93" s="2" t="str">
        <x:v>A0024</x:v>
      </x:c>
      <x:c r="C93" s="10" t="n">
        <x:v>7</x:v>
      </x:c>
      <x:c r="D93" s="10" t="n">
        <x:v>9</x:v>
      </x:c>
      <x:c r="E93" s="10" t="n">
        <x:v>2</x:v>
      </x:c>
      <x:c r="F93" s="10" t="n">
        <x:v>1</x:v>
      </x:c>
      <x:c r="G93" s="10" t="n">
        <x:f>MIN(E93,3)</x:f>
        <x:v>2</x:v>
      </x:c>
      <x:c r="H93" s="10" t="n">
        <x:v>3</x:v>
      </x:c>
      <x:c r="I93" s="19" t="n">
        <x:v>0</x:v>
      </x:c>
      <x:c r="J93" s="19" t="n">
        <x:v>0.2</x:v>
      </x:c>
      <x:c r="K93" s="19" t="n">
        <x:v>0.75</x:v>
      </x:c>
    </x:row>
    <x:row r="94" ht="23" customHeight="1">
      <x:c r="A94" s="2" t="str">
        <x:v>D000_T07_C020_G075</x:v>
      </x:c>
      <x:c r="B94" s="2" t="str">
        <x:v>A0040</x:v>
      </x:c>
      <x:c r="C94" s="10" t="n">
        <x:v>7</x:v>
      </x:c>
      <x:c r="D94" s="10" t="n">
        <x:v>10</x:v>
      </x:c>
      <x:c r="E94" s="10" t="n">
        <x:v>3</x:v>
      </x:c>
      <x:c r="F94" s="10" t="n">
        <x:v>1</x:v>
      </x:c>
      <x:c r="G94" s="10" t="n">
        <x:f>MIN(E94,3)</x:f>
        <x:v>3</x:v>
      </x:c>
      <x:c r="H94" s="10" t="n">
        <x:v>3</x:v>
      </x:c>
      <x:c r="I94" s="19" t="n">
        <x:v>0</x:v>
      </x:c>
      <x:c r="J94" s="19" t="n">
        <x:v>0.2</x:v>
      </x:c>
      <x:c r="K94" s="19" t="n">
        <x:v>0.75</x:v>
      </x:c>
    </x:row>
    <x:row r="95" ht="23" customHeight="1">
      <x:c r="A95" s="2" t="str">
        <x:v>D000_T07_C020_G075</x:v>
      </x:c>
      <x:c r="B95" s="2" t="str">
        <x:v>A0198</x:v>
      </x:c>
      <x:c r="C95" s="10" t="n">
        <x:v>7</x:v>
      </x:c>
      <x:c r="D95" s="10" t="n">
        <x:v>7</x:v>
      </x:c>
      <x:c r="E95" s="10" t="n">
        <x:v>0</x:v>
      </x:c>
      <x:c r="F95" s="10" t="n">
        <x:v>1</x:v>
      </x:c>
      <x:c r="G95" s="10" t="n">
        <x:f>MIN(E95,3)</x:f>
        <x:v>0</x:v>
      </x:c>
      <x:c r="H95" s="10" t="n">
        <x:v>3</x:v>
      </x:c>
      <x:c r="I95" s="19" t="n">
        <x:v>0</x:v>
      </x:c>
      <x:c r="J95" s="19" t="n">
        <x:v>0.2</x:v>
      </x:c>
      <x:c r="K95" s="19" t="n">
        <x:v>0.75</x:v>
      </x:c>
    </x:row>
    <x:row r="96" ht="23" customHeight="1">
      <x:c r="A96" s="2" t="str">
        <x:v>D000_T07_C080_G025</x:v>
      </x:c>
      <x:c r="B96" s="2" t="str">
        <x:v>A0005</x:v>
      </x:c>
      <x:c r="C96" s="10" t="n">
        <x:v>7</x:v>
      </x:c>
      <x:c r="D96" s="10" t="n">
        <x:v>7</x:v>
      </x:c>
      <x:c r="E96" s="10" t="n">
        <x:v>0</x:v>
      </x:c>
      <x:c r="F96" s="10" t="n">
        <x:v>1</x:v>
      </x:c>
      <x:c r="G96" s="10" t="n">
        <x:f>MIN(E96,3)</x:f>
        <x:v>0</x:v>
      </x:c>
      <x:c r="H96" s="10" t="n">
        <x:v>3</x:v>
      </x:c>
      <x:c r="I96" s="19" t="n">
        <x:v>0</x:v>
      </x:c>
      <x:c r="J96" s="19" t="n">
        <x:v>0.8</x:v>
      </x:c>
      <x:c r="K96" s="19" t="n">
        <x:v>0.25</x:v>
      </x:c>
    </x:row>
    <x:row r="97" ht="23" customHeight="1">
      <x:c r="A97" s="2" t="str">
        <x:v>D000_T07_C080_G025</x:v>
      </x:c>
      <x:c r="B97" s="2" t="str">
        <x:v>A0011</x:v>
      </x:c>
      <x:c r="C97" s="10" t="n">
        <x:v>7</x:v>
      </x:c>
      <x:c r="D97" s="10" t="n">
        <x:v>9</x:v>
      </x:c>
      <x:c r="E97" s="10" t="n">
        <x:v>2</x:v>
      </x:c>
      <x:c r="F97" s="10" t="n">
        <x:v>1</x:v>
      </x:c>
      <x:c r="G97" s="10" t="n">
        <x:f>MIN(E97,3)</x:f>
        <x:v>2</x:v>
      </x:c>
      <x:c r="H97" s="10" t="n">
        <x:v>3</x:v>
      </x:c>
      <x:c r="I97" s="19" t="n">
        <x:v>0</x:v>
      </x:c>
      <x:c r="J97" s="19" t="n">
        <x:v>0.8</x:v>
      </x:c>
      <x:c r="K97" s="19" t="n">
        <x:v>0.25</x:v>
      </x:c>
    </x:row>
    <x:row r="98" ht="23" customHeight="1">
      <x:c r="A98" s="2" t="str">
        <x:v>D000_T07_C080_G025</x:v>
      </x:c>
      <x:c r="B98" s="2" t="str">
        <x:v>A0017</x:v>
      </x:c>
      <x:c r="C98" s="10" t="n">
        <x:v>7</x:v>
      </x:c>
      <x:c r="D98" s="10"/>
      <x:c r="E98" s="10" t="n">
        <x:v>3</x:v>
      </x:c>
      <x:c r="F98" s="10" t="n">
        <x:v>0</x:v>
      </x:c>
      <x:c r="G98" s="10" t="n">
        <x:f>MIN(E98,3)</x:f>
        <x:v>3</x:v>
      </x:c>
      <x:c r="H98" s="10" t="n">
        <x:v>3</x:v>
      </x:c>
      <x:c r="I98" s="19" t="n">
        <x:v>0</x:v>
      </x:c>
      <x:c r="J98" s="19" t="n">
        <x:v>0.8</x:v>
      </x:c>
      <x:c r="K98" s="19" t="n">
        <x:v>0.25</x:v>
      </x:c>
    </x:row>
    <x:row r="99" ht="23" customHeight="1">
      <x:c r="A99" s="2" t="str">
        <x:v>D000_T07_C080_G025</x:v>
      </x:c>
      <x:c r="B99" s="2" t="str">
        <x:v>A0018</x:v>
      </x:c>
      <x:c r="C99" s="10" t="n">
        <x:v>7</x:v>
      </x:c>
      <x:c r="D99" s="10" t="n">
        <x:v>8</x:v>
      </x:c>
      <x:c r="E99" s="10" t="n">
        <x:v>1</x:v>
      </x:c>
      <x:c r="F99" s="10" t="n">
        <x:v>1</x:v>
      </x:c>
      <x:c r="G99" s="10" t="n">
        <x:f>MIN(E99,3)</x:f>
        <x:v>1</x:v>
      </x:c>
      <x:c r="H99" s="10" t="n">
        <x:v>3</x:v>
      </x:c>
      <x:c r="I99" s="19" t="n">
        <x:v>0</x:v>
      </x:c>
      <x:c r="J99" s="19" t="n">
        <x:v>0.8</x:v>
      </x:c>
      <x:c r="K99" s="19" t="n">
        <x:v>0.25</x:v>
      </x:c>
    </x:row>
    <x:row r="100" ht="23" customHeight="1">
      <x:c r="A100" s="2" t="str">
        <x:v>D000_T07_C080_G025</x:v>
      </x:c>
      <x:c r="B100" s="2" t="str">
        <x:v>A0033</x:v>
      </x:c>
      <x:c r="C100" s="10" t="n">
        <x:v>7</x:v>
      </x:c>
      <x:c r="D100" s="10" t="n">
        <x:v>7</x:v>
      </x:c>
      <x:c r="E100" s="10" t="n">
        <x:v>0</x:v>
      </x:c>
      <x:c r="F100" s="10" t="n">
        <x:v>1</x:v>
      </x:c>
      <x:c r="G100" s="10" t="n">
        <x:f>MIN(E100,3)</x:f>
        <x:v>0</x:v>
      </x:c>
      <x:c r="H100" s="10" t="n">
        <x:v>3</x:v>
      </x:c>
      <x:c r="I100" s="19" t="n">
        <x:v>0</x:v>
      </x:c>
      <x:c r="J100" s="19" t="n">
        <x:v>0.8</x:v>
      </x:c>
      <x:c r="K100" s="19" t="n">
        <x:v>0.25</x:v>
      </x:c>
    </x:row>
    <x:row r="101" ht="23" customHeight="1">
      <x:c r="A101" s="2" t="str">
        <x:v>D000_T07_C080_G025</x:v>
      </x:c>
      <x:c r="B101" s="2" t="str">
        <x:v>A0035</x:v>
      </x:c>
      <x:c r="C101" s="10" t="n">
        <x:v>7</x:v>
      </x:c>
      <x:c r="D101" s="10" t="n">
        <x:v>9</x:v>
      </x:c>
      <x:c r="E101" s="10" t="n">
        <x:v>2</x:v>
      </x:c>
      <x:c r="F101" s="10" t="n">
        <x:v>1</x:v>
      </x:c>
      <x:c r="G101" s="10" t="n">
        <x:f>MIN(E101,3)</x:f>
        <x:v>2</x:v>
      </x:c>
      <x:c r="H101" s="10" t="n">
        <x:v>3</x:v>
      </x:c>
      <x:c r="I101" s="19" t="n">
        <x:v>0</x:v>
      </x:c>
      <x:c r="J101" s="19" t="n">
        <x:v>0.8</x:v>
      </x:c>
      <x:c r="K101" s="19" t="n">
        <x:v>0.25</x:v>
      </x:c>
    </x:row>
    <x:row r="102" ht="23" customHeight="1">
      <x:c r="A102" s="2" t="str">
        <x:v>D000_T07_C080_G025</x:v>
      </x:c>
      <x:c r="B102" s="2" t="str">
        <x:v>A0088</x:v>
      </x:c>
      <x:c r="C102" s="10" t="n">
        <x:v>7</x:v>
      </x:c>
      <x:c r="D102" s="10"/>
      <x:c r="E102" s="10" t="n">
        <x:v>3</x:v>
      </x:c>
      <x:c r="F102" s="10" t="n">
        <x:v>0</x:v>
      </x:c>
      <x:c r="G102" s="10" t="n">
        <x:f>MIN(E102,3)</x:f>
        <x:v>3</x:v>
      </x:c>
      <x:c r="H102" s="10" t="n">
        <x:v>3</x:v>
      </x:c>
      <x:c r="I102" s="19" t="n">
        <x:v>0</x:v>
      </x:c>
      <x:c r="J102" s="19" t="n">
        <x:v>0.8</x:v>
      </x:c>
      <x:c r="K102" s="19" t="n">
        <x:v>0.25</x:v>
      </x:c>
    </x:row>
    <x:row r="103" ht="23" customHeight="1">
      <x:c r="A103" s="2" t="str">
        <x:v>D000_T07_C080_G025</x:v>
      </x:c>
      <x:c r="B103" s="2" t="str">
        <x:v>A0292</x:v>
      </x:c>
      <x:c r="C103" s="10" t="n">
        <x:v>7</x:v>
      </x:c>
      <x:c r="D103" s="10"/>
      <x:c r="E103" s="10" t="n">
        <x:v>3</x:v>
      </x:c>
      <x:c r="F103" s="10" t="n">
        <x:v>0</x:v>
      </x:c>
      <x:c r="G103" s="10" t="n">
        <x:f>MIN(E103,3)</x:f>
        <x:v>3</x:v>
      </x:c>
      <x:c r="H103" s="10" t="n">
        <x:v>3</x:v>
      </x:c>
      <x:c r="I103" s="19" t="n">
        <x:v>0</x:v>
      </x:c>
      <x:c r="J103" s="19" t="n">
        <x:v>0.8</x:v>
      </x:c>
      <x:c r="K103" s="19" t="n">
        <x:v>0.25</x:v>
      </x:c>
    </x:row>
    <x:row r="104" ht="23" customHeight="1">
      <x:c r="A104" s="2" t="str">
        <x:v>D000_T07_C080_G050</x:v>
      </x:c>
      <x:c r="B104" s="2" t="str">
        <x:v>A0011</x:v>
      </x:c>
      <x:c r="C104" s="10" t="n">
        <x:v>7</x:v>
      </x:c>
      <x:c r="D104" s="10" t="n">
        <x:v>8</x:v>
      </x:c>
      <x:c r="E104" s="10" t="n">
        <x:v>1</x:v>
      </x:c>
      <x:c r="F104" s="10" t="n">
        <x:v>1</x:v>
      </x:c>
      <x:c r="G104" s="10" t="n">
        <x:f>MIN(E104,3)</x:f>
        <x:v>1</x:v>
      </x:c>
      <x:c r="H104" s="10" t="n">
        <x:v>3</x:v>
      </x:c>
      <x:c r="I104" s="19" t="n">
        <x:v>0</x:v>
      </x:c>
      <x:c r="J104" s="19" t="n">
        <x:v>0.8</x:v>
      </x:c>
      <x:c r="K104" s="19" t="n">
        <x:v>0.5</x:v>
      </x:c>
    </x:row>
    <x:row r="105" ht="23" customHeight="1">
      <x:c r="A105" s="2" t="str">
        <x:v>D000_T07_C080_G050</x:v>
      </x:c>
      <x:c r="B105" s="2" t="str">
        <x:v>A0012</x:v>
      </x:c>
      <x:c r="C105" s="10" t="n">
        <x:v>7</x:v>
      </x:c>
      <x:c r="D105" s="10" t="n">
        <x:v>7</x:v>
      </x:c>
      <x:c r="E105" s="10" t="n">
        <x:v>0</x:v>
      </x:c>
      <x:c r="F105" s="10" t="n">
        <x:v>1</x:v>
      </x:c>
      <x:c r="G105" s="10" t="n">
        <x:f>MIN(E105,3)</x:f>
        <x:v>0</x:v>
      </x:c>
      <x:c r="H105" s="10" t="n">
        <x:v>3</x:v>
      </x:c>
      <x:c r="I105" s="19" t="n">
        <x:v>0</x:v>
      </x:c>
      <x:c r="J105" s="19" t="n">
        <x:v>0.8</x:v>
      </x:c>
      <x:c r="K105" s="19" t="n">
        <x:v>0.5</x:v>
      </x:c>
    </x:row>
    <x:row r="106" ht="23" customHeight="1">
      <x:c r="A106" s="2" t="str">
        <x:v>D000_T07_C080_G050</x:v>
      </x:c>
      <x:c r="B106" s="2" t="str">
        <x:v>A0027</x:v>
      </x:c>
      <x:c r="C106" s="10" t="n">
        <x:v>7</x:v>
      </x:c>
      <x:c r="D106" s="10" t="n">
        <x:v>10</x:v>
      </x:c>
      <x:c r="E106" s="10" t="n">
        <x:v>3</x:v>
      </x:c>
      <x:c r="F106" s="10" t="n">
        <x:v>1</x:v>
      </x:c>
      <x:c r="G106" s="10" t="n">
        <x:f>MIN(E106,3)</x:f>
        <x:v>3</x:v>
      </x:c>
      <x:c r="H106" s="10" t="n">
        <x:v>3</x:v>
      </x:c>
      <x:c r="I106" s="19" t="n">
        <x:v>0</x:v>
      </x:c>
      <x:c r="J106" s="19" t="n">
        <x:v>0.8</x:v>
      </x:c>
      <x:c r="K106" s="19" t="n">
        <x:v>0.5</x:v>
      </x:c>
    </x:row>
    <x:row r="107" ht="23" customHeight="1">
      <x:c r="A107" s="2" t="str">
        <x:v>D000_T07_C080_G050</x:v>
      </x:c>
      <x:c r="B107" s="2" t="str">
        <x:v>A0029</x:v>
      </x:c>
      <x:c r="C107" s="10" t="n">
        <x:v>7</x:v>
      </x:c>
      <x:c r="D107" s="10" t="n">
        <x:v>7</x:v>
      </x:c>
      <x:c r="E107" s="10" t="n">
        <x:v>0</x:v>
      </x:c>
      <x:c r="F107" s="10" t="n">
        <x:v>1</x:v>
      </x:c>
      <x:c r="G107" s="10" t="n">
        <x:f>MIN(E107,3)</x:f>
        <x:v>0</x:v>
      </x:c>
      <x:c r="H107" s="10" t="n">
        <x:v>3</x:v>
      </x:c>
      <x:c r="I107" s="19" t="n">
        <x:v>0</x:v>
      </x:c>
      <x:c r="J107" s="19" t="n">
        <x:v>0.8</x:v>
      </x:c>
      <x:c r="K107" s="19" t="n">
        <x:v>0.5</x:v>
      </x:c>
    </x:row>
    <x:row r="108" ht="23" customHeight="1">
      <x:c r="A108" s="2" t="str">
        <x:v>D000_T07_C080_G050</x:v>
      </x:c>
      <x:c r="B108" s="2" t="str">
        <x:v>A0032</x:v>
      </x:c>
      <x:c r="C108" s="10" t="n">
        <x:v>7</x:v>
      </x:c>
      <x:c r="D108" s="10" t="n">
        <x:v>7</x:v>
      </x:c>
      <x:c r="E108" s="10" t="n">
        <x:v>0</x:v>
      </x:c>
      <x:c r="F108" s="10" t="n">
        <x:v>1</x:v>
      </x:c>
      <x:c r="G108" s="10" t="n">
        <x:f>MIN(E108,3)</x:f>
        <x:v>0</x:v>
      </x:c>
      <x:c r="H108" s="10" t="n">
        <x:v>3</x:v>
      </x:c>
      <x:c r="I108" s="19" t="n">
        <x:v>0</x:v>
      </x:c>
      <x:c r="J108" s="19" t="n">
        <x:v>0.8</x:v>
      </x:c>
      <x:c r="K108" s="19" t="n">
        <x:v>0.5</x:v>
      </x:c>
    </x:row>
    <x:row r="109" ht="23" customHeight="1">
      <x:c r="A109" s="2" t="str">
        <x:v>D000_T07_C080_G050</x:v>
      </x:c>
      <x:c r="B109" s="2" t="str">
        <x:v>A0198</x:v>
      </x:c>
      <x:c r="C109" s="10" t="n">
        <x:v>7</x:v>
      </x:c>
      <x:c r="D109" s="10"/>
      <x:c r="E109" s="10" t="n">
        <x:v>3</x:v>
      </x:c>
      <x:c r="F109" s="10" t="n">
        <x:v>0</x:v>
      </x:c>
      <x:c r="G109" s="10" t="n">
        <x:f>MIN(E109,3)</x:f>
        <x:v>3</x:v>
      </x:c>
      <x:c r="H109" s="10" t="n">
        <x:v>3</x:v>
      </x:c>
      <x:c r="I109" s="19" t="n">
        <x:v>0</x:v>
      </x:c>
      <x:c r="J109" s="19" t="n">
        <x:v>0.8</x:v>
      </x:c>
      <x:c r="K109" s="19" t="n">
        <x:v>0.5</x:v>
      </x:c>
    </x:row>
    <x:row r="110" ht="23" customHeight="1">
      <x:c r="A110" s="2" t="str">
        <x:v>D000_T07_C080_G075</x:v>
      </x:c>
      <x:c r="B110" s="2" t="str">
        <x:v>A0001</x:v>
      </x:c>
      <x:c r="C110" s="10" t="n">
        <x:v>7</x:v>
      </x:c>
      <x:c r="D110" s="10" t="n">
        <x:v>7</x:v>
      </x:c>
      <x:c r="E110" s="10" t="n">
        <x:v>0</x:v>
      </x:c>
      <x:c r="F110" s="10" t="n">
        <x:v>1</x:v>
      </x:c>
      <x:c r="G110" s="10" t="n">
        <x:f>MIN(E110,3)</x:f>
        <x:v>0</x:v>
      </x:c>
      <x:c r="H110" s="10" t="n">
        <x:v>3</x:v>
      </x:c>
      <x:c r="I110" s="19" t="n">
        <x:v>0</x:v>
      </x:c>
      <x:c r="J110" s="19" t="n">
        <x:v>0.8</x:v>
      </x:c>
      <x:c r="K110" s="19" t="n">
        <x:v>0.75</x:v>
      </x:c>
    </x:row>
    <x:row r="111" ht="23" customHeight="1">
      <x:c r="A111" s="2" t="str">
        <x:v>D000_T07_C080_G075</x:v>
      </x:c>
      <x:c r="B111" s="2" t="str">
        <x:v>A0011</x:v>
      </x:c>
      <x:c r="C111" s="10" t="n">
        <x:v>7</x:v>
      </x:c>
      <x:c r="D111" s="10" t="n">
        <x:v>8</x:v>
      </x:c>
      <x:c r="E111" s="10" t="n">
        <x:v>1</x:v>
      </x:c>
      <x:c r="F111" s="10" t="n">
        <x:v>1</x:v>
      </x:c>
      <x:c r="G111" s="10" t="n">
        <x:f>MIN(E111,3)</x:f>
        <x:v>1</x:v>
      </x:c>
      <x:c r="H111" s="10" t="n">
        <x:v>3</x:v>
      </x:c>
      <x:c r="I111" s="19" t="n">
        <x:v>0</x:v>
      </x:c>
      <x:c r="J111" s="19" t="n">
        <x:v>0.8</x:v>
      </x:c>
      <x:c r="K111" s="19" t="n">
        <x:v>0.75</x:v>
      </x:c>
    </x:row>
    <x:row r="112" ht="23" customHeight="1">
      <x:c r="A112" s="2" t="str">
        <x:v>D000_T07_C080_G075</x:v>
      </x:c>
      <x:c r="B112" s="2" t="str">
        <x:v>A0012</x:v>
      </x:c>
      <x:c r="C112" s="10" t="n">
        <x:v>7</x:v>
      </x:c>
      <x:c r="D112" s="10" t="n">
        <x:v>7</x:v>
      </x:c>
      <x:c r="E112" s="10" t="n">
        <x:v>0</x:v>
      </x:c>
      <x:c r="F112" s="10" t="n">
        <x:v>1</x:v>
      </x:c>
      <x:c r="G112" s="10" t="n">
        <x:f>MIN(E112,3)</x:f>
        <x:v>0</x:v>
      </x:c>
      <x:c r="H112" s="10" t="n">
        <x:v>3</x:v>
      </x:c>
      <x:c r="I112" s="19" t="n">
        <x:v>0</x:v>
      </x:c>
      <x:c r="J112" s="19" t="n">
        <x:v>0.8</x:v>
      </x:c>
      <x:c r="K112" s="19" t="n">
        <x:v>0.75</x:v>
      </x:c>
    </x:row>
    <x:row r="113" ht="23" customHeight="1">
      <x:c r="A113" s="2" t="str">
        <x:v>D000_T07_C080_G075</x:v>
      </x:c>
      <x:c r="B113" s="2" t="str">
        <x:v>A0019</x:v>
      </x:c>
      <x:c r="C113" s="10" t="n">
        <x:v>7</x:v>
      </x:c>
      <x:c r="D113" s="10" t="n">
        <x:v>7</x:v>
      </x:c>
      <x:c r="E113" s="10" t="n">
        <x:v>0</x:v>
      </x:c>
      <x:c r="F113" s="10" t="n">
        <x:v>1</x:v>
      </x:c>
      <x:c r="G113" s="10" t="n">
        <x:f>MIN(E113,3)</x:f>
        <x:v>0</x:v>
      </x:c>
      <x:c r="H113" s="10" t="n">
        <x:v>3</x:v>
      </x:c>
      <x:c r="I113" s="19" t="n">
        <x:v>0</x:v>
      </x:c>
      <x:c r="J113" s="19" t="n">
        <x:v>0.8</x:v>
      </x:c>
      <x:c r="K113" s="19" t="n">
        <x:v>0.75</x:v>
      </x:c>
    </x:row>
    <x:row r="114" ht="23" customHeight="1">
      <x:c r="A114" s="2" t="str">
        <x:v>D020_T02_C020_G025</x:v>
      </x:c>
      <x:c r="B114" s="2" t="str">
        <x:v>A0001</x:v>
      </x:c>
      <x:c r="C114" s="10" t="n">
        <x:v>2</x:v>
      </x:c>
      <x:c r="D114" s="10" t="n">
        <x:v>3</x:v>
      </x:c>
      <x:c r="E114" s="10" t="n">
        <x:v>1</x:v>
      </x:c>
      <x:c r="F114" s="10" t="n">
        <x:v>1</x:v>
      </x:c>
      <x:c r="G114" s="10" t="n">
        <x:f>MIN(E114,3)</x:f>
        <x:v>1</x:v>
      </x:c>
      <x:c r="H114" s="10" t="n">
        <x:v>8</x:v>
      </x:c>
      <x:c r="I114" s="19" t="n">
        <x:v>0.2</x:v>
      </x:c>
      <x:c r="J114" s="19" t="n">
        <x:v>0.2</x:v>
      </x:c>
      <x:c r="K114" s="19" t="n">
        <x:v>0.25</x:v>
      </x:c>
    </x:row>
    <x:row r="115" ht="23" customHeight="1">
      <x:c r="A115" s="2" t="str">
        <x:v>D020_T02_C020_G025</x:v>
      </x:c>
      <x:c r="B115" s="2" t="str">
        <x:v>A0005</x:v>
      </x:c>
      <x:c r="C115" s="10" t="n">
        <x:v>2</x:v>
      </x:c>
      <x:c r="D115" s="10" t="n">
        <x:v>8</x:v>
      </x:c>
      <x:c r="E115" s="10" t="n">
        <x:v>6</x:v>
      </x:c>
      <x:c r="F115" s="10" t="n">
        <x:v>1</x:v>
      </x:c>
      <x:c r="G115" s="10" t="n">
        <x:f>MIN(E115,3)</x:f>
        <x:v>3</x:v>
      </x:c>
      <x:c r="H115" s="10" t="n">
        <x:v>8</x:v>
      </x:c>
      <x:c r="I115" s="19" t="n">
        <x:v>0.2</x:v>
      </x:c>
      <x:c r="J115" s="19" t="n">
        <x:v>0.2</x:v>
      </x:c>
      <x:c r="K115" s="19" t="n">
        <x:v>0.25</x:v>
      </x:c>
    </x:row>
    <x:row r="116" ht="23" customHeight="1">
      <x:c r="A116" s="2" t="str">
        <x:v>D020_T02_C020_G025</x:v>
      </x:c>
      <x:c r="B116" s="2" t="str">
        <x:v>A0011</x:v>
      </x:c>
      <x:c r="C116" s="10" t="n">
        <x:v>2</x:v>
      </x:c>
      <x:c r="D116" s="10" t="n">
        <x:v>3</x:v>
      </x:c>
      <x:c r="E116" s="10" t="n">
        <x:v>1</x:v>
      </x:c>
      <x:c r="F116" s="10" t="n">
        <x:v>1</x:v>
      </x:c>
      <x:c r="G116" s="10" t="n">
        <x:f>MIN(E116,3)</x:f>
        <x:v>1</x:v>
      </x:c>
      <x:c r="H116" s="10" t="n">
        <x:v>8</x:v>
      </x:c>
      <x:c r="I116" s="19" t="n">
        <x:v>0.2</x:v>
      </x:c>
      <x:c r="J116" s="19" t="n">
        <x:v>0.2</x:v>
      </x:c>
      <x:c r="K116" s="19" t="n">
        <x:v>0.25</x:v>
      </x:c>
    </x:row>
    <x:row r="117" ht="23" customHeight="1">
      <x:c r="A117" s="2" t="str">
        <x:v>D020_T02_C020_G025</x:v>
      </x:c>
      <x:c r="B117" s="2" t="str">
        <x:v>A0012</x:v>
      </x:c>
      <x:c r="C117" s="10" t="n">
        <x:v>2</x:v>
      </x:c>
      <x:c r="D117" s="10"/>
      <x:c r="E117" s="10" t="n">
        <x:v>8</x:v>
      </x:c>
      <x:c r="F117" s="10" t="n">
        <x:v>0</x:v>
      </x:c>
      <x:c r="G117" s="10" t="n">
        <x:f>MIN(E117,3)</x:f>
        <x:v>3</x:v>
      </x:c>
      <x:c r="H117" s="10" t="n">
        <x:v>8</x:v>
      </x:c>
      <x:c r="I117" s="19" t="n">
        <x:v>0.2</x:v>
      </x:c>
      <x:c r="J117" s="19" t="n">
        <x:v>0.2</x:v>
      </x:c>
      <x:c r="K117" s="19" t="n">
        <x:v>0.25</x:v>
      </x:c>
    </x:row>
    <x:row r="118" ht="23" customHeight="1">
      <x:c r="A118" s="2" t="str">
        <x:v>D020_T02_C020_G025</x:v>
      </x:c>
      <x:c r="B118" s="2" t="str">
        <x:v>A0014</x:v>
      </x:c>
      <x:c r="C118" s="10" t="n">
        <x:v>2</x:v>
      </x:c>
      <x:c r="D118" s="10" t="n">
        <x:v>3</x:v>
      </x:c>
      <x:c r="E118" s="10" t="n">
        <x:v>1</x:v>
      </x:c>
      <x:c r="F118" s="10" t="n">
        <x:v>1</x:v>
      </x:c>
      <x:c r="G118" s="10" t="n">
        <x:f>MIN(E118,3)</x:f>
        <x:v>1</x:v>
      </x:c>
      <x:c r="H118" s="10" t="n">
        <x:v>8</x:v>
      </x:c>
      <x:c r="I118" s="19" t="n">
        <x:v>0.2</x:v>
      </x:c>
      <x:c r="J118" s="19" t="n">
        <x:v>0.2</x:v>
      </x:c>
      <x:c r="K118" s="19" t="n">
        <x:v>0.25</x:v>
      </x:c>
    </x:row>
    <x:row r="119" ht="23" customHeight="1">
      <x:c r="A119" s="2" t="str">
        <x:v>D020_T02_C020_G025</x:v>
      </x:c>
      <x:c r="B119" s="2" t="str">
        <x:v>A0017</x:v>
      </x:c>
      <x:c r="C119" s="10" t="n">
        <x:v>2</x:v>
      </x:c>
      <x:c r="D119" s="10"/>
      <x:c r="E119" s="10" t="n">
        <x:v>8</x:v>
      </x:c>
      <x:c r="F119" s="10" t="n">
        <x:v>0</x:v>
      </x:c>
      <x:c r="G119" s="10" t="n">
        <x:f>MIN(E119,3)</x:f>
        <x:v>3</x:v>
      </x:c>
      <x:c r="H119" s="10" t="n">
        <x:v>8</x:v>
      </x:c>
      <x:c r="I119" s="19" t="n">
        <x:v>0.2</x:v>
      </x:c>
      <x:c r="J119" s="19" t="n">
        <x:v>0.2</x:v>
      </x:c>
      <x:c r="K119" s="19" t="n">
        <x:v>0.25</x:v>
      </x:c>
    </x:row>
    <x:row r="120" ht="23" customHeight="1">
      <x:c r="A120" s="2" t="str">
        <x:v>D020_T02_C020_G025</x:v>
      </x:c>
      <x:c r="B120" s="2" t="str">
        <x:v>A0018</x:v>
      </x:c>
      <x:c r="C120" s="10" t="n">
        <x:v>2</x:v>
      </x:c>
      <x:c r="D120" s="10"/>
      <x:c r="E120" s="10" t="n">
        <x:v>8</x:v>
      </x:c>
      <x:c r="F120" s="10" t="n">
        <x:v>0</x:v>
      </x:c>
      <x:c r="G120" s="10" t="n">
        <x:f>MIN(E120,3)</x:f>
        <x:v>3</x:v>
      </x:c>
      <x:c r="H120" s="10" t="n">
        <x:v>8</x:v>
      </x:c>
      <x:c r="I120" s="19" t="n">
        <x:v>0.2</x:v>
      </x:c>
      <x:c r="J120" s="19" t="n">
        <x:v>0.2</x:v>
      </x:c>
      <x:c r="K120" s="19" t="n">
        <x:v>0.25</x:v>
      </x:c>
    </x:row>
    <x:row r="121" ht="23" customHeight="1">
      <x:c r="A121" s="2" t="str">
        <x:v>D020_T02_C020_G025</x:v>
      </x:c>
      <x:c r="B121" s="2" t="str">
        <x:v>A0025</x:v>
      </x:c>
      <x:c r="C121" s="10" t="n">
        <x:v>2</x:v>
      </x:c>
      <x:c r="D121" s="10" t="n">
        <x:v>8</x:v>
      </x:c>
      <x:c r="E121" s="10" t="n">
        <x:v>6</x:v>
      </x:c>
      <x:c r="F121" s="10" t="n">
        <x:v>1</x:v>
      </x:c>
      <x:c r="G121" s="10" t="n">
        <x:f>MIN(E121,3)</x:f>
        <x:v>3</x:v>
      </x:c>
      <x:c r="H121" s="10" t="n">
        <x:v>8</x:v>
      </x:c>
      <x:c r="I121" s="19" t="n">
        <x:v>0.2</x:v>
      </x:c>
      <x:c r="J121" s="19" t="n">
        <x:v>0.2</x:v>
      </x:c>
      <x:c r="K121" s="19" t="n">
        <x:v>0.25</x:v>
      </x:c>
    </x:row>
    <x:row r="122" ht="23" customHeight="1">
      <x:c r="A122" s="2" t="str">
        <x:v>D020_T02_C020_G025</x:v>
      </x:c>
      <x:c r="B122" s="2" t="str">
        <x:v>A0029</x:v>
      </x:c>
      <x:c r="C122" s="10" t="n">
        <x:v>2</x:v>
      </x:c>
      <x:c r="D122" s="10" t="n">
        <x:v>7</x:v>
      </x:c>
      <x:c r="E122" s="10" t="n">
        <x:v>5</x:v>
      </x:c>
      <x:c r="F122" s="10" t="n">
        <x:v>1</x:v>
      </x:c>
      <x:c r="G122" s="10" t="n">
        <x:f>MIN(E122,3)</x:f>
        <x:v>3</x:v>
      </x:c>
      <x:c r="H122" s="10" t="n">
        <x:v>8</x:v>
      </x:c>
      <x:c r="I122" s="19" t="n">
        <x:v>0.2</x:v>
      </x:c>
      <x:c r="J122" s="19" t="n">
        <x:v>0.2</x:v>
      </x:c>
      <x:c r="K122" s="19" t="n">
        <x:v>0.25</x:v>
      </x:c>
    </x:row>
    <x:row r="123" ht="23" customHeight="1">
      <x:c r="A123" s="2" t="str">
        <x:v>D020_T02_C020_G025</x:v>
      </x:c>
      <x:c r="B123" s="2" t="str">
        <x:v>A0032</x:v>
      </x:c>
      <x:c r="C123" s="10" t="n">
        <x:v>2</x:v>
      </x:c>
      <x:c r="D123" s="10" t="n">
        <x:v>10</x:v>
      </x:c>
      <x:c r="E123" s="10" t="n">
        <x:v>8</x:v>
      </x:c>
      <x:c r="F123" s="10" t="n">
        <x:v>1</x:v>
      </x:c>
      <x:c r="G123" s="10" t="n">
        <x:f>MIN(E123,3)</x:f>
        <x:v>3</x:v>
      </x:c>
      <x:c r="H123" s="10" t="n">
        <x:v>8</x:v>
      </x:c>
      <x:c r="I123" s="19" t="n">
        <x:v>0.2</x:v>
      </x:c>
      <x:c r="J123" s="19" t="n">
        <x:v>0.2</x:v>
      </x:c>
      <x:c r="K123" s="19" t="n">
        <x:v>0.25</x:v>
      </x:c>
    </x:row>
    <x:row r="124" ht="23" customHeight="1">
      <x:c r="A124" s="2" t="str">
        <x:v>D020_T02_C020_G025</x:v>
      </x:c>
      <x:c r="B124" s="2" t="str">
        <x:v>A0033</x:v>
      </x:c>
      <x:c r="C124" s="10" t="n">
        <x:v>2</x:v>
      </x:c>
      <x:c r="D124" s="10" t="n">
        <x:v>3</x:v>
      </x:c>
      <x:c r="E124" s="10" t="n">
        <x:v>1</x:v>
      </x:c>
      <x:c r="F124" s="10" t="n">
        <x:v>1</x:v>
      </x:c>
      <x:c r="G124" s="10" t="n">
        <x:f>MIN(E124,3)</x:f>
        <x:v>1</x:v>
      </x:c>
      <x:c r="H124" s="10" t="n">
        <x:v>8</x:v>
      </x:c>
      <x:c r="I124" s="19" t="n">
        <x:v>0.2</x:v>
      </x:c>
      <x:c r="J124" s="19" t="n">
        <x:v>0.2</x:v>
      </x:c>
      <x:c r="K124" s="19" t="n">
        <x:v>0.25</x:v>
      </x:c>
    </x:row>
    <x:row r="125" ht="23" customHeight="1">
      <x:c r="A125" s="2" t="str">
        <x:v>D020_T02_C020_G025</x:v>
      </x:c>
      <x:c r="B125" s="2" t="str">
        <x:v>A0034</x:v>
      </x:c>
      <x:c r="C125" s="10" t="n">
        <x:v>2</x:v>
      </x:c>
      <x:c r="D125" s="10" t="n">
        <x:v>9</x:v>
      </x:c>
      <x:c r="E125" s="10" t="n">
        <x:v>7</x:v>
      </x:c>
      <x:c r="F125" s="10" t="n">
        <x:v>1</x:v>
      </x:c>
      <x:c r="G125" s="10" t="n">
        <x:f>MIN(E125,3)</x:f>
        <x:v>3</x:v>
      </x:c>
      <x:c r="H125" s="10" t="n">
        <x:v>8</x:v>
      </x:c>
      <x:c r="I125" s="19" t="n">
        <x:v>0.2</x:v>
      </x:c>
      <x:c r="J125" s="19" t="n">
        <x:v>0.2</x:v>
      </x:c>
      <x:c r="K125" s="19" t="n">
        <x:v>0.25</x:v>
      </x:c>
    </x:row>
    <x:row r="126" ht="23" customHeight="1">
      <x:c r="A126" s="2" t="str">
        <x:v>D020_T02_C020_G025</x:v>
      </x:c>
      <x:c r="B126" s="2" t="str">
        <x:v>A0035</x:v>
      </x:c>
      <x:c r="C126" s="10" t="n">
        <x:v>2</x:v>
      </x:c>
      <x:c r="D126" s="10"/>
      <x:c r="E126" s="10" t="n">
        <x:v>8</x:v>
      </x:c>
      <x:c r="F126" s="10" t="n">
        <x:v>0</x:v>
      </x:c>
      <x:c r="G126" s="10" t="n">
        <x:f>MIN(E126,3)</x:f>
        <x:v>3</x:v>
      </x:c>
      <x:c r="H126" s="10" t="n">
        <x:v>8</x:v>
      </x:c>
      <x:c r="I126" s="19" t="n">
        <x:v>0.2</x:v>
      </x:c>
      <x:c r="J126" s="19" t="n">
        <x:v>0.2</x:v>
      </x:c>
      <x:c r="K126" s="19" t="n">
        <x:v>0.25</x:v>
      </x:c>
    </x:row>
    <x:row r="127" ht="23" customHeight="1">
      <x:c r="A127" s="2" t="str">
        <x:v>D020_T02_C020_G025</x:v>
      </x:c>
      <x:c r="B127" s="2" t="str">
        <x:v>A0040</x:v>
      </x:c>
      <x:c r="C127" s="10" t="n">
        <x:v>2</x:v>
      </x:c>
      <x:c r="D127" s="10" t="n">
        <x:v>7</x:v>
      </x:c>
      <x:c r="E127" s="10" t="n">
        <x:v>5</x:v>
      </x:c>
      <x:c r="F127" s="10" t="n">
        <x:v>1</x:v>
      </x:c>
      <x:c r="G127" s="10" t="n">
        <x:f>MIN(E127,3)</x:f>
        <x:v>3</x:v>
      </x:c>
      <x:c r="H127" s="10" t="n">
        <x:v>8</x:v>
      </x:c>
      <x:c r="I127" s="19" t="n">
        <x:v>0.2</x:v>
      </x:c>
      <x:c r="J127" s="19" t="n">
        <x:v>0.2</x:v>
      </x:c>
      <x:c r="K127" s="19" t="n">
        <x:v>0.25</x:v>
      </x:c>
    </x:row>
    <x:row r="128" ht="23" customHeight="1">
      <x:c r="A128" s="2" t="str">
        <x:v>D020_T02_C020_G025</x:v>
      </x:c>
      <x:c r="B128" s="2" t="str">
        <x:v>A0041</x:v>
      </x:c>
      <x:c r="C128" s="10" t="n">
        <x:v>2</x:v>
      </x:c>
      <x:c r="D128" s="10"/>
      <x:c r="E128" s="10" t="n">
        <x:v>8</x:v>
      </x:c>
      <x:c r="F128" s="10" t="n">
        <x:v>0</x:v>
      </x:c>
      <x:c r="G128" s="10" t="n">
        <x:f>MIN(E128,3)</x:f>
        <x:v>3</x:v>
      </x:c>
      <x:c r="H128" s="10" t="n">
        <x:v>8</x:v>
      </x:c>
      <x:c r="I128" s="19" t="n">
        <x:v>0.2</x:v>
      </x:c>
      <x:c r="J128" s="19" t="n">
        <x:v>0.2</x:v>
      </x:c>
      <x:c r="K128" s="19" t="n">
        <x:v>0.25</x:v>
      </x:c>
    </x:row>
    <x:row r="129" ht="23" customHeight="1">
      <x:c r="A129" s="2" t="str">
        <x:v>D020_T02_C020_G025</x:v>
      </x:c>
      <x:c r="B129" s="2" t="str">
        <x:v>A0071</x:v>
      </x:c>
      <x:c r="C129" s="10" t="n">
        <x:v>2</x:v>
      </x:c>
      <x:c r="D129" s="10"/>
      <x:c r="E129" s="10" t="n">
        <x:v>8</x:v>
      </x:c>
      <x:c r="F129" s="10" t="n">
        <x:v>0</x:v>
      </x:c>
      <x:c r="G129" s="10" t="n">
        <x:f>MIN(E129,3)</x:f>
        <x:v>3</x:v>
      </x:c>
      <x:c r="H129" s="10" t="n">
        <x:v>8</x:v>
      </x:c>
      <x:c r="I129" s="19" t="n">
        <x:v>0.2</x:v>
      </x:c>
      <x:c r="J129" s="19" t="n">
        <x:v>0.2</x:v>
      </x:c>
      <x:c r="K129" s="19" t="n">
        <x:v>0.25</x:v>
      </x:c>
    </x:row>
    <x:row r="130" ht="23" customHeight="1">
      <x:c r="A130" s="2" t="str">
        <x:v>D020_T02_C020_G025</x:v>
      </x:c>
      <x:c r="B130" s="2" t="str">
        <x:v>A0090</x:v>
      </x:c>
      <x:c r="C130" s="10" t="n">
        <x:v>2</x:v>
      </x:c>
      <x:c r="D130" s="10" t="n">
        <x:v>6</x:v>
      </x:c>
      <x:c r="E130" s="10" t="n">
        <x:v>4</x:v>
      </x:c>
      <x:c r="F130" s="10" t="n">
        <x:v>1</x:v>
      </x:c>
      <x:c r="G130" s="10" t="n">
        <x:f>MIN(E130,3)</x:f>
        <x:v>3</x:v>
      </x:c>
      <x:c r="H130" s="10" t="n">
        <x:v>8</x:v>
      </x:c>
      <x:c r="I130" s="19" t="n">
        <x:v>0.2</x:v>
      </x:c>
      <x:c r="J130" s="19" t="n">
        <x:v>0.2</x:v>
      </x:c>
      <x:c r="K130" s="19" t="n">
        <x:v>0.25</x:v>
      </x:c>
    </x:row>
    <x:row r="131" ht="23" customHeight="1">
      <x:c r="A131" s="2" t="str">
        <x:v>D020_T02_C020_G025</x:v>
      </x:c>
      <x:c r="B131" s="2" t="str">
        <x:v>A0206</x:v>
      </x:c>
      <x:c r="C131" s="10" t="n">
        <x:v>2</x:v>
      </x:c>
      <x:c r="D131" s="10" t="n">
        <x:v>3</x:v>
      </x:c>
      <x:c r="E131" s="10" t="n">
        <x:v>1</x:v>
      </x:c>
      <x:c r="F131" s="10" t="n">
        <x:v>1</x:v>
      </x:c>
      <x:c r="G131" s="10" t="n">
        <x:f>MIN(E131,3)</x:f>
        <x:v>1</x:v>
      </x:c>
      <x:c r="H131" s="10" t="n">
        <x:v>8</x:v>
      </x:c>
      <x:c r="I131" s="19" t="n">
        <x:v>0.2</x:v>
      </x:c>
      <x:c r="J131" s="19" t="n">
        <x:v>0.2</x:v>
      </x:c>
      <x:c r="K131" s="19" t="n">
        <x:v>0.25</x:v>
      </x:c>
    </x:row>
    <x:row r="132" ht="23" customHeight="1">
      <x:c r="A132" s="2" t="str">
        <x:v>D020_T02_C020_G050</x:v>
      </x:c>
      <x:c r="B132" s="2" t="str">
        <x:v>A0001</x:v>
      </x:c>
      <x:c r="C132" s="10" t="n">
        <x:v>2</x:v>
      </x:c>
      <x:c r="D132" s="10" t="n">
        <x:v>3</x:v>
      </x:c>
      <x:c r="E132" s="10" t="n">
        <x:v>1</x:v>
      </x:c>
      <x:c r="F132" s="10" t="n">
        <x:v>1</x:v>
      </x:c>
      <x:c r="G132" s="10" t="n">
        <x:f>MIN(E132,3)</x:f>
        <x:v>1</x:v>
      </x:c>
      <x:c r="H132" s="10" t="n">
        <x:v>8</x:v>
      </x:c>
      <x:c r="I132" s="19" t="n">
        <x:v>0.2</x:v>
      </x:c>
      <x:c r="J132" s="19" t="n">
        <x:v>0.2</x:v>
      </x:c>
      <x:c r="K132" s="19" t="n">
        <x:v>0.5</x:v>
      </x:c>
    </x:row>
    <x:row r="133" ht="23" customHeight="1">
      <x:c r="A133" s="2" t="str">
        <x:v>D020_T02_C020_G050</x:v>
      </x:c>
      <x:c r="B133" s="2" t="str">
        <x:v>A0005</x:v>
      </x:c>
      <x:c r="C133" s="10" t="n">
        <x:v>2</x:v>
      </x:c>
      <x:c r="D133" s="10"/>
      <x:c r="E133" s="10" t="n">
        <x:v>8</x:v>
      </x:c>
      <x:c r="F133" s="10" t="n">
        <x:v>0</x:v>
      </x:c>
      <x:c r="G133" s="10" t="n">
        <x:f>MIN(E133,3)</x:f>
        <x:v>3</x:v>
      </x:c>
      <x:c r="H133" s="10" t="n">
        <x:v>8</x:v>
      </x:c>
      <x:c r="I133" s="19" t="n">
        <x:v>0.2</x:v>
      </x:c>
      <x:c r="J133" s="19" t="n">
        <x:v>0.2</x:v>
      </x:c>
      <x:c r="K133" s="19" t="n">
        <x:v>0.5</x:v>
      </x:c>
    </x:row>
    <x:row r="134" ht="23" customHeight="1">
      <x:c r="A134" s="2" t="str">
        <x:v>D020_T02_C020_G050</x:v>
      </x:c>
      <x:c r="B134" s="2" t="str">
        <x:v>A0011</x:v>
      </x:c>
      <x:c r="C134" s="10" t="n">
        <x:v>2</x:v>
      </x:c>
      <x:c r="D134" s="10" t="n">
        <x:v>3</x:v>
      </x:c>
      <x:c r="E134" s="10" t="n">
        <x:v>1</x:v>
      </x:c>
      <x:c r="F134" s="10" t="n">
        <x:v>1</x:v>
      </x:c>
      <x:c r="G134" s="10" t="n">
        <x:f>MIN(E134,3)</x:f>
        <x:v>1</x:v>
      </x:c>
      <x:c r="H134" s="10" t="n">
        <x:v>8</x:v>
      </x:c>
      <x:c r="I134" s="19" t="n">
        <x:v>0.2</x:v>
      </x:c>
      <x:c r="J134" s="19" t="n">
        <x:v>0.2</x:v>
      </x:c>
      <x:c r="K134" s="19" t="n">
        <x:v>0.5</x:v>
      </x:c>
    </x:row>
    <x:row r="135" ht="23" customHeight="1">
      <x:c r="A135" s="2" t="str">
        <x:v>D020_T02_C020_G050</x:v>
      </x:c>
      <x:c r="B135" s="2" t="str">
        <x:v>A0012</x:v>
      </x:c>
      <x:c r="C135" s="10" t="n">
        <x:v>2</x:v>
      </x:c>
      <x:c r="D135" s="10"/>
      <x:c r="E135" s="10" t="n">
        <x:v>8</x:v>
      </x:c>
      <x:c r="F135" s="10" t="n">
        <x:v>0</x:v>
      </x:c>
      <x:c r="G135" s="10" t="n">
        <x:f>MIN(E135,3)</x:f>
        <x:v>3</x:v>
      </x:c>
      <x:c r="H135" s="10" t="n">
        <x:v>8</x:v>
      </x:c>
      <x:c r="I135" s="19" t="n">
        <x:v>0.2</x:v>
      </x:c>
      <x:c r="J135" s="19" t="n">
        <x:v>0.2</x:v>
      </x:c>
      <x:c r="K135" s="19" t="n">
        <x:v>0.5</x:v>
      </x:c>
    </x:row>
    <x:row r="136" ht="23" customHeight="1">
      <x:c r="A136" s="2" t="str">
        <x:v>D020_T02_C020_G050</x:v>
      </x:c>
      <x:c r="B136" s="2" t="str">
        <x:v>A0014</x:v>
      </x:c>
      <x:c r="C136" s="10" t="n">
        <x:v>2</x:v>
      </x:c>
      <x:c r="D136" s="10" t="n">
        <x:v>2</x:v>
      </x:c>
      <x:c r="E136" s="10" t="n">
        <x:v>0</x:v>
      </x:c>
      <x:c r="F136" s="10" t="n">
        <x:v>1</x:v>
      </x:c>
      <x:c r="G136" s="10" t="n">
        <x:f>MIN(E136,3)</x:f>
        <x:v>0</x:v>
      </x:c>
      <x:c r="H136" s="10" t="n">
        <x:v>8</x:v>
      </x:c>
      <x:c r="I136" s="19" t="n">
        <x:v>0.2</x:v>
      </x:c>
      <x:c r="J136" s="19" t="n">
        <x:v>0.2</x:v>
      </x:c>
      <x:c r="K136" s="19" t="n">
        <x:v>0.5</x:v>
      </x:c>
    </x:row>
    <x:row r="137" ht="23" customHeight="1">
      <x:c r="A137" s="2" t="str">
        <x:v>D020_T02_C020_G050</x:v>
      </x:c>
      <x:c r="B137" s="2" t="str">
        <x:v>A0017</x:v>
      </x:c>
      <x:c r="C137" s="10" t="n">
        <x:v>2</x:v>
      </x:c>
      <x:c r="D137" s="10" t="n">
        <x:v>4</x:v>
      </x:c>
      <x:c r="E137" s="10" t="n">
        <x:v>2</x:v>
      </x:c>
      <x:c r="F137" s="10" t="n">
        <x:v>1</x:v>
      </x:c>
      <x:c r="G137" s="10" t="n">
        <x:f>MIN(E137,3)</x:f>
        <x:v>2</x:v>
      </x:c>
      <x:c r="H137" s="10" t="n">
        <x:v>8</x:v>
      </x:c>
      <x:c r="I137" s="19" t="n">
        <x:v>0.2</x:v>
      </x:c>
      <x:c r="J137" s="19" t="n">
        <x:v>0.2</x:v>
      </x:c>
      <x:c r="K137" s="19" t="n">
        <x:v>0.5</x:v>
      </x:c>
    </x:row>
    <x:row r="138" ht="23" customHeight="1">
      <x:c r="A138" s="2" t="str">
        <x:v>D020_T02_C020_G050</x:v>
      </x:c>
      <x:c r="B138" s="2" t="str">
        <x:v>A0019</x:v>
      </x:c>
      <x:c r="C138" s="10" t="n">
        <x:v>2</x:v>
      </x:c>
      <x:c r="D138" s="10"/>
      <x:c r="E138" s="10" t="n">
        <x:v>8</x:v>
      </x:c>
      <x:c r="F138" s="10" t="n">
        <x:v>0</x:v>
      </x:c>
      <x:c r="G138" s="10" t="n">
        <x:f>MIN(E138,3)</x:f>
        <x:v>3</x:v>
      </x:c>
      <x:c r="H138" s="10" t="n">
        <x:v>8</x:v>
      </x:c>
      <x:c r="I138" s="19" t="n">
        <x:v>0.2</x:v>
      </x:c>
      <x:c r="J138" s="19" t="n">
        <x:v>0.2</x:v>
      </x:c>
      <x:c r="K138" s="19" t="n">
        <x:v>0.5</x:v>
      </x:c>
    </x:row>
    <x:row r="139" ht="23" customHeight="1">
      <x:c r="A139" s="2" t="str">
        <x:v>D020_T02_C020_G050</x:v>
      </x:c>
      <x:c r="B139" s="2" t="str">
        <x:v>A0025</x:v>
      </x:c>
      <x:c r="C139" s="10" t="n">
        <x:v>2</x:v>
      </x:c>
      <x:c r="D139" s="10" t="n">
        <x:v>2</x:v>
      </x:c>
      <x:c r="E139" s="10" t="n">
        <x:v>0</x:v>
      </x:c>
      <x:c r="F139" s="10" t="n">
        <x:v>1</x:v>
      </x:c>
      <x:c r="G139" s="10" t="n">
        <x:f>MIN(E139,3)</x:f>
        <x:v>0</x:v>
      </x:c>
      <x:c r="H139" s="10" t="n">
        <x:v>8</x:v>
      </x:c>
      <x:c r="I139" s="19" t="n">
        <x:v>0.2</x:v>
      </x:c>
      <x:c r="J139" s="19" t="n">
        <x:v>0.2</x:v>
      </x:c>
      <x:c r="K139" s="19" t="n">
        <x:v>0.5</x:v>
      </x:c>
    </x:row>
    <x:row r="140" ht="23" customHeight="1">
      <x:c r="A140" s="2" t="str">
        <x:v>D020_T02_C020_G050</x:v>
      </x:c>
      <x:c r="B140" s="2" t="str">
        <x:v>A0032</x:v>
      </x:c>
      <x:c r="C140" s="10" t="n">
        <x:v>2</x:v>
      </x:c>
      <x:c r="D140" s="10" t="n">
        <x:v>2</x:v>
      </x:c>
      <x:c r="E140" s="10" t="n">
        <x:v>0</x:v>
      </x:c>
      <x:c r="F140" s="10" t="n">
        <x:v>1</x:v>
      </x:c>
      <x:c r="G140" s="10" t="n">
        <x:f>MIN(E140,3)</x:f>
        <x:v>0</x:v>
      </x:c>
      <x:c r="H140" s="10" t="n">
        <x:v>8</x:v>
      </x:c>
      <x:c r="I140" s="19" t="n">
        <x:v>0.2</x:v>
      </x:c>
      <x:c r="J140" s="19" t="n">
        <x:v>0.2</x:v>
      </x:c>
      <x:c r="K140" s="19" t="n">
        <x:v>0.5</x:v>
      </x:c>
    </x:row>
    <x:row r="141" ht="23" customHeight="1">
      <x:c r="A141" s="2" t="str">
        <x:v>D020_T02_C020_G050</x:v>
      </x:c>
      <x:c r="B141" s="2" t="str">
        <x:v>A0034</x:v>
      </x:c>
      <x:c r="C141" s="10" t="n">
        <x:v>2</x:v>
      </x:c>
      <x:c r="D141" s="10" t="n">
        <x:v>5</x:v>
      </x:c>
      <x:c r="E141" s="10" t="n">
        <x:v>3</x:v>
      </x:c>
      <x:c r="F141" s="10" t="n">
        <x:v>1</x:v>
      </x:c>
      <x:c r="G141" s="10" t="n">
        <x:f>MIN(E141,3)</x:f>
        <x:v>3</x:v>
      </x:c>
      <x:c r="H141" s="10" t="n">
        <x:v>8</x:v>
      </x:c>
      <x:c r="I141" s="19" t="n">
        <x:v>0.2</x:v>
      </x:c>
      <x:c r="J141" s="19" t="n">
        <x:v>0.2</x:v>
      </x:c>
      <x:c r="K141" s="19" t="n">
        <x:v>0.5</x:v>
      </x:c>
    </x:row>
    <x:row r="142" ht="23" customHeight="1">
      <x:c r="A142" s="2" t="str">
        <x:v>D020_T02_C020_G050</x:v>
      </x:c>
      <x:c r="B142" s="2" t="str">
        <x:v>A0035</x:v>
      </x:c>
      <x:c r="C142" s="10" t="n">
        <x:v>2</x:v>
      </x:c>
      <x:c r="D142" s="10" t="n">
        <x:v>5</x:v>
      </x:c>
      <x:c r="E142" s="10" t="n">
        <x:v>3</x:v>
      </x:c>
      <x:c r="F142" s="10" t="n">
        <x:v>1</x:v>
      </x:c>
      <x:c r="G142" s="10" t="n">
        <x:f>MIN(E142,3)</x:f>
        <x:v>3</x:v>
      </x:c>
      <x:c r="H142" s="10" t="n">
        <x:v>8</x:v>
      </x:c>
      <x:c r="I142" s="19" t="n">
        <x:v>0.2</x:v>
      </x:c>
      <x:c r="J142" s="19" t="n">
        <x:v>0.2</x:v>
      </x:c>
      <x:c r="K142" s="19" t="n">
        <x:v>0.5</x:v>
      </x:c>
    </x:row>
    <x:row r="143" ht="23" customHeight="1">
      <x:c r="A143" s="2" t="str">
        <x:v>D020_T02_C020_G050</x:v>
      </x:c>
      <x:c r="B143" s="2" t="str">
        <x:v>A0037</x:v>
      </x:c>
      <x:c r="C143" s="10" t="n">
        <x:v>2</x:v>
      </x:c>
      <x:c r="D143" s="10"/>
      <x:c r="E143" s="10" t="n">
        <x:v>8</x:v>
      </x:c>
      <x:c r="F143" s="10" t="n">
        <x:v>0</x:v>
      </x:c>
      <x:c r="G143" s="10" t="n">
        <x:f>MIN(E143,3)</x:f>
        <x:v>3</x:v>
      </x:c>
      <x:c r="H143" s="10" t="n">
        <x:v>8</x:v>
      </x:c>
      <x:c r="I143" s="19" t="n">
        <x:v>0.2</x:v>
      </x:c>
      <x:c r="J143" s="19" t="n">
        <x:v>0.2</x:v>
      </x:c>
      <x:c r="K143" s="19" t="n">
        <x:v>0.5</x:v>
      </x:c>
    </x:row>
    <x:row r="144" ht="23" customHeight="1">
      <x:c r="A144" s="2" t="str">
        <x:v>D020_T02_C020_G050</x:v>
      </x:c>
      <x:c r="B144" s="2" t="str">
        <x:v>A0041</x:v>
      </x:c>
      <x:c r="C144" s="10" t="n">
        <x:v>2</x:v>
      </x:c>
      <x:c r="D144" s="10"/>
      <x:c r="E144" s="10" t="n">
        <x:v>8</x:v>
      </x:c>
      <x:c r="F144" s="10" t="n">
        <x:v>0</x:v>
      </x:c>
      <x:c r="G144" s="10" t="n">
        <x:f>MIN(E144,3)</x:f>
        <x:v>3</x:v>
      </x:c>
      <x:c r="H144" s="10" t="n">
        <x:v>8</x:v>
      </x:c>
      <x:c r="I144" s="19" t="n">
        <x:v>0.2</x:v>
      </x:c>
      <x:c r="J144" s="19" t="n">
        <x:v>0.2</x:v>
      </x:c>
      <x:c r="K144" s="19" t="n">
        <x:v>0.5</x:v>
      </x:c>
    </x:row>
    <x:row r="145" ht="23" customHeight="1">
      <x:c r="A145" s="2" t="str">
        <x:v>D020_T02_C020_G050</x:v>
      </x:c>
      <x:c r="B145" s="2" t="str">
        <x:v>A0090</x:v>
      </x:c>
      <x:c r="C145" s="10" t="n">
        <x:v>2</x:v>
      </x:c>
      <x:c r="D145" s="10" t="n">
        <x:v>5</x:v>
      </x:c>
      <x:c r="E145" s="10" t="n">
        <x:v>3</x:v>
      </x:c>
      <x:c r="F145" s="10" t="n">
        <x:v>1</x:v>
      </x:c>
      <x:c r="G145" s="10" t="n">
        <x:f>MIN(E145,3)</x:f>
        <x:v>3</x:v>
      </x:c>
      <x:c r="H145" s="10" t="n">
        <x:v>8</x:v>
      </x:c>
      <x:c r="I145" s="19" t="n">
        <x:v>0.2</x:v>
      </x:c>
      <x:c r="J145" s="19" t="n">
        <x:v>0.2</x:v>
      </x:c>
      <x:c r="K145" s="19" t="n">
        <x:v>0.5</x:v>
      </x:c>
    </x:row>
    <x:row r="146" ht="23" customHeight="1">
      <x:c r="A146" s="2" t="str">
        <x:v>D020_T02_C020_G050</x:v>
      </x:c>
      <x:c r="B146" s="2" t="str">
        <x:v>A0206</x:v>
      </x:c>
      <x:c r="C146" s="10" t="n">
        <x:v>2</x:v>
      </x:c>
      <x:c r="D146" s="10" t="n">
        <x:v>2</x:v>
      </x:c>
      <x:c r="E146" s="10" t="n">
        <x:v>0</x:v>
      </x:c>
      <x:c r="F146" s="10" t="n">
        <x:v>1</x:v>
      </x:c>
      <x:c r="G146" s="10" t="n">
        <x:f>MIN(E146,3)</x:f>
        <x:v>0</x:v>
      </x:c>
      <x:c r="H146" s="10" t="n">
        <x:v>8</x:v>
      </x:c>
      <x:c r="I146" s="19" t="n">
        <x:v>0.2</x:v>
      </x:c>
      <x:c r="J146" s="19" t="n">
        <x:v>0.2</x:v>
      </x:c>
      <x:c r="K146" s="19" t="n">
        <x:v>0.5</x:v>
      </x:c>
    </x:row>
    <x:row r="147" ht="23" customHeight="1">
      <x:c r="A147" s="2" t="str">
        <x:v>D020_T02_C020_G075</x:v>
      </x:c>
      <x:c r="B147" s="2" t="str">
        <x:v>A0003</x:v>
      </x:c>
      <x:c r="C147" s="10" t="n">
        <x:v>2</x:v>
      </x:c>
      <x:c r="D147" s="10" t="n">
        <x:v>2</x:v>
      </x:c>
      <x:c r="E147" s="10" t="n">
        <x:v>0</x:v>
      </x:c>
      <x:c r="F147" s="10" t="n">
        <x:v>1</x:v>
      </x:c>
      <x:c r="G147" s="10" t="n">
        <x:f>MIN(E147,3)</x:f>
        <x:v>0</x:v>
      </x:c>
      <x:c r="H147" s="10" t="n">
        <x:v>8</x:v>
      </x:c>
      <x:c r="I147" s="19" t="n">
        <x:v>0.2</x:v>
      </x:c>
      <x:c r="J147" s="19" t="n">
        <x:v>0.2</x:v>
      </x:c>
      <x:c r="K147" s="19" t="n">
        <x:v>0.75</x:v>
      </x:c>
    </x:row>
    <x:row r="148" ht="23" customHeight="1">
      <x:c r="A148" s="2" t="str">
        <x:v>D020_T02_C020_G075</x:v>
      </x:c>
      <x:c r="B148" s="2" t="str">
        <x:v>A0011</x:v>
      </x:c>
      <x:c r="C148" s="10" t="n">
        <x:v>2</x:v>
      </x:c>
      <x:c r="D148" s="10" t="n">
        <x:v>2</x:v>
      </x:c>
      <x:c r="E148" s="10" t="n">
        <x:v>0</x:v>
      </x:c>
      <x:c r="F148" s="10" t="n">
        <x:v>1</x:v>
      </x:c>
      <x:c r="G148" s="10" t="n">
        <x:f>MIN(E148,3)</x:f>
        <x:v>0</x:v>
      </x:c>
      <x:c r="H148" s="10" t="n">
        <x:v>8</x:v>
      </x:c>
      <x:c r="I148" s="19" t="n">
        <x:v>0.2</x:v>
      </x:c>
      <x:c r="J148" s="19" t="n">
        <x:v>0.2</x:v>
      </x:c>
      <x:c r="K148" s="19" t="n">
        <x:v>0.75</x:v>
      </x:c>
    </x:row>
    <x:row r="149" ht="23" customHeight="1">
      <x:c r="A149" s="2" t="str">
        <x:v>D020_T02_C020_G075</x:v>
      </x:c>
      <x:c r="B149" s="2" t="str">
        <x:v>A0012</x:v>
      </x:c>
      <x:c r="C149" s="10" t="n">
        <x:v>2</x:v>
      </x:c>
      <x:c r="D149" s="10" t="n">
        <x:v>3</x:v>
      </x:c>
      <x:c r="E149" s="10" t="n">
        <x:v>1</x:v>
      </x:c>
      <x:c r="F149" s="10" t="n">
        <x:v>1</x:v>
      </x:c>
      <x:c r="G149" s="10" t="n">
        <x:f>MIN(E149,3)</x:f>
        <x:v>1</x:v>
      </x:c>
      <x:c r="H149" s="10" t="n">
        <x:v>8</x:v>
      </x:c>
      <x:c r="I149" s="19" t="n">
        <x:v>0.2</x:v>
      </x:c>
      <x:c r="J149" s="19" t="n">
        <x:v>0.2</x:v>
      </x:c>
      <x:c r="K149" s="19" t="n">
        <x:v>0.75</x:v>
      </x:c>
    </x:row>
    <x:row r="150" ht="23" customHeight="1">
      <x:c r="A150" s="2" t="str">
        <x:v>D020_T02_C020_G075</x:v>
      </x:c>
      <x:c r="B150" s="2" t="str">
        <x:v>A0017</x:v>
      </x:c>
      <x:c r="C150" s="10" t="n">
        <x:v>2</x:v>
      </x:c>
      <x:c r="D150" s="10" t="n">
        <x:v>4</x:v>
      </x:c>
      <x:c r="E150" s="10" t="n">
        <x:v>2</x:v>
      </x:c>
      <x:c r="F150" s="10" t="n">
        <x:v>1</x:v>
      </x:c>
      <x:c r="G150" s="10" t="n">
        <x:f>MIN(E150,3)</x:f>
        <x:v>2</x:v>
      </x:c>
      <x:c r="H150" s="10" t="n">
        <x:v>8</x:v>
      </x:c>
      <x:c r="I150" s="19" t="n">
        <x:v>0.2</x:v>
      </x:c>
      <x:c r="J150" s="19" t="n">
        <x:v>0.2</x:v>
      </x:c>
      <x:c r="K150" s="19" t="n">
        <x:v>0.75</x:v>
      </x:c>
    </x:row>
    <x:row r="151" ht="23" customHeight="1">
      <x:c r="A151" s="2" t="str">
        <x:v>D020_T02_C020_G075</x:v>
      </x:c>
      <x:c r="B151" s="2" t="str">
        <x:v>A0018</x:v>
      </x:c>
      <x:c r="C151" s="10" t="n">
        <x:v>2</x:v>
      </x:c>
      <x:c r="D151" s="10" t="n">
        <x:v>4</x:v>
      </x:c>
      <x:c r="E151" s="10" t="n">
        <x:v>2</x:v>
      </x:c>
      <x:c r="F151" s="10" t="n">
        <x:v>1</x:v>
      </x:c>
      <x:c r="G151" s="10" t="n">
        <x:f>MIN(E151,3)</x:f>
        <x:v>2</x:v>
      </x:c>
      <x:c r="H151" s="10" t="n">
        <x:v>8</x:v>
      </x:c>
      <x:c r="I151" s="19" t="n">
        <x:v>0.2</x:v>
      </x:c>
      <x:c r="J151" s="19" t="n">
        <x:v>0.2</x:v>
      </x:c>
      <x:c r="K151" s="19" t="n">
        <x:v>0.75</x:v>
      </x:c>
    </x:row>
    <x:row r="152" ht="23" customHeight="1">
      <x:c r="A152" s="2" t="str">
        <x:v>D020_T02_C020_G075</x:v>
      </x:c>
      <x:c r="B152" s="2" t="str">
        <x:v>A0027</x:v>
      </x:c>
      <x:c r="C152" s="10" t="n">
        <x:v>2</x:v>
      </x:c>
      <x:c r="D152" s="10" t="n">
        <x:v>4</x:v>
      </x:c>
      <x:c r="E152" s="10" t="n">
        <x:v>2</x:v>
      </x:c>
      <x:c r="F152" s="10" t="n">
        <x:v>1</x:v>
      </x:c>
      <x:c r="G152" s="10" t="n">
        <x:f>MIN(E152,3)</x:f>
        <x:v>2</x:v>
      </x:c>
      <x:c r="H152" s="10" t="n">
        <x:v>8</x:v>
      </x:c>
      <x:c r="I152" s="19" t="n">
        <x:v>0.2</x:v>
      </x:c>
      <x:c r="J152" s="19" t="n">
        <x:v>0.2</x:v>
      </x:c>
      <x:c r="K152" s="19" t="n">
        <x:v>0.75</x:v>
      </x:c>
    </x:row>
    <x:row r="153" ht="23" customHeight="1">
      <x:c r="A153" s="2" t="str">
        <x:v>D020_T02_C020_G075</x:v>
      </x:c>
      <x:c r="B153" s="2" t="str">
        <x:v>A0030</x:v>
      </x:c>
      <x:c r="C153" s="10" t="n">
        <x:v>2</x:v>
      </x:c>
      <x:c r="D153" s="10" t="n">
        <x:v>4</x:v>
      </x:c>
      <x:c r="E153" s="10" t="n">
        <x:v>2</x:v>
      </x:c>
      <x:c r="F153" s="10" t="n">
        <x:v>1</x:v>
      </x:c>
      <x:c r="G153" s="10" t="n">
        <x:f>MIN(E153,3)</x:f>
        <x:v>2</x:v>
      </x:c>
      <x:c r="H153" s="10" t="n">
        <x:v>8</x:v>
      </x:c>
      <x:c r="I153" s="19" t="n">
        <x:v>0.2</x:v>
      </x:c>
      <x:c r="J153" s="19" t="n">
        <x:v>0.2</x:v>
      </x:c>
      <x:c r="K153" s="19" t="n">
        <x:v>0.75</x:v>
      </x:c>
    </x:row>
    <x:row r="154" ht="23" customHeight="1">
      <x:c r="A154" s="2" t="str">
        <x:v>D020_T02_C020_G075</x:v>
      </x:c>
      <x:c r="B154" s="2" t="str">
        <x:v>A0032</x:v>
      </x:c>
      <x:c r="C154" s="10" t="n">
        <x:v>2</x:v>
      </x:c>
      <x:c r="D154" s="10" t="n">
        <x:v>2</x:v>
      </x:c>
      <x:c r="E154" s="10" t="n">
        <x:v>0</x:v>
      </x:c>
      <x:c r="F154" s="10" t="n">
        <x:v>1</x:v>
      </x:c>
      <x:c r="G154" s="10" t="n">
        <x:f>MIN(E154,3)</x:f>
        <x:v>0</x:v>
      </x:c>
      <x:c r="H154" s="10" t="n">
        <x:v>8</x:v>
      </x:c>
      <x:c r="I154" s="19" t="n">
        <x:v>0.2</x:v>
      </x:c>
      <x:c r="J154" s="19" t="n">
        <x:v>0.2</x:v>
      </x:c>
      <x:c r="K154" s="19" t="n">
        <x:v>0.75</x:v>
      </x:c>
    </x:row>
    <x:row r="155" ht="23" customHeight="1">
      <x:c r="A155" s="2" t="str">
        <x:v>D020_T02_C020_G075</x:v>
      </x:c>
      <x:c r="B155" s="2" t="str">
        <x:v>A0034</x:v>
      </x:c>
      <x:c r="C155" s="10" t="n">
        <x:v>2</x:v>
      </x:c>
      <x:c r="D155" s="10"/>
      <x:c r="E155" s="10" t="n">
        <x:v>8</x:v>
      </x:c>
      <x:c r="F155" s="10" t="n">
        <x:v>0</x:v>
      </x:c>
      <x:c r="G155" s="10" t="n">
        <x:f>MIN(E155,3)</x:f>
        <x:v>3</x:v>
      </x:c>
      <x:c r="H155" s="10" t="n">
        <x:v>8</x:v>
      </x:c>
      <x:c r="I155" s="19" t="n">
        <x:v>0.2</x:v>
      </x:c>
      <x:c r="J155" s="19" t="n">
        <x:v>0.2</x:v>
      </x:c>
      <x:c r="K155" s="19" t="n">
        <x:v>0.75</x:v>
      </x:c>
    </x:row>
    <x:row r="156" ht="23" customHeight="1">
      <x:c r="A156" s="2" t="str">
        <x:v>D020_T02_C020_G075</x:v>
      </x:c>
      <x:c r="B156" s="2" t="str">
        <x:v>A0035</x:v>
      </x:c>
      <x:c r="C156" s="10" t="n">
        <x:v>2</x:v>
      </x:c>
      <x:c r="D156" s="10" t="n">
        <x:v>4</x:v>
      </x:c>
      <x:c r="E156" s="10" t="n">
        <x:v>2</x:v>
      </x:c>
      <x:c r="F156" s="10" t="n">
        <x:v>1</x:v>
      </x:c>
      <x:c r="G156" s="10" t="n">
        <x:f>MIN(E156,3)</x:f>
        <x:v>2</x:v>
      </x:c>
      <x:c r="H156" s="10" t="n">
        <x:v>8</x:v>
      </x:c>
      <x:c r="I156" s="19" t="n">
        <x:v>0.2</x:v>
      </x:c>
      <x:c r="J156" s="19" t="n">
        <x:v>0.2</x:v>
      </x:c>
      <x:c r="K156" s="19" t="n">
        <x:v>0.75</x:v>
      </x:c>
    </x:row>
    <x:row r="157" ht="23" customHeight="1">
      <x:c r="A157" s="2" t="str">
        <x:v>D020_T02_C020_G075</x:v>
      </x:c>
      <x:c r="B157" s="2" t="str">
        <x:v>A0037</x:v>
      </x:c>
      <x:c r="C157" s="10" t="n">
        <x:v>2</x:v>
      </x:c>
      <x:c r="D157" s="10" t="n">
        <x:v>3</x:v>
      </x:c>
      <x:c r="E157" s="10" t="n">
        <x:v>1</x:v>
      </x:c>
      <x:c r="F157" s="10" t="n">
        <x:v>1</x:v>
      </x:c>
      <x:c r="G157" s="10" t="n">
        <x:f>MIN(E157,3)</x:f>
        <x:v>1</x:v>
      </x:c>
      <x:c r="H157" s="10" t="n">
        <x:v>8</x:v>
      </x:c>
      <x:c r="I157" s="19" t="n">
        <x:v>0.2</x:v>
      </x:c>
      <x:c r="J157" s="19" t="n">
        <x:v>0.2</x:v>
      </x:c>
      <x:c r="K157" s="19" t="n">
        <x:v>0.75</x:v>
      </x:c>
    </x:row>
    <x:row r="158" ht="23" customHeight="1">
      <x:c r="A158" s="2" t="str">
        <x:v>D020_T02_C020_G075</x:v>
      </x:c>
      <x:c r="B158" s="2" t="str">
        <x:v>A0038</x:v>
      </x:c>
      <x:c r="C158" s="10" t="n">
        <x:v>2</x:v>
      </x:c>
      <x:c r="D158" s="10" t="n">
        <x:v>3</x:v>
      </x:c>
      <x:c r="E158" s="10" t="n">
        <x:v>1</x:v>
      </x:c>
      <x:c r="F158" s="10" t="n">
        <x:v>1</x:v>
      </x:c>
      <x:c r="G158" s="10" t="n">
        <x:f>MIN(E158,3)</x:f>
        <x:v>1</x:v>
      </x:c>
      <x:c r="H158" s="10" t="n">
        <x:v>8</x:v>
      </x:c>
      <x:c r="I158" s="19" t="n">
        <x:v>0.2</x:v>
      </x:c>
      <x:c r="J158" s="19" t="n">
        <x:v>0.2</x:v>
      </x:c>
      <x:c r="K158" s="19" t="n">
        <x:v>0.75</x:v>
      </x:c>
    </x:row>
    <x:row r="159" ht="23" customHeight="1">
      <x:c r="A159" s="2" t="str">
        <x:v>D020_T02_C020_G075</x:v>
      </x:c>
      <x:c r="B159" s="2" t="str">
        <x:v>A0041</x:v>
      </x:c>
      <x:c r="C159" s="10" t="n">
        <x:v>2</x:v>
      </x:c>
      <x:c r="D159" s="10" t="n">
        <x:v>5</x:v>
      </x:c>
      <x:c r="E159" s="10" t="n">
        <x:v>3</x:v>
      </x:c>
      <x:c r="F159" s="10" t="n">
        <x:v>1</x:v>
      </x:c>
      <x:c r="G159" s="10" t="n">
        <x:f>MIN(E159,3)</x:f>
        <x:v>3</x:v>
      </x:c>
      <x:c r="H159" s="10" t="n">
        <x:v>8</x:v>
      </x:c>
      <x:c r="I159" s="19" t="n">
        <x:v>0.2</x:v>
      </x:c>
      <x:c r="J159" s="19" t="n">
        <x:v>0.2</x:v>
      </x:c>
      <x:c r="K159" s="19" t="n">
        <x:v>0.75</x:v>
      </x:c>
    </x:row>
    <x:row r="160" ht="23" customHeight="1">
      <x:c r="A160" s="2" t="str">
        <x:v>D020_T02_C020_G075</x:v>
      </x:c>
      <x:c r="B160" s="2" t="str">
        <x:v>A0206</x:v>
      </x:c>
      <x:c r="C160" s="10" t="n">
        <x:v>2</x:v>
      </x:c>
      <x:c r="D160" s="10" t="n">
        <x:v>2</x:v>
      </x:c>
      <x:c r="E160" s="10" t="n">
        <x:v>0</x:v>
      </x:c>
      <x:c r="F160" s="10" t="n">
        <x:v>1</x:v>
      </x:c>
      <x:c r="G160" s="10" t="n">
        <x:f>MIN(E160,3)</x:f>
        <x:v>0</x:v>
      </x:c>
      <x:c r="H160" s="10" t="n">
        <x:v>8</x:v>
      </x:c>
      <x:c r="I160" s="19" t="n">
        <x:v>0.2</x:v>
      </x:c>
      <x:c r="J160" s="19" t="n">
        <x:v>0.2</x:v>
      </x:c>
      <x:c r="K160" s="19" t="n">
        <x:v>0.75</x:v>
      </x:c>
    </x:row>
    <x:row r="161" ht="23" customHeight="1">
      <x:c r="A161" s="2" t="str">
        <x:v>D020_T02_C080_G025</x:v>
      </x:c>
      <x:c r="B161" s="2" t="str">
        <x:v>A0005</x:v>
      </x:c>
      <x:c r="C161" s="10" t="n">
        <x:v>2</x:v>
      </x:c>
      <x:c r="D161" s="10" t="n">
        <x:v>2</x:v>
      </x:c>
      <x:c r="E161" s="10" t="n">
        <x:v>0</x:v>
      </x:c>
      <x:c r="F161" s="10" t="n">
        <x:v>1</x:v>
      </x:c>
      <x:c r="G161" s="10" t="n">
        <x:f>MIN(E161,3)</x:f>
        <x:v>0</x:v>
      </x:c>
      <x:c r="H161" s="10" t="n">
        <x:v>8</x:v>
      </x:c>
      <x:c r="I161" s="19" t="n">
        <x:v>0.2</x:v>
      </x:c>
      <x:c r="J161" s="19" t="n">
        <x:v>0.8</x:v>
      </x:c>
      <x:c r="K161" s="19" t="n">
        <x:v>0.25</x:v>
      </x:c>
    </x:row>
    <x:row r="162" ht="23" customHeight="1">
      <x:c r="A162" s="2" t="str">
        <x:v>D020_T02_C080_G025</x:v>
      </x:c>
      <x:c r="B162" s="2" t="str">
        <x:v>A0008</x:v>
      </x:c>
      <x:c r="C162" s="10" t="n">
        <x:v>2</x:v>
      </x:c>
      <x:c r="D162" s="10" t="n">
        <x:v>4</x:v>
      </x:c>
      <x:c r="E162" s="10" t="n">
        <x:v>2</x:v>
      </x:c>
      <x:c r="F162" s="10" t="n">
        <x:v>1</x:v>
      </x:c>
      <x:c r="G162" s="10" t="n">
        <x:f>MIN(E162,3)</x:f>
        <x:v>2</x:v>
      </x:c>
      <x:c r="H162" s="10" t="n">
        <x:v>8</x:v>
      </x:c>
      <x:c r="I162" s="19" t="n">
        <x:v>0.2</x:v>
      </x:c>
      <x:c r="J162" s="19" t="n">
        <x:v>0.8</x:v>
      </x:c>
      <x:c r="K162" s="19" t="n">
        <x:v>0.25</x:v>
      </x:c>
    </x:row>
    <x:row r="163" ht="23" customHeight="1">
      <x:c r="A163" s="2" t="str">
        <x:v>D020_T02_C080_G025</x:v>
      </x:c>
      <x:c r="B163" s="2" t="str">
        <x:v>A0011</x:v>
      </x:c>
      <x:c r="C163" s="10" t="n">
        <x:v>2</x:v>
      </x:c>
      <x:c r="D163" s="10" t="n">
        <x:v>3</x:v>
      </x:c>
      <x:c r="E163" s="10" t="n">
        <x:v>1</x:v>
      </x:c>
      <x:c r="F163" s="10" t="n">
        <x:v>1</x:v>
      </x:c>
      <x:c r="G163" s="10" t="n">
        <x:f>MIN(E163,3)</x:f>
        <x:v>1</x:v>
      </x:c>
      <x:c r="H163" s="10" t="n">
        <x:v>8</x:v>
      </x:c>
      <x:c r="I163" s="19" t="n">
        <x:v>0.2</x:v>
      </x:c>
      <x:c r="J163" s="19" t="n">
        <x:v>0.8</x:v>
      </x:c>
      <x:c r="K163" s="19" t="n">
        <x:v>0.25</x:v>
      </x:c>
    </x:row>
    <x:row r="164" ht="23" customHeight="1">
      <x:c r="A164" s="2" t="str">
        <x:v>D020_T02_C080_G025</x:v>
      </x:c>
      <x:c r="B164" s="2" t="str">
        <x:v>A0012</x:v>
      </x:c>
      <x:c r="C164" s="10" t="n">
        <x:v>2</x:v>
      </x:c>
      <x:c r="D164" s="10" t="n">
        <x:v>6</x:v>
      </x:c>
      <x:c r="E164" s="10" t="n">
        <x:v>4</x:v>
      </x:c>
      <x:c r="F164" s="10" t="n">
        <x:v>1</x:v>
      </x:c>
      <x:c r="G164" s="10" t="n">
        <x:f>MIN(E164,3)</x:f>
        <x:v>3</x:v>
      </x:c>
      <x:c r="H164" s="10" t="n">
        <x:v>8</x:v>
      </x:c>
      <x:c r="I164" s="19" t="n">
        <x:v>0.2</x:v>
      </x:c>
      <x:c r="J164" s="19" t="n">
        <x:v>0.8</x:v>
      </x:c>
      <x:c r="K164" s="19" t="n">
        <x:v>0.25</x:v>
      </x:c>
    </x:row>
    <x:row r="165" ht="23" customHeight="1">
      <x:c r="A165" s="2" t="str">
        <x:v>D020_T02_C080_G025</x:v>
      </x:c>
      <x:c r="B165" s="2" t="str">
        <x:v>A0014</x:v>
      </x:c>
      <x:c r="C165" s="10" t="n">
        <x:v>2</x:v>
      </x:c>
      <x:c r="D165" s="10" t="n">
        <x:v>4</x:v>
      </x:c>
      <x:c r="E165" s="10" t="n">
        <x:v>2</x:v>
      </x:c>
      <x:c r="F165" s="10" t="n">
        <x:v>1</x:v>
      </x:c>
      <x:c r="G165" s="10" t="n">
        <x:f>MIN(E165,3)</x:f>
        <x:v>2</x:v>
      </x:c>
      <x:c r="H165" s="10" t="n">
        <x:v>8</x:v>
      </x:c>
      <x:c r="I165" s="19" t="n">
        <x:v>0.2</x:v>
      </x:c>
      <x:c r="J165" s="19" t="n">
        <x:v>0.8</x:v>
      </x:c>
      <x:c r="K165" s="19" t="n">
        <x:v>0.25</x:v>
      </x:c>
    </x:row>
    <x:row r="166" ht="23" customHeight="1">
      <x:c r="A166" s="2" t="str">
        <x:v>D020_T02_C080_G025</x:v>
      </x:c>
      <x:c r="B166" s="2" t="str">
        <x:v>A0017</x:v>
      </x:c>
      <x:c r="C166" s="10" t="n">
        <x:v>2</x:v>
      </x:c>
      <x:c r="D166" s="10" t="n">
        <x:v>7</x:v>
      </x:c>
      <x:c r="E166" s="10" t="n">
        <x:v>5</x:v>
      </x:c>
      <x:c r="F166" s="10" t="n">
        <x:v>1</x:v>
      </x:c>
      <x:c r="G166" s="10" t="n">
        <x:f>MIN(E166,3)</x:f>
        <x:v>3</x:v>
      </x:c>
      <x:c r="H166" s="10" t="n">
        <x:v>8</x:v>
      </x:c>
      <x:c r="I166" s="19" t="n">
        <x:v>0.2</x:v>
      </x:c>
      <x:c r="J166" s="19" t="n">
        <x:v>0.8</x:v>
      </x:c>
      <x:c r="K166" s="19" t="n">
        <x:v>0.25</x:v>
      </x:c>
    </x:row>
    <x:row r="167" ht="23" customHeight="1">
      <x:c r="A167" s="2" t="str">
        <x:v>D020_T02_C080_G025</x:v>
      </x:c>
      <x:c r="B167" s="2" t="str">
        <x:v>A0018</x:v>
      </x:c>
      <x:c r="C167" s="10" t="n">
        <x:v>2</x:v>
      </x:c>
      <x:c r="D167" s="10" t="n">
        <x:v>6</x:v>
      </x:c>
      <x:c r="E167" s="10" t="n">
        <x:v>4</x:v>
      </x:c>
      <x:c r="F167" s="10" t="n">
        <x:v>1</x:v>
      </x:c>
      <x:c r="G167" s="10" t="n">
        <x:f>MIN(E167,3)</x:f>
        <x:v>3</x:v>
      </x:c>
      <x:c r="H167" s="10" t="n">
        <x:v>8</x:v>
      </x:c>
      <x:c r="I167" s="19" t="n">
        <x:v>0.2</x:v>
      </x:c>
      <x:c r="J167" s="19" t="n">
        <x:v>0.8</x:v>
      </x:c>
      <x:c r="K167" s="19" t="n">
        <x:v>0.25</x:v>
      </x:c>
    </x:row>
    <x:row r="168" ht="23" customHeight="1">
      <x:c r="A168" s="2" t="str">
        <x:v>D020_T02_C080_G025</x:v>
      </x:c>
      <x:c r="B168" s="2" t="str">
        <x:v>A0020</x:v>
      </x:c>
      <x:c r="C168" s="10" t="n">
        <x:v>2</x:v>
      </x:c>
      <x:c r="D168" s="10" t="n">
        <x:v>2</x:v>
      </x:c>
      <x:c r="E168" s="10" t="n">
        <x:v>0</x:v>
      </x:c>
      <x:c r="F168" s="10" t="n">
        <x:v>1</x:v>
      </x:c>
      <x:c r="G168" s="10" t="n">
        <x:f>MIN(E168,3)</x:f>
        <x:v>0</x:v>
      </x:c>
      <x:c r="H168" s="10" t="n">
        <x:v>8</x:v>
      </x:c>
      <x:c r="I168" s="19" t="n">
        <x:v>0.2</x:v>
      </x:c>
      <x:c r="J168" s="19" t="n">
        <x:v>0.8</x:v>
      </x:c>
      <x:c r="K168" s="19" t="n">
        <x:v>0.25</x:v>
      </x:c>
    </x:row>
    <x:row r="169" ht="23" customHeight="1">
      <x:c r="A169" s="2" t="str">
        <x:v>D020_T02_C080_G025</x:v>
      </x:c>
      <x:c r="B169" s="2" t="str">
        <x:v>A0025</x:v>
      </x:c>
      <x:c r="C169" s="10" t="n">
        <x:v>2</x:v>
      </x:c>
      <x:c r="D169" s="10" t="n">
        <x:v>6</x:v>
      </x:c>
      <x:c r="E169" s="10" t="n">
        <x:v>4</x:v>
      </x:c>
      <x:c r="F169" s="10" t="n">
        <x:v>1</x:v>
      </x:c>
      <x:c r="G169" s="10" t="n">
        <x:f>MIN(E169,3)</x:f>
        <x:v>3</x:v>
      </x:c>
      <x:c r="H169" s="10" t="n">
        <x:v>8</x:v>
      </x:c>
      <x:c r="I169" s="19" t="n">
        <x:v>0.2</x:v>
      </x:c>
      <x:c r="J169" s="19" t="n">
        <x:v>0.8</x:v>
      </x:c>
      <x:c r="K169" s="19" t="n">
        <x:v>0.25</x:v>
      </x:c>
    </x:row>
    <x:row r="170" ht="23" customHeight="1">
      <x:c r="A170" s="2" t="str">
        <x:v>D020_T02_C080_G025</x:v>
      </x:c>
      <x:c r="B170" s="2" t="str">
        <x:v>A0032</x:v>
      </x:c>
      <x:c r="C170" s="10" t="n">
        <x:v>2</x:v>
      </x:c>
      <x:c r="D170" s="10" t="n">
        <x:v>8</x:v>
      </x:c>
      <x:c r="E170" s="10" t="n">
        <x:v>6</x:v>
      </x:c>
      <x:c r="F170" s="10" t="n">
        <x:v>1</x:v>
      </x:c>
      <x:c r="G170" s="10" t="n">
        <x:f>MIN(E170,3)</x:f>
        <x:v>3</x:v>
      </x:c>
      <x:c r="H170" s="10" t="n">
        <x:v>8</x:v>
      </x:c>
      <x:c r="I170" s="19" t="n">
        <x:v>0.2</x:v>
      </x:c>
      <x:c r="J170" s="19" t="n">
        <x:v>0.8</x:v>
      </x:c>
      <x:c r="K170" s="19" t="n">
        <x:v>0.25</x:v>
      </x:c>
    </x:row>
    <x:row r="171" ht="23" customHeight="1">
      <x:c r="A171" s="2" t="str">
        <x:v>D020_T02_C080_G025</x:v>
      </x:c>
      <x:c r="B171" s="2" t="str">
        <x:v>A0033</x:v>
      </x:c>
      <x:c r="C171" s="10" t="n">
        <x:v>2</x:v>
      </x:c>
      <x:c r="D171" s="10" t="n">
        <x:v>3</x:v>
      </x:c>
      <x:c r="E171" s="10" t="n">
        <x:v>1</x:v>
      </x:c>
      <x:c r="F171" s="10" t="n">
        <x:v>1</x:v>
      </x:c>
      <x:c r="G171" s="10" t="n">
        <x:f>MIN(E171,3)</x:f>
        <x:v>1</x:v>
      </x:c>
      <x:c r="H171" s="10" t="n">
        <x:v>8</x:v>
      </x:c>
      <x:c r="I171" s="19" t="n">
        <x:v>0.2</x:v>
      </x:c>
      <x:c r="J171" s="19" t="n">
        <x:v>0.8</x:v>
      </x:c>
      <x:c r="K171" s="19" t="n">
        <x:v>0.25</x:v>
      </x:c>
    </x:row>
    <x:row r="172" ht="23" customHeight="1">
      <x:c r="A172" s="2" t="str">
        <x:v>D020_T02_C080_G025</x:v>
      </x:c>
      <x:c r="B172" s="2" t="str">
        <x:v>A0036</x:v>
      </x:c>
      <x:c r="C172" s="10" t="n">
        <x:v>2</x:v>
      </x:c>
      <x:c r="D172" s="10"/>
      <x:c r="E172" s="10" t="n">
        <x:v>8</x:v>
      </x:c>
      <x:c r="F172" s="10" t="n">
        <x:v>0</x:v>
      </x:c>
      <x:c r="G172" s="10" t="n">
        <x:f>MIN(E172,3)</x:f>
        <x:v>3</x:v>
      </x:c>
      <x:c r="H172" s="10" t="n">
        <x:v>8</x:v>
      </x:c>
      <x:c r="I172" s="19" t="n">
        <x:v>0.2</x:v>
      </x:c>
      <x:c r="J172" s="19" t="n">
        <x:v>0.8</x:v>
      </x:c>
      <x:c r="K172" s="19" t="n">
        <x:v>0.25</x:v>
      </x:c>
    </x:row>
    <x:row r="173" ht="23" customHeight="1">
      <x:c r="A173" s="2" t="str">
        <x:v>D020_T02_C080_G025</x:v>
      </x:c>
      <x:c r="B173" s="2" t="str">
        <x:v>A0037</x:v>
      </x:c>
      <x:c r="C173" s="10" t="n">
        <x:v>2</x:v>
      </x:c>
      <x:c r="D173" s="10" t="n">
        <x:v>2</x:v>
      </x:c>
      <x:c r="E173" s="10" t="n">
        <x:v>0</x:v>
      </x:c>
      <x:c r="F173" s="10" t="n">
        <x:v>1</x:v>
      </x:c>
      <x:c r="G173" s="10" t="n">
        <x:f>MIN(E173,3)</x:f>
        <x:v>0</x:v>
      </x:c>
      <x:c r="H173" s="10" t="n">
        <x:v>8</x:v>
      </x:c>
      <x:c r="I173" s="19" t="n">
        <x:v>0.2</x:v>
      </x:c>
      <x:c r="J173" s="19" t="n">
        <x:v>0.8</x:v>
      </x:c>
      <x:c r="K173" s="19" t="n">
        <x:v>0.25</x:v>
      </x:c>
    </x:row>
    <x:row r="174" ht="23" customHeight="1">
      <x:c r="A174" s="2" t="str">
        <x:v>D020_T02_C080_G025</x:v>
      </x:c>
      <x:c r="B174" s="2" t="str">
        <x:v>A0040</x:v>
      </x:c>
      <x:c r="C174" s="10" t="n">
        <x:v>2</x:v>
      </x:c>
      <x:c r="D174" s="10" t="n">
        <x:v>3</x:v>
      </x:c>
      <x:c r="E174" s="10" t="n">
        <x:v>1</x:v>
      </x:c>
      <x:c r="F174" s="10" t="n">
        <x:v>1</x:v>
      </x:c>
      <x:c r="G174" s="10" t="n">
        <x:f>MIN(E174,3)</x:f>
        <x:v>1</x:v>
      </x:c>
      <x:c r="H174" s="10" t="n">
        <x:v>8</x:v>
      </x:c>
      <x:c r="I174" s="19" t="n">
        <x:v>0.2</x:v>
      </x:c>
      <x:c r="J174" s="19" t="n">
        <x:v>0.8</x:v>
      </x:c>
      <x:c r="K174" s="19" t="n">
        <x:v>0.25</x:v>
      </x:c>
    </x:row>
    <x:row r="175" ht="23" customHeight="1">
      <x:c r="A175" s="2" t="str">
        <x:v>D020_T02_C080_G025</x:v>
      </x:c>
      <x:c r="B175" s="2" t="str">
        <x:v>A0071</x:v>
      </x:c>
      <x:c r="C175" s="10" t="n">
        <x:v>2</x:v>
      </x:c>
      <x:c r="D175" s="10" t="n">
        <x:v>4</x:v>
      </x:c>
      <x:c r="E175" s="10" t="n">
        <x:v>2</x:v>
      </x:c>
      <x:c r="F175" s="10" t="n">
        <x:v>1</x:v>
      </x:c>
      <x:c r="G175" s="10" t="n">
        <x:f>MIN(E175,3)</x:f>
        <x:v>2</x:v>
      </x:c>
      <x:c r="H175" s="10" t="n">
        <x:v>8</x:v>
      </x:c>
      <x:c r="I175" s="19" t="n">
        <x:v>0.2</x:v>
      </x:c>
      <x:c r="J175" s="19" t="n">
        <x:v>0.8</x:v>
      </x:c>
      <x:c r="K175" s="19" t="n">
        <x:v>0.25</x:v>
      </x:c>
    </x:row>
    <x:row r="176" ht="23" customHeight="1">
      <x:c r="A176" s="2" t="str">
        <x:v>D020_T02_C080_G025</x:v>
      </x:c>
      <x:c r="B176" s="2" t="str">
        <x:v>A0206</x:v>
      </x:c>
      <x:c r="C176" s="10" t="n">
        <x:v>2</x:v>
      </x:c>
      <x:c r="D176" s="10" t="n">
        <x:v>2</x:v>
      </x:c>
      <x:c r="E176" s="10" t="n">
        <x:v>0</x:v>
      </x:c>
      <x:c r="F176" s="10" t="n">
        <x:v>1</x:v>
      </x:c>
      <x:c r="G176" s="10" t="n">
        <x:f>MIN(E176,3)</x:f>
        <x:v>0</x:v>
      </x:c>
      <x:c r="H176" s="10" t="n">
        <x:v>8</x:v>
      </x:c>
      <x:c r="I176" s="19" t="n">
        <x:v>0.2</x:v>
      </x:c>
      <x:c r="J176" s="19" t="n">
        <x:v>0.8</x:v>
      </x:c>
      <x:c r="K176" s="19" t="n">
        <x:v>0.25</x:v>
      </x:c>
    </x:row>
    <x:row r="177" ht="23" customHeight="1">
      <x:c r="A177" s="2" t="str">
        <x:v>D020_T02_C080_G050</x:v>
      </x:c>
      <x:c r="B177" s="2" t="str">
        <x:v>A0005</x:v>
      </x:c>
      <x:c r="C177" s="10" t="n">
        <x:v>2</x:v>
      </x:c>
      <x:c r="D177" s="10" t="n">
        <x:v>2</x:v>
      </x:c>
      <x:c r="E177" s="10" t="n">
        <x:v>0</x:v>
      </x:c>
      <x:c r="F177" s="10" t="n">
        <x:v>1</x:v>
      </x:c>
      <x:c r="G177" s="10" t="n">
        <x:f>MIN(E177,3)</x:f>
        <x:v>0</x:v>
      </x:c>
      <x:c r="H177" s="10" t="n">
        <x:v>8</x:v>
      </x:c>
      <x:c r="I177" s="19" t="n">
        <x:v>0.2</x:v>
      </x:c>
      <x:c r="J177" s="19" t="n">
        <x:v>0.8</x:v>
      </x:c>
      <x:c r="K177" s="19" t="n">
        <x:v>0.5</x:v>
      </x:c>
    </x:row>
    <x:row r="178" ht="23" customHeight="1">
      <x:c r="A178" s="2" t="str">
        <x:v>D020_T02_C080_G050</x:v>
      </x:c>
      <x:c r="B178" s="2" t="str">
        <x:v>A0011</x:v>
      </x:c>
      <x:c r="C178" s="10" t="n">
        <x:v>2</x:v>
      </x:c>
      <x:c r="D178" s="10" t="n">
        <x:v>3</x:v>
      </x:c>
      <x:c r="E178" s="10" t="n">
        <x:v>1</x:v>
      </x:c>
      <x:c r="F178" s="10" t="n">
        <x:v>1</x:v>
      </x:c>
      <x:c r="G178" s="10" t="n">
        <x:f>MIN(E178,3)</x:f>
        <x:v>1</x:v>
      </x:c>
      <x:c r="H178" s="10" t="n">
        <x:v>8</x:v>
      </x:c>
      <x:c r="I178" s="19" t="n">
        <x:v>0.2</x:v>
      </x:c>
      <x:c r="J178" s="19" t="n">
        <x:v>0.8</x:v>
      </x:c>
      <x:c r="K178" s="19" t="n">
        <x:v>0.5</x:v>
      </x:c>
    </x:row>
    <x:row r="179" ht="23" customHeight="1">
      <x:c r="A179" s="2" t="str">
        <x:v>D020_T02_C080_G050</x:v>
      </x:c>
      <x:c r="B179" s="2" t="str">
        <x:v>A0012</x:v>
      </x:c>
      <x:c r="C179" s="10" t="n">
        <x:v>2</x:v>
      </x:c>
      <x:c r="D179" s="10"/>
      <x:c r="E179" s="10" t="n">
        <x:v>8</x:v>
      </x:c>
      <x:c r="F179" s="10" t="n">
        <x:v>0</x:v>
      </x:c>
      <x:c r="G179" s="10" t="n">
        <x:f>MIN(E179,3)</x:f>
        <x:v>3</x:v>
      </x:c>
      <x:c r="H179" s="10" t="n">
        <x:v>8</x:v>
      </x:c>
      <x:c r="I179" s="19" t="n">
        <x:v>0.2</x:v>
      </x:c>
      <x:c r="J179" s="19" t="n">
        <x:v>0.8</x:v>
      </x:c>
      <x:c r="K179" s="19" t="n">
        <x:v>0.5</x:v>
      </x:c>
    </x:row>
    <x:row r="180" ht="23" customHeight="1">
      <x:c r="A180" s="2" t="str">
        <x:v>D020_T02_C080_G050</x:v>
      </x:c>
      <x:c r="B180" s="2" t="str">
        <x:v>A0017</x:v>
      </x:c>
      <x:c r="C180" s="10" t="n">
        <x:v>2</x:v>
      </x:c>
      <x:c r="D180" s="10" t="n">
        <x:v>4</x:v>
      </x:c>
      <x:c r="E180" s="10" t="n">
        <x:v>2</x:v>
      </x:c>
      <x:c r="F180" s="10" t="n">
        <x:v>1</x:v>
      </x:c>
      <x:c r="G180" s="10" t="n">
        <x:f>MIN(E180,3)</x:f>
        <x:v>2</x:v>
      </x:c>
      <x:c r="H180" s="10" t="n">
        <x:v>8</x:v>
      </x:c>
      <x:c r="I180" s="19" t="n">
        <x:v>0.2</x:v>
      </x:c>
      <x:c r="J180" s="19" t="n">
        <x:v>0.8</x:v>
      </x:c>
      <x:c r="K180" s="19" t="n">
        <x:v>0.5</x:v>
      </x:c>
    </x:row>
    <x:row r="181" ht="23" customHeight="1">
      <x:c r="A181" s="2" t="str">
        <x:v>D020_T02_C080_G050</x:v>
      </x:c>
      <x:c r="B181" s="2" t="str">
        <x:v>A0018</x:v>
      </x:c>
      <x:c r="C181" s="10" t="n">
        <x:v>2</x:v>
      </x:c>
      <x:c r="D181" s="10" t="n">
        <x:v>2</x:v>
      </x:c>
      <x:c r="E181" s="10" t="n">
        <x:v>0</x:v>
      </x:c>
      <x:c r="F181" s="10" t="n">
        <x:v>1</x:v>
      </x:c>
      <x:c r="G181" s="10" t="n">
        <x:f>MIN(E181,3)</x:f>
        <x:v>0</x:v>
      </x:c>
      <x:c r="H181" s="10" t="n">
        <x:v>8</x:v>
      </x:c>
      <x:c r="I181" s="19" t="n">
        <x:v>0.2</x:v>
      </x:c>
      <x:c r="J181" s="19" t="n">
        <x:v>0.8</x:v>
      </x:c>
      <x:c r="K181" s="19" t="n">
        <x:v>0.5</x:v>
      </x:c>
    </x:row>
    <x:row r="182" ht="23" customHeight="1">
      <x:c r="A182" s="2" t="str">
        <x:v>D020_T02_C080_G050</x:v>
      </x:c>
      <x:c r="B182" s="2" t="str">
        <x:v>A0027</x:v>
      </x:c>
      <x:c r="C182" s="10" t="n">
        <x:v>2</x:v>
      </x:c>
      <x:c r="D182" s="10" t="n">
        <x:v>2</x:v>
      </x:c>
      <x:c r="E182" s="10" t="n">
        <x:v>0</x:v>
      </x:c>
      <x:c r="F182" s="10" t="n">
        <x:v>1</x:v>
      </x:c>
      <x:c r="G182" s="10" t="n">
        <x:f>MIN(E182,3)</x:f>
        <x:v>0</x:v>
      </x:c>
      <x:c r="H182" s="10" t="n">
        <x:v>8</x:v>
      </x:c>
      <x:c r="I182" s="19" t="n">
        <x:v>0.2</x:v>
      </x:c>
      <x:c r="J182" s="19" t="n">
        <x:v>0.8</x:v>
      </x:c>
      <x:c r="K182" s="19" t="n">
        <x:v>0.5</x:v>
      </x:c>
    </x:row>
    <x:row r="183" ht="23" customHeight="1">
      <x:c r="A183" s="2" t="str">
        <x:v>D020_T02_C080_G050</x:v>
      </x:c>
      <x:c r="B183" s="2" t="str">
        <x:v>A0030</x:v>
      </x:c>
      <x:c r="C183" s="10" t="n">
        <x:v>2</x:v>
      </x:c>
      <x:c r="D183" s="10" t="n">
        <x:v>4</x:v>
      </x:c>
      <x:c r="E183" s="10" t="n">
        <x:v>2</x:v>
      </x:c>
      <x:c r="F183" s="10" t="n">
        <x:v>1</x:v>
      </x:c>
      <x:c r="G183" s="10" t="n">
        <x:f>MIN(E183,3)</x:f>
        <x:v>2</x:v>
      </x:c>
      <x:c r="H183" s="10" t="n">
        <x:v>8</x:v>
      </x:c>
      <x:c r="I183" s="19" t="n">
        <x:v>0.2</x:v>
      </x:c>
      <x:c r="J183" s="19" t="n">
        <x:v>0.8</x:v>
      </x:c>
      <x:c r="K183" s="19" t="n">
        <x:v>0.5</x:v>
      </x:c>
    </x:row>
    <x:row r="184" ht="23" customHeight="1">
      <x:c r="A184" s="2" t="str">
        <x:v>D020_T02_C080_G050</x:v>
      </x:c>
      <x:c r="B184" s="2" t="str">
        <x:v>A0032</x:v>
      </x:c>
      <x:c r="C184" s="10" t="n">
        <x:v>2</x:v>
      </x:c>
      <x:c r="D184" s="10" t="n">
        <x:v>2</x:v>
      </x:c>
      <x:c r="E184" s="10" t="n">
        <x:v>0</x:v>
      </x:c>
      <x:c r="F184" s="10" t="n">
        <x:v>1</x:v>
      </x:c>
      <x:c r="G184" s="10" t="n">
        <x:f>MIN(E184,3)</x:f>
        <x:v>0</x:v>
      </x:c>
      <x:c r="H184" s="10" t="n">
        <x:v>8</x:v>
      </x:c>
      <x:c r="I184" s="19" t="n">
        <x:v>0.2</x:v>
      </x:c>
      <x:c r="J184" s="19" t="n">
        <x:v>0.8</x:v>
      </x:c>
      <x:c r="K184" s="19" t="n">
        <x:v>0.5</x:v>
      </x:c>
    </x:row>
    <x:row r="185" ht="23" customHeight="1">
      <x:c r="A185" s="2" t="str">
        <x:v>D020_T02_C080_G050</x:v>
      </x:c>
      <x:c r="B185" s="2" t="str">
        <x:v>A0033</x:v>
      </x:c>
      <x:c r="C185" s="10" t="n">
        <x:v>2</x:v>
      </x:c>
      <x:c r="D185" s="10" t="n">
        <x:v>2</x:v>
      </x:c>
      <x:c r="E185" s="10" t="n">
        <x:v>0</x:v>
      </x:c>
      <x:c r="F185" s="10" t="n">
        <x:v>1</x:v>
      </x:c>
      <x:c r="G185" s="10" t="n">
        <x:f>MIN(E185,3)</x:f>
        <x:v>0</x:v>
      </x:c>
      <x:c r="H185" s="10" t="n">
        <x:v>8</x:v>
      </x:c>
      <x:c r="I185" s="19" t="n">
        <x:v>0.2</x:v>
      </x:c>
      <x:c r="J185" s="19" t="n">
        <x:v>0.8</x:v>
      </x:c>
      <x:c r="K185" s="19" t="n">
        <x:v>0.5</x:v>
      </x:c>
    </x:row>
    <x:row r="186" ht="23" customHeight="1">
      <x:c r="A186" s="2" t="str">
        <x:v>D020_T02_C080_G050</x:v>
      </x:c>
      <x:c r="B186" s="2" t="str">
        <x:v>A0034</x:v>
      </x:c>
      <x:c r="C186" s="10" t="n">
        <x:v>2</x:v>
      </x:c>
      <x:c r="D186" s="10" t="n">
        <x:v>2</x:v>
      </x:c>
      <x:c r="E186" s="10" t="n">
        <x:v>0</x:v>
      </x:c>
      <x:c r="F186" s="10" t="n">
        <x:v>1</x:v>
      </x:c>
      <x:c r="G186" s="10" t="n">
        <x:f>MIN(E186,3)</x:f>
        <x:v>0</x:v>
      </x:c>
      <x:c r="H186" s="10" t="n">
        <x:v>8</x:v>
      </x:c>
      <x:c r="I186" s="19" t="n">
        <x:v>0.2</x:v>
      </x:c>
      <x:c r="J186" s="19" t="n">
        <x:v>0.8</x:v>
      </x:c>
      <x:c r="K186" s="19" t="n">
        <x:v>0.5</x:v>
      </x:c>
    </x:row>
    <x:row r="187" ht="23" customHeight="1">
      <x:c r="A187" s="2" t="str">
        <x:v>D020_T02_C080_G050</x:v>
      </x:c>
      <x:c r="B187" s="2" t="str">
        <x:v>A0035</x:v>
      </x:c>
      <x:c r="C187" s="10" t="n">
        <x:v>2</x:v>
      </x:c>
      <x:c r="D187" s="10" t="n">
        <x:v>2</x:v>
      </x:c>
      <x:c r="E187" s="10" t="n">
        <x:v>0</x:v>
      </x:c>
      <x:c r="F187" s="10" t="n">
        <x:v>1</x:v>
      </x:c>
      <x:c r="G187" s="10" t="n">
        <x:f>MIN(E187,3)</x:f>
        <x:v>0</x:v>
      </x:c>
      <x:c r="H187" s="10" t="n">
        <x:v>8</x:v>
      </x:c>
      <x:c r="I187" s="19" t="n">
        <x:v>0.2</x:v>
      </x:c>
      <x:c r="J187" s="19" t="n">
        <x:v>0.8</x:v>
      </x:c>
      <x:c r="K187" s="19" t="n">
        <x:v>0.5</x:v>
      </x:c>
    </x:row>
    <x:row r="188" ht="23" customHeight="1">
      <x:c r="A188" s="2" t="str">
        <x:v>D020_T02_C080_G050</x:v>
      </x:c>
      <x:c r="B188" s="2" t="str">
        <x:v>A0036</x:v>
      </x:c>
      <x:c r="C188" s="10" t="n">
        <x:v>2</x:v>
      </x:c>
      <x:c r="D188" s="10" t="n">
        <x:v>3</x:v>
      </x:c>
      <x:c r="E188" s="10" t="n">
        <x:v>1</x:v>
      </x:c>
      <x:c r="F188" s="10" t="n">
        <x:v>1</x:v>
      </x:c>
      <x:c r="G188" s="10" t="n">
        <x:f>MIN(E188,3)</x:f>
        <x:v>1</x:v>
      </x:c>
      <x:c r="H188" s="10" t="n">
        <x:v>8</x:v>
      </x:c>
      <x:c r="I188" s="19" t="n">
        <x:v>0.2</x:v>
      </x:c>
      <x:c r="J188" s="19" t="n">
        <x:v>0.8</x:v>
      </x:c>
      <x:c r="K188" s="19" t="n">
        <x:v>0.5</x:v>
      </x:c>
    </x:row>
    <x:row r="189" ht="23" customHeight="1">
      <x:c r="A189" s="2" t="str">
        <x:v>D020_T02_C080_G050</x:v>
      </x:c>
      <x:c r="B189" s="2" t="str">
        <x:v>A0071</x:v>
      </x:c>
      <x:c r="C189" s="10" t="n">
        <x:v>2</x:v>
      </x:c>
      <x:c r="D189" s="10" t="n">
        <x:v>3</x:v>
      </x:c>
      <x:c r="E189" s="10" t="n">
        <x:v>1</x:v>
      </x:c>
      <x:c r="F189" s="10" t="n">
        <x:v>1</x:v>
      </x:c>
      <x:c r="G189" s="10" t="n">
        <x:f>MIN(E189,3)</x:f>
        <x:v>1</x:v>
      </x:c>
      <x:c r="H189" s="10" t="n">
        <x:v>8</x:v>
      </x:c>
      <x:c r="I189" s="19" t="n">
        <x:v>0.2</x:v>
      </x:c>
      <x:c r="J189" s="19" t="n">
        <x:v>0.8</x:v>
      </x:c>
      <x:c r="K189" s="19" t="n">
        <x:v>0.5</x:v>
      </x:c>
    </x:row>
    <x:row r="190" ht="23" customHeight="1">
      <x:c r="A190" s="2" t="str">
        <x:v>D020_T02_C080_G050</x:v>
      </x:c>
      <x:c r="B190" s="2" t="str">
        <x:v>A0206</x:v>
      </x:c>
      <x:c r="C190" s="10" t="n">
        <x:v>2</x:v>
      </x:c>
      <x:c r="D190" s="10" t="n">
        <x:v>2</x:v>
      </x:c>
      <x:c r="E190" s="10" t="n">
        <x:v>0</x:v>
      </x:c>
      <x:c r="F190" s="10" t="n">
        <x:v>1</x:v>
      </x:c>
      <x:c r="G190" s="10" t="n">
        <x:f>MIN(E190,3)</x:f>
        <x:v>0</x:v>
      </x:c>
      <x:c r="H190" s="10" t="n">
        <x:v>8</x:v>
      </x:c>
      <x:c r="I190" s="19" t="n">
        <x:v>0.2</x:v>
      </x:c>
      <x:c r="J190" s="19" t="n">
        <x:v>0.8</x:v>
      </x:c>
      <x:c r="K190" s="19" t="n">
        <x:v>0.5</x:v>
      </x:c>
    </x:row>
    <x:row r="191" ht="23" customHeight="1">
      <x:c r="A191" s="2" t="str">
        <x:v>D020_T02_C080_G075</x:v>
      </x:c>
      <x:c r="B191" s="2" t="str">
        <x:v>A0011</x:v>
      </x:c>
      <x:c r="C191" s="10" t="n">
        <x:v>2</x:v>
      </x:c>
      <x:c r="D191" s="10" t="n">
        <x:v>3</x:v>
      </x:c>
      <x:c r="E191" s="10" t="n">
        <x:v>1</x:v>
      </x:c>
      <x:c r="F191" s="10" t="n">
        <x:v>1</x:v>
      </x:c>
      <x:c r="G191" s="10" t="n">
        <x:f>MIN(E191,3)</x:f>
        <x:v>1</x:v>
      </x:c>
      <x:c r="H191" s="10" t="n">
        <x:v>8</x:v>
      </x:c>
      <x:c r="I191" s="19" t="n">
        <x:v>0.2</x:v>
      </x:c>
      <x:c r="J191" s="19" t="n">
        <x:v>0.8</x:v>
      </x:c>
      <x:c r="K191" s="19" t="n">
        <x:v>0.75</x:v>
      </x:c>
    </x:row>
    <x:row r="192" ht="23" customHeight="1">
      <x:c r="A192" s="2" t="str">
        <x:v>D020_T02_C080_G075</x:v>
      </x:c>
      <x:c r="B192" s="2" t="str">
        <x:v>A0012</x:v>
      </x:c>
      <x:c r="C192" s="10" t="n">
        <x:v>2</x:v>
      </x:c>
      <x:c r="D192" s="10" t="n">
        <x:v>3</x:v>
      </x:c>
      <x:c r="E192" s="10" t="n">
        <x:v>1</x:v>
      </x:c>
      <x:c r="F192" s="10" t="n">
        <x:v>1</x:v>
      </x:c>
      <x:c r="G192" s="10" t="n">
        <x:f>MIN(E192,3)</x:f>
        <x:v>1</x:v>
      </x:c>
      <x:c r="H192" s="10" t="n">
        <x:v>8</x:v>
      </x:c>
      <x:c r="I192" s="19" t="n">
        <x:v>0.2</x:v>
      </x:c>
      <x:c r="J192" s="19" t="n">
        <x:v>0.8</x:v>
      </x:c>
      <x:c r="K192" s="19" t="n">
        <x:v>0.75</x:v>
      </x:c>
    </x:row>
    <x:row r="193" ht="23" customHeight="1">
      <x:c r="A193" s="2" t="str">
        <x:v>D020_T02_C080_G075</x:v>
      </x:c>
      <x:c r="B193" s="2" t="str">
        <x:v>A0017</x:v>
      </x:c>
      <x:c r="C193" s="10" t="n">
        <x:v>2</x:v>
      </x:c>
      <x:c r="D193" s="10" t="n">
        <x:v>4</x:v>
      </x:c>
      <x:c r="E193" s="10" t="n">
        <x:v>2</x:v>
      </x:c>
      <x:c r="F193" s="10" t="n">
        <x:v>1</x:v>
      </x:c>
      <x:c r="G193" s="10" t="n">
        <x:f>MIN(E193,3)</x:f>
        <x:v>2</x:v>
      </x:c>
      <x:c r="H193" s="10" t="n">
        <x:v>8</x:v>
      </x:c>
      <x:c r="I193" s="19" t="n">
        <x:v>0.2</x:v>
      </x:c>
      <x:c r="J193" s="19" t="n">
        <x:v>0.8</x:v>
      </x:c>
      <x:c r="K193" s="19" t="n">
        <x:v>0.75</x:v>
      </x:c>
    </x:row>
    <x:row r="194" ht="23" customHeight="1">
      <x:c r="A194" s="2" t="str">
        <x:v>D020_T02_C080_G075</x:v>
      </x:c>
      <x:c r="B194" s="2" t="str">
        <x:v>A0019</x:v>
      </x:c>
      <x:c r="C194" s="10" t="n">
        <x:v>2</x:v>
      </x:c>
      <x:c r="D194" s="10" t="n">
        <x:v>2</x:v>
      </x:c>
      <x:c r="E194" s="10" t="n">
        <x:v>0</x:v>
      </x:c>
      <x:c r="F194" s="10" t="n">
        <x:v>1</x:v>
      </x:c>
      <x:c r="G194" s="10" t="n">
        <x:f>MIN(E194,3)</x:f>
        <x:v>0</x:v>
      </x:c>
      <x:c r="H194" s="10" t="n">
        <x:v>8</x:v>
      </x:c>
      <x:c r="I194" s="19" t="n">
        <x:v>0.2</x:v>
      </x:c>
      <x:c r="J194" s="19" t="n">
        <x:v>0.8</x:v>
      </x:c>
      <x:c r="K194" s="19" t="n">
        <x:v>0.75</x:v>
      </x:c>
    </x:row>
    <x:row r="195" ht="23" customHeight="1">
      <x:c r="A195" s="2" t="str">
        <x:v>D020_T02_C080_G075</x:v>
      </x:c>
      <x:c r="B195" s="2" t="str">
        <x:v>A0025</x:v>
      </x:c>
      <x:c r="C195" s="10" t="n">
        <x:v>2</x:v>
      </x:c>
      <x:c r="D195" s="10" t="n">
        <x:v>2</x:v>
      </x:c>
      <x:c r="E195" s="10" t="n">
        <x:v>0</x:v>
      </x:c>
      <x:c r="F195" s="10" t="n">
        <x:v>1</x:v>
      </x:c>
      <x:c r="G195" s="10" t="n">
        <x:f>MIN(E195,3)</x:f>
        <x:v>0</x:v>
      </x:c>
      <x:c r="H195" s="10" t="n">
        <x:v>8</x:v>
      </x:c>
      <x:c r="I195" s="19" t="n">
        <x:v>0.2</x:v>
      </x:c>
      <x:c r="J195" s="19" t="n">
        <x:v>0.8</x:v>
      </x:c>
      <x:c r="K195" s="19" t="n">
        <x:v>0.75</x:v>
      </x:c>
    </x:row>
    <x:row r="196" ht="23" customHeight="1">
      <x:c r="A196" s="2" t="str">
        <x:v>D020_T02_C080_G075</x:v>
      </x:c>
      <x:c r="B196" s="2" t="str">
        <x:v>A0033</x:v>
      </x:c>
      <x:c r="C196" s="10" t="n">
        <x:v>2</x:v>
      </x:c>
      <x:c r="D196" s="10" t="n">
        <x:v>2</x:v>
      </x:c>
      <x:c r="E196" s="10" t="n">
        <x:v>0</x:v>
      </x:c>
      <x:c r="F196" s="10" t="n">
        <x:v>1</x:v>
      </x:c>
      <x:c r="G196" s="10" t="n">
        <x:f>MIN(E196,3)</x:f>
        <x:v>0</x:v>
      </x:c>
      <x:c r="H196" s="10" t="n">
        <x:v>8</x:v>
      </x:c>
      <x:c r="I196" s="19" t="n">
        <x:v>0.2</x:v>
      </x:c>
      <x:c r="J196" s="19" t="n">
        <x:v>0.8</x:v>
      </x:c>
      <x:c r="K196" s="19" t="n">
        <x:v>0.75</x:v>
      </x:c>
    </x:row>
    <x:row r="197" ht="23" customHeight="1">
      <x:c r="A197" s="2" t="str">
        <x:v>D020_T02_C080_G075</x:v>
      </x:c>
      <x:c r="B197" s="2" t="str">
        <x:v>A0036</x:v>
      </x:c>
      <x:c r="C197" s="10" t="n">
        <x:v>2</x:v>
      </x:c>
      <x:c r="D197" s="10" t="n">
        <x:v>2</x:v>
      </x:c>
      <x:c r="E197" s="10" t="n">
        <x:v>0</x:v>
      </x:c>
      <x:c r="F197" s="10" t="n">
        <x:v>1</x:v>
      </x:c>
      <x:c r="G197" s="10" t="n">
        <x:f>MIN(E197,3)</x:f>
        <x:v>0</x:v>
      </x:c>
      <x:c r="H197" s="10" t="n">
        <x:v>8</x:v>
      </x:c>
      <x:c r="I197" s="19" t="n">
        <x:v>0.2</x:v>
      </x:c>
      <x:c r="J197" s="19" t="n">
        <x:v>0.8</x:v>
      </x:c>
      <x:c r="K197" s="19" t="n">
        <x:v>0.75</x:v>
      </x:c>
    </x:row>
    <x:row r="198" ht="23" customHeight="1">
      <x:c r="A198" s="2" t="str">
        <x:v>D020_T02_C080_G075</x:v>
      </x:c>
      <x:c r="B198" s="2" t="str">
        <x:v>A0041</x:v>
      </x:c>
      <x:c r="C198" s="10" t="n">
        <x:v>2</x:v>
      </x:c>
      <x:c r="D198" s="10" t="n">
        <x:v>2</x:v>
      </x:c>
      <x:c r="E198" s="10" t="n">
        <x:v>0</x:v>
      </x:c>
      <x:c r="F198" s="10" t="n">
        <x:v>1</x:v>
      </x:c>
      <x:c r="G198" s="10" t="n">
        <x:f>MIN(E198,3)</x:f>
        <x:v>0</x:v>
      </x:c>
      <x:c r="H198" s="10" t="n">
        <x:v>8</x:v>
      </x:c>
      <x:c r="I198" s="19" t="n">
        <x:v>0.2</x:v>
      </x:c>
      <x:c r="J198" s="19" t="n">
        <x:v>0.8</x:v>
      </x:c>
      <x:c r="K198" s="19" t="n">
        <x:v>0.75</x:v>
      </x:c>
    </x:row>
    <x:row r="199" ht="23" customHeight="1">
      <x:c r="A199" s="2" t="str">
        <x:v>D020_T02_C080_G075</x:v>
      </x:c>
      <x:c r="B199" s="2" t="str">
        <x:v>A0043</x:v>
      </x:c>
      <x:c r="C199" s="10" t="n">
        <x:v>2</x:v>
      </x:c>
      <x:c r="D199" s="10" t="n">
        <x:v>2</x:v>
      </x:c>
      <x:c r="E199" s="10" t="n">
        <x:v>0</x:v>
      </x:c>
      <x:c r="F199" s="10" t="n">
        <x:v>1</x:v>
      </x:c>
      <x:c r="G199" s="10" t="n">
        <x:f>MIN(E199,3)</x:f>
        <x:v>0</x:v>
      </x:c>
      <x:c r="H199" s="10" t="n">
        <x:v>8</x:v>
      </x:c>
      <x:c r="I199" s="19" t="n">
        <x:v>0.2</x:v>
      </x:c>
      <x:c r="J199" s="19" t="n">
        <x:v>0.8</x:v>
      </x:c>
      <x:c r="K199" s="19" t="n">
        <x:v>0.75</x:v>
      </x:c>
    </x:row>
    <x:row r="200" ht="23" customHeight="1">
      <x:c r="A200" s="2" t="str">
        <x:v>D020_T02_C080_G075</x:v>
      </x:c>
      <x:c r="B200" s="2" t="str">
        <x:v>A0206</x:v>
      </x:c>
      <x:c r="C200" s="10" t="n">
        <x:v>2</x:v>
      </x:c>
      <x:c r="D200" s="10" t="n">
        <x:v>2</x:v>
      </x:c>
      <x:c r="E200" s="10" t="n">
        <x:v>0</x:v>
      </x:c>
      <x:c r="F200" s="10" t="n">
        <x:v>1</x:v>
      </x:c>
      <x:c r="G200" s="10" t="n">
        <x:f>MIN(E200,3)</x:f>
        <x:v>0</x:v>
      </x:c>
      <x:c r="H200" s="10" t="n">
        <x:v>8</x:v>
      </x:c>
      <x:c r="I200" s="19" t="n">
        <x:v>0.2</x:v>
      </x:c>
      <x:c r="J200" s="19" t="n">
        <x:v>0.8</x:v>
      </x:c>
      <x:c r="K200" s="19" t="n">
        <x:v>0.75</x:v>
      </x:c>
    </x:row>
    <x:row r="201" ht="23" customHeight="1">
      <x:c r="A201" s="2" t="str">
        <x:v>D020_T04_C020_G025</x:v>
      </x:c>
      <x:c r="B201" s="2" t="str">
        <x:v>A0005</x:v>
      </x:c>
      <x:c r="C201" s="10" t="n">
        <x:v>4</x:v>
      </x:c>
      <x:c r="D201" s="10"/>
      <x:c r="E201" s="10" t="n">
        <x:v>6</x:v>
      </x:c>
      <x:c r="F201" s="10" t="n">
        <x:v>0</x:v>
      </x:c>
      <x:c r="G201" s="10" t="n">
        <x:f>MIN(E201,3)</x:f>
        <x:v>3</x:v>
      </x:c>
      <x:c r="H201" s="10" t="n">
        <x:v>6</x:v>
      </x:c>
      <x:c r="I201" s="19" t="n">
        <x:v>0.2</x:v>
      </x:c>
      <x:c r="J201" s="19" t="n">
        <x:v>0.2</x:v>
      </x:c>
      <x:c r="K201" s="19" t="n">
        <x:v>0.25</x:v>
      </x:c>
    </x:row>
    <x:row r="202" ht="23" customHeight="1">
      <x:c r="A202" s="2" t="str">
        <x:v>D020_T04_C020_G025</x:v>
      </x:c>
      <x:c r="B202" s="2" t="str">
        <x:v>A0011</x:v>
      </x:c>
      <x:c r="C202" s="10" t="n">
        <x:v>4</x:v>
      </x:c>
      <x:c r="D202" s="10" t="n">
        <x:v>7</x:v>
      </x:c>
      <x:c r="E202" s="10" t="n">
        <x:v>3</x:v>
      </x:c>
      <x:c r="F202" s="10" t="n">
        <x:v>1</x:v>
      </x:c>
      <x:c r="G202" s="10" t="n">
        <x:f>MIN(E202,3)</x:f>
        <x:v>3</x:v>
      </x:c>
      <x:c r="H202" s="10" t="n">
        <x:v>6</x:v>
      </x:c>
      <x:c r="I202" s="19" t="n">
        <x:v>0.2</x:v>
      </x:c>
      <x:c r="J202" s="19" t="n">
        <x:v>0.2</x:v>
      </x:c>
      <x:c r="K202" s="19" t="n">
        <x:v>0.25</x:v>
      </x:c>
    </x:row>
    <x:row r="203" ht="23" customHeight="1">
      <x:c r="A203" s="2" t="str">
        <x:v>D020_T04_C020_G025</x:v>
      </x:c>
      <x:c r="B203" s="2" t="str">
        <x:v>A0012</x:v>
      </x:c>
      <x:c r="C203" s="10" t="n">
        <x:v>4</x:v>
      </x:c>
      <x:c r="D203" s="10"/>
      <x:c r="E203" s="10" t="n">
        <x:v>6</x:v>
      </x:c>
      <x:c r="F203" s="10" t="n">
        <x:v>0</x:v>
      </x:c>
      <x:c r="G203" s="10" t="n">
        <x:f>MIN(E203,3)</x:f>
        <x:v>3</x:v>
      </x:c>
      <x:c r="H203" s="10" t="n">
        <x:v>6</x:v>
      </x:c>
      <x:c r="I203" s="19" t="n">
        <x:v>0.2</x:v>
      </x:c>
      <x:c r="J203" s="19" t="n">
        <x:v>0.2</x:v>
      </x:c>
      <x:c r="K203" s="19" t="n">
        <x:v>0.25</x:v>
      </x:c>
    </x:row>
    <x:row r="204" ht="23" customHeight="1">
      <x:c r="A204" s="2" t="str">
        <x:v>D020_T04_C020_G025</x:v>
      </x:c>
      <x:c r="B204" s="2" t="str">
        <x:v>A0014</x:v>
      </x:c>
      <x:c r="C204" s="10" t="n">
        <x:v>4</x:v>
      </x:c>
      <x:c r="D204" s="10" t="n">
        <x:v>4</x:v>
      </x:c>
      <x:c r="E204" s="10" t="n">
        <x:v>0</x:v>
      </x:c>
      <x:c r="F204" s="10" t="n">
        <x:v>1</x:v>
      </x:c>
      <x:c r="G204" s="10" t="n">
        <x:f>MIN(E204,3)</x:f>
        <x:v>0</x:v>
      </x:c>
      <x:c r="H204" s="10" t="n">
        <x:v>6</x:v>
      </x:c>
      <x:c r="I204" s="19" t="n">
        <x:v>0.2</x:v>
      </x:c>
      <x:c r="J204" s="19" t="n">
        <x:v>0.2</x:v>
      </x:c>
      <x:c r="K204" s="19" t="n">
        <x:v>0.25</x:v>
      </x:c>
    </x:row>
    <x:row r="205" ht="23" customHeight="1">
      <x:c r="A205" s="2" t="str">
        <x:v>D020_T04_C020_G025</x:v>
      </x:c>
      <x:c r="B205" s="2" t="str">
        <x:v>A0017</x:v>
      </x:c>
      <x:c r="C205" s="10" t="n">
        <x:v>4</x:v>
      </x:c>
      <x:c r="D205" s="10"/>
      <x:c r="E205" s="10" t="n">
        <x:v>6</x:v>
      </x:c>
      <x:c r="F205" s="10" t="n">
        <x:v>0</x:v>
      </x:c>
      <x:c r="G205" s="10" t="n">
        <x:f>MIN(E205,3)</x:f>
        <x:v>3</x:v>
      </x:c>
      <x:c r="H205" s="10" t="n">
        <x:v>6</x:v>
      </x:c>
      <x:c r="I205" s="19" t="n">
        <x:v>0.2</x:v>
      </x:c>
      <x:c r="J205" s="19" t="n">
        <x:v>0.2</x:v>
      </x:c>
      <x:c r="K205" s="19" t="n">
        <x:v>0.25</x:v>
      </x:c>
    </x:row>
    <x:row r="206" ht="23" customHeight="1">
      <x:c r="A206" s="2" t="str">
        <x:v>D020_T04_C020_G025</x:v>
      </x:c>
      <x:c r="B206" s="2" t="str">
        <x:v>A0018</x:v>
      </x:c>
      <x:c r="C206" s="10" t="n">
        <x:v>4</x:v>
      </x:c>
      <x:c r="D206" s="10"/>
      <x:c r="E206" s="10" t="n">
        <x:v>6</x:v>
      </x:c>
      <x:c r="F206" s="10" t="n">
        <x:v>0</x:v>
      </x:c>
      <x:c r="G206" s="10" t="n">
        <x:f>MIN(E206,3)</x:f>
        <x:v>3</x:v>
      </x:c>
      <x:c r="H206" s="10" t="n">
        <x:v>6</x:v>
      </x:c>
      <x:c r="I206" s="19" t="n">
        <x:v>0.2</x:v>
      </x:c>
      <x:c r="J206" s="19" t="n">
        <x:v>0.2</x:v>
      </x:c>
      <x:c r="K206" s="19" t="n">
        <x:v>0.25</x:v>
      </x:c>
    </x:row>
    <x:row r="207" ht="23" customHeight="1">
      <x:c r="A207" s="2" t="str">
        <x:v>D020_T04_C020_G025</x:v>
      </x:c>
      <x:c r="B207" s="2" t="str">
        <x:v>A0020</x:v>
      </x:c>
      <x:c r="C207" s="10" t="n">
        <x:v>4</x:v>
      </x:c>
      <x:c r="D207" s="10" t="n">
        <x:v>6</x:v>
      </x:c>
      <x:c r="E207" s="10" t="n">
        <x:v>2</x:v>
      </x:c>
      <x:c r="F207" s="10" t="n">
        <x:v>1</x:v>
      </x:c>
      <x:c r="G207" s="10" t="n">
        <x:f>MIN(E207,3)</x:f>
        <x:v>2</x:v>
      </x:c>
      <x:c r="H207" s="10" t="n">
        <x:v>6</x:v>
      </x:c>
      <x:c r="I207" s="19" t="n">
        <x:v>0.2</x:v>
      </x:c>
      <x:c r="J207" s="19" t="n">
        <x:v>0.2</x:v>
      </x:c>
      <x:c r="K207" s="19" t="n">
        <x:v>0.25</x:v>
      </x:c>
    </x:row>
    <x:row r="208" ht="23" customHeight="1">
      <x:c r="A208" s="2" t="str">
        <x:v>D020_T04_C020_G025</x:v>
      </x:c>
      <x:c r="B208" s="2" t="str">
        <x:v>A0024</x:v>
      </x:c>
      <x:c r="C208" s="10" t="n">
        <x:v>4</x:v>
      </x:c>
      <x:c r="D208" s="10"/>
      <x:c r="E208" s="10" t="n">
        <x:v>6</x:v>
      </x:c>
      <x:c r="F208" s="10" t="n">
        <x:v>0</x:v>
      </x:c>
      <x:c r="G208" s="10" t="n">
        <x:f>MIN(E208,3)</x:f>
        <x:v>3</x:v>
      </x:c>
      <x:c r="H208" s="10" t="n">
        <x:v>6</x:v>
      </x:c>
      <x:c r="I208" s="19" t="n">
        <x:v>0.2</x:v>
      </x:c>
      <x:c r="J208" s="19" t="n">
        <x:v>0.2</x:v>
      </x:c>
      <x:c r="K208" s="19" t="n">
        <x:v>0.25</x:v>
      </x:c>
    </x:row>
    <x:row r="209" ht="23" customHeight="1">
      <x:c r="A209" s="2" t="str">
        <x:v>D020_T04_C020_G025</x:v>
      </x:c>
      <x:c r="B209" s="2" t="str">
        <x:v>A0025</x:v>
      </x:c>
      <x:c r="C209" s="10" t="n">
        <x:v>4</x:v>
      </x:c>
      <x:c r="D209" s="10"/>
      <x:c r="E209" s="10" t="n">
        <x:v>6</x:v>
      </x:c>
      <x:c r="F209" s="10" t="n">
        <x:v>0</x:v>
      </x:c>
      <x:c r="G209" s="10" t="n">
        <x:f>MIN(E209,3)</x:f>
        <x:v>3</x:v>
      </x:c>
      <x:c r="H209" s="10" t="n">
        <x:v>6</x:v>
      </x:c>
      <x:c r="I209" s="19" t="n">
        <x:v>0.2</x:v>
      </x:c>
      <x:c r="J209" s="19" t="n">
        <x:v>0.2</x:v>
      </x:c>
      <x:c r="K209" s="19" t="n">
        <x:v>0.25</x:v>
      </x:c>
    </x:row>
    <x:row r="210" ht="23" customHeight="1">
      <x:c r="A210" s="2" t="str">
        <x:v>D020_T04_C020_G025</x:v>
      </x:c>
      <x:c r="B210" s="2" t="str">
        <x:v>A0030</x:v>
      </x:c>
      <x:c r="C210" s="10" t="n">
        <x:v>4</x:v>
      </x:c>
      <x:c r="D210" s="10" t="n">
        <x:v>7</x:v>
      </x:c>
      <x:c r="E210" s="10" t="n">
        <x:v>3</x:v>
      </x:c>
      <x:c r="F210" s="10" t="n">
        <x:v>1</x:v>
      </x:c>
      <x:c r="G210" s="10" t="n">
        <x:f>MIN(E210,3)</x:f>
        <x:v>3</x:v>
      </x:c>
      <x:c r="H210" s="10" t="n">
        <x:v>6</x:v>
      </x:c>
      <x:c r="I210" s="19" t="n">
        <x:v>0.2</x:v>
      </x:c>
      <x:c r="J210" s="19" t="n">
        <x:v>0.2</x:v>
      </x:c>
      <x:c r="K210" s="19" t="n">
        <x:v>0.25</x:v>
      </x:c>
    </x:row>
    <x:row r="211" ht="23" customHeight="1">
      <x:c r="A211" s="2" t="str">
        <x:v>D020_T04_C020_G025</x:v>
      </x:c>
      <x:c r="B211" s="2" t="str">
        <x:v>A0032</x:v>
      </x:c>
      <x:c r="C211" s="10" t="n">
        <x:v>4</x:v>
      </x:c>
      <x:c r="D211" s="10"/>
      <x:c r="E211" s="10" t="n">
        <x:v>6</x:v>
      </x:c>
      <x:c r="F211" s="10" t="n">
        <x:v>0</x:v>
      </x:c>
      <x:c r="G211" s="10" t="n">
        <x:f>MIN(E211,3)</x:f>
        <x:v>3</x:v>
      </x:c>
      <x:c r="H211" s="10" t="n">
        <x:v>6</x:v>
      </x:c>
      <x:c r="I211" s="19" t="n">
        <x:v>0.2</x:v>
      </x:c>
      <x:c r="J211" s="19" t="n">
        <x:v>0.2</x:v>
      </x:c>
      <x:c r="K211" s="19" t="n">
        <x:v>0.25</x:v>
      </x:c>
    </x:row>
    <x:row r="212" ht="23" customHeight="1">
      <x:c r="A212" s="2" t="str">
        <x:v>D020_T04_C020_G025</x:v>
      </x:c>
      <x:c r="B212" s="2" t="str">
        <x:v>A0033</x:v>
      </x:c>
      <x:c r="C212" s="10" t="n">
        <x:v>4</x:v>
      </x:c>
      <x:c r="D212" s="10" t="n">
        <x:v>6</x:v>
      </x:c>
      <x:c r="E212" s="10" t="n">
        <x:v>2</x:v>
      </x:c>
      <x:c r="F212" s="10" t="n">
        <x:v>1</x:v>
      </x:c>
      <x:c r="G212" s="10" t="n">
        <x:f>MIN(E212,3)</x:f>
        <x:v>2</x:v>
      </x:c>
      <x:c r="H212" s="10" t="n">
        <x:v>6</x:v>
      </x:c>
      <x:c r="I212" s="19" t="n">
        <x:v>0.2</x:v>
      </x:c>
      <x:c r="J212" s="19" t="n">
        <x:v>0.2</x:v>
      </x:c>
      <x:c r="K212" s="19" t="n">
        <x:v>0.25</x:v>
      </x:c>
    </x:row>
    <x:row r="213" ht="23" customHeight="1">
      <x:c r="A213" s="2" t="str">
        <x:v>D020_T04_C020_G025</x:v>
      </x:c>
      <x:c r="B213" s="2" t="str">
        <x:v>A0036</x:v>
      </x:c>
      <x:c r="C213" s="10" t="n">
        <x:v>4</x:v>
      </x:c>
      <x:c r="D213" s="10"/>
      <x:c r="E213" s="10" t="n">
        <x:v>6</x:v>
      </x:c>
      <x:c r="F213" s="10" t="n">
        <x:v>0</x:v>
      </x:c>
      <x:c r="G213" s="10" t="n">
        <x:f>MIN(E213,3)</x:f>
        <x:v>3</x:v>
      </x:c>
      <x:c r="H213" s="10" t="n">
        <x:v>6</x:v>
      </x:c>
      <x:c r="I213" s="19" t="n">
        <x:v>0.2</x:v>
      </x:c>
      <x:c r="J213" s="19" t="n">
        <x:v>0.2</x:v>
      </x:c>
      <x:c r="K213" s="19" t="n">
        <x:v>0.25</x:v>
      </x:c>
    </x:row>
    <x:row r="214" ht="23" customHeight="1">
      <x:c r="A214" s="2" t="str">
        <x:v>D020_T04_C020_G025</x:v>
      </x:c>
      <x:c r="B214" s="2" t="str">
        <x:v>A0040</x:v>
      </x:c>
      <x:c r="C214" s="10" t="n">
        <x:v>4</x:v>
      </x:c>
      <x:c r="D214" s="10"/>
      <x:c r="E214" s="10" t="n">
        <x:v>6</x:v>
      </x:c>
      <x:c r="F214" s="10" t="n">
        <x:v>0</x:v>
      </x:c>
      <x:c r="G214" s="10" t="n">
        <x:f>MIN(E214,3)</x:f>
        <x:v>3</x:v>
      </x:c>
      <x:c r="H214" s="10" t="n">
        <x:v>6</x:v>
      </x:c>
      <x:c r="I214" s="19" t="n">
        <x:v>0.2</x:v>
      </x:c>
      <x:c r="J214" s="19" t="n">
        <x:v>0.2</x:v>
      </x:c>
      <x:c r="K214" s="19" t="n">
        <x:v>0.25</x:v>
      </x:c>
    </x:row>
    <x:row r="215" ht="23" customHeight="1">
      <x:c r="A215" s="2" t="str">
        <x:v>D020_T04_C020_G025</x:v>
      </x:c>
      <x:c r="B215" s="2" t="str">
        <x:v>A0189</x:v>
      </x:c>
      <x:c r="C215" s="10" t="n">
        <x:v>4</x:v>
      </x:c>
      <x:c r="D215" s="10"/>
      <x:c r="E215" s="10" t="n">
        <x:v>6</x:v>
      </x:c>
      <x:c r="F215" s="10" t="n">
        <x:v>0</x:v>
      </x:c>
      <x:c r="G215" s="10" t="n">
        <x:f>MIN(E215,3)</x:f>
        <x:v>3</x:v>
      </x:c>
      <x:c r="H215" s="10" t="n">
        <x:v>6</x:v>
      </x:c>
      <x:c r="I215" s="19" t="n">
        <x:v>0.2</x:v>
      </x:c>
      <x:c r="J215" s="19" t="n">
        <x:v>0.2</x:v>
      </x:c>
      <x:c r="K215" s="19" t="n">
        <x:v>0.25</x:v>
      </x:c>
    </x:row>
    <x:row r="216" ht="23" customHeight="1">
      <x:c r="A216" s="2" t="str">
        <x:v>D020_T04_C020_G025</x:v>
      </x:c>
      <x:c r="B216" s="2" t="str">
        <x:v>A0206</x:v>
      </x:c>
      <x:c r="C216" s="10" t="n">
        <x:v>4</x:v>
      </x:c>
      <x:c r="D216" s="10" t="n">
        <x:v>4</x:v>
      </x:c>
      <x:c r="E216" s="10" t="n">
        <x:v>0</x:v>
      </x:c>
      <x:c r="F216" s="10" t="n">
        <x:v>1</x:v>
      </x:c>
      <x:c r="G216" s="10" t="n">
        <x:f>MIN(E216,3)</x:f>
        <x:v>0</x:v>
      </x:c>
      <x:c r="H216" s="10" t="n">
        <x:v>6</x:v>
      </x:c>
      <x:c r="I216" s="19" t="n">
        <x:v>0.2</x:v>
      </x:c>
      <x:c r="J216" s="19" t="n">
        <x:v>0.2</x:v>
      </x:c>
      <x:c r="K216" s="19" t="n">
        <x:v>0.25</x:v>
      </x:c>
    </x:row>
    <x:row r="217" ht="23" customHeight="1">
      <x:c r="A217" s="2" t="str">
        <x:v>D020_T04_C020_G050</x:v>
      </x:c>
      <x:c r="B217" s="2" t="str">
        <x:v>A0011</x:v>
      </x:c>
      <x:c r="C217" s="10" t="n">
        <x:v>4</x:v>
      </x:c>
      <x:c r="D217" s="10" t="n">
        <x:v>5</x:v>
      </x:c>
      <x:c r="E217" s="10" t="n">
        <x:v>1</x:v>
      </x:c>
      <x:c r="F217" s="10" t="n">
        <x:v>1</x:v>
      </x:c>
      <x:c r="G217" s="10" t="n">
        <x:f>MIN(E217,3)</x:f>
        <x:v>1</x:v>
      </x:c>
      <x:c r="H217" s="10" t="n">
        <x:v>6</x:v>
      </x:c>
      <x:c r="I217" s="19" t="n">
        <x:v>0.2</x:v>
      </x:c>
      <x:c r="J217" s="19" t="n">
        <x:v>0.2</x:v>
      </x:c>
      <x:c r="K217" s="19" t="n">
        <x:v>0.5</x:v>
      </x:c>
    </x:row>
    <x:row r="218" ht="23" customHeight="1">
      <x:c r="A218" s="2" t="str">
        <x:v>D020_T04_C020_G050</x:v>
      </x:c>
      <x:c r="B218" s="2" t="str">
        <x:v>A0012</x:v>
      </x:c>
      <x:c r="C218" s="10" t="n">
        <x:v>4</x:v>
      </x:c>
      <x:c r="D218" s="10" t="n">
        <x:v>8</x:v>
      </x:c>
      <x:c r="E218" s="10" t="n">
        <x:v>4</x:v>
      </x:c>
      <x:c r="F218" s="10" t="n">
        <x:v>1</x:v>
      </x:c>
      <x:c r="G218" s="10" t="n">
        <x:f>MIN(E218,3)</x:f>
        <x:v>3</x:v>
      </x:c>
      <x:c r="H218" s="10" t="n">
        <x:v>6</x:v>
      </x:c>
      <x:c r="I218" s="19" t="n">
        <x:v>0.2</x:v>
      </x:c>
      <x:c r="J218" s="19" t="n">
        <x:v>0.2</x:v>
      </x:c>
      <x:c r="K218" s="19" t="n">
        <x:v>0.5</x:v>
      </x:c>
    </x:row>
    <x:row r="219" ht="23" customHeight="1">
      <x:c r="A219" s="2" t="str">
        <x:v>D020_T04_C020_G050</x:v>
      </x:c>
      <x:c r="B219" s="2" t="str">
        <x:v>A0014</x:v>
      </x:c>
      <x:c r="C219" s="10" t="n">
        <x:v>4</x:v>
      </x:c>
      <x:c r="D219" s="10" t="n">
        <x:v>4</x:v>
      </x:c>
      <x:c r="E219" s="10" t="n">
        <x:v>0</x:v>
      </x:c>
      <x:c r="F219" s="10" t="n">
        <x:v>1</x:v>
      </x:c>
      <x:c r="G219" s="10" t="n">
        <x:f>MIN(E219,3)</x:f>
        <x:v>0</x:v>
      </x:c>
      <x:c r="H219" s="10" t="n">
        <x:v>6</x:v>
      </x:c>
      <x:c r="I219" s="19" t="n">
        <x:v>0.2</x:v>
      </x:c>
      <x:c r="J219" s="19" t="n">
        <x:v>0.2</x:v>
      </x:c>
      <x:c r="K219" s="19" t="n">
        <x:v>0.5</x:v>
      </x:c>
    </x:row>
    <x:row r="220" ht="23" customHeight="1">
      <x:c r="A220" s="2" t="str">
        <x:v>D020_T04_C020_G050</x:v>
      </x:c>
      <x:c r="B220" s="2" t="str">
        <x:v>A0016</x:v>
      </x:c>
      <x:c r="C220" s="10" t="n">
        <x:v>4</x:v>
      </x:c>
      <x:c r="D220" s="10" t="n">
        <x:v>6</x:v>
      </x:c>
      <x:c r="E220" s="10" t="n">
        <x:v>2</x:v>
      </x:c>
      <x:c r="F220" s="10" t="n">
        <x:v>1</x:v>
      </x:c>
      <x:c r="G220" s="10" t="n">
        <x:f>MIN(E220,3)</x:f>
        <x:v>2</x:v>
      </x:c>
      <x:c r="H220" s="10" t="n">
        <x:v>6</x:v>
      </x:c>
      <x:c r="I220" s="19" t="n">
        <x:v>0.2</x:v>
      </x:c>
      <x:c r="J220" s="19" t="n">
        <x:v>0.2</x:v>
      </x:c>
      <x:c r="K220" s="19" t="n">
        <x:v>0.5</x:v>
      </x:c>
    </x:row>
    <x:row r="221" ht="23" customHeight="1">
      <x:c r="A221" s="2" t="str">
        <x:v>D020_T04_C020_G050</x:v>
      </x:c>
      <x:c r="B221" s="2" t="str">
        <x:v>A0017</x:v>
      </x:c>
      <x:c r="C221" s="10" t="n">
        <x:v>4</x:v>
      </x:c>
      <x:c r="D221" s="10"/>
      <x:c r="E221" s="10" t="n">
        <x:v>6</x:v>
      </x:c>
      <x:c r="F221" s="10" t="n">
        <x:v>0</x:v>
      </x:c>
      <x:c r="G221" s="10" t="n">
        <x:f>MIN(E221,3)</x:f>
        <x:v>3</x:v>
      </x:c>
      <x:c r="H221" s="10" t="n">
        <x:v>6</x:v>
      </x:c>
      <x:c r="I221" s="19" t="n">
        <x:v>0.2</x:v>
      </x:c>
      <x:c r="J221" s="19" t="n">
        <x:v>0.2</x:v>
      </x:c>
      <x:c r="K221" s="19" t="n">
        <x:v>0.5</x:v>
      </x:c>
    </x:row>
    <x:row r="222" ht="23" customHeight="1">
      <x:c r="A222" s="2" t="str">
        <x:v>D020_T04_C020_G050</x:v>
      </x:c>
      <x:c r="B222" s="2" t="str">
        <x:v>A0018</x:v>
      </x:c>
      <x:c r="C222" s="10" t="n">
        <x:v>4</x:v>
      </x:c>
      <x:c r="D222" s="10" t="n">
        <x:v>5</x:v>
      </x:c>
      <x:c r="E222" s="10" t="n">
        <x:v>1</x:v>
      </x:c>
      <x:c r="F222" s="10" t="n">
        <x:v>1</x:v>
      </x:c>
      <x:c r="G222" s="10" t="n">
        <x:f>MIN(E222,3)</x:f>
        <x:v>1</x:v>
      </x:c>
      <x:c r="H222" s="10" t="n">
        <x:v>6</x:v>
      </x:c>
      <x:c r="I222" s="19" t="n">
        <x:v>0.2</x:v>
      </x:c>
      <x:c r="J222" s="19" t="n">
        <x:v>0.2</x:v>
      </x:c>
      <x:c r="K222" s="19" t="n">
        <x:v>0.5</x:v>
      </x:c>
    </x:row>
    <x:row r="223" ht="23" customHeight="1">
      <x:c r="A223" s="2" t="str">
        <x:v>D020_T04_C020_G050</x:v>
      </x:c>
      <x:c r="B223" s="2" t="str">
        <x:v>A0019</x:v>
      </x:c>
      <x:c r="C223" s="10" t="n">
        <x:v>4</x:v>
      </x:c>
      <x:c r="D223" s="10" t="n">
        <x:v>6</x:v>
      </x:c>
      <x:c r="E223" s="10" t="n">
        <x:v>2</x:v>
      </x:c>
      <x:c r="F223" s="10" t="n">
        <x:v>1</x:v>
      </x:c>
      <x:c r="G223" s="10" t="n">
        <x:f>MIN(E223,3)</x:f>
        <x:v>2</x:v>
      </x:c>
      <x:c r="H223" s="10" t="n">
        <x:v>6</x:v>
      </x:c>
      <x:c r="I223" s="19" t="n">
        <x:v>0.2</x:v>
      </x:c>
      <x:c r="J223" s="19" t="n">
        <x:v>0.2</x:v>
      </x:c>
      <x:c r="K223" s="19" t="n">
        <x:v>0.5</x:v>
      </x:c>
    </x:row>
    <x:row r="224" ht="23" customHeight="1">
      <x:c r="A224" s="2" t="str">
        <x:v>D020_T04_C020_G050</x:v>
      </x:c>
      <x:c r="B224" s="2" t="str">
        <x:v>A0020</x:v>
      </x:c>
      <x:c r="C224" s="10" t="n">
        <x:v>4</x:v>
      </x:c>
      <x:c r="D224" s="10" t="n">
        <x:v>4</x:v>
      </x:c>
      <x:c r="E224" s="10" t="n">
        <x:v>0</x:v>
      </x:c>
      <x:c r="F224" s="10" t="n">
        <x:v>1</x:v>
      </x:c>
      <x:c r="G224" s="10" t="n">
        <x:f>MIN(E224,3)</x:f>
        <x:v>0</x:v>
      </x:c>
      <x:c r="H224" s="10" t="n">
        <x:v>6</x:v>
      </x:c>
      <x:c r="I224" s="19" t="n">
        <x:v>0.2</x:v>
      </x:c>
      <x:c r="J224" s="19" t="n">
        <x:v>0.2</x:v>
      </x:c>
      <x:c r="K224" s="19" t="n">
        <x:v>0.5</x:v>
      </x:c>
    </x:row>
    <x:row r="225" ht="23" customHeight="1">
      <x:c r="A225" s="2" t="str">
        <x:v>D020_T04_C020_G050</x:v>
      </x:c>
      <x:c r="B225" s="2" t="str">
        <x:v>A0024</x:v>
      </x:c>
      <x:c r="C225" s="10" t="n">
        <x:v>4</x:v>
      </x:c>
      <x:c r="D225" s="10"/>
      <x:c r="E225" s="10" t="n">
        <x:v>6</x:v>
      </x:c>
      <x:c r="F225" s="10" t="n">
        <x:v>0</x:v>
      </x:c>
      <x:c r="G225" s="10" t="n">
        <x:f>MIN(E225,3)</x:f>
        <x:v>3</x:v>
      </x:c>
      <x:c r="H225" s="10" t="n">
        <x:v>6</x:v>
      </x:c>
      <x:c r="I225" s="19" t="n">
        <x:v>0.2</x:v>
      </x:c>
      <x:c r="J225" s="19" t="n">
        <x:v>0.2</x:v>
      </x:c>
      <x:c r="K225" s="19" t="n">
        <x:v>0.5</x:v>
      </x:c>
    </x:row>
    <x:row r="226" ht="23" customHeight="1">
      <x:c r="A226" s="2" t="str">
        <x:v>D020_T04_C020_G050</x:v>
      </x:c>
      <x:c r="B226" s="2" t="str">
        <x:v>A0025</x:v>
      </x:c>
      <x:c r="C226" s="10" t="n">
        <x:v>4</x:v>
      </x:c>
      <x:c r="D226" s="10" t="n">
        <x:v>4</x:v>
      </x:c>
      <x:c r="E226" s="10" t="n">
        <x:v>0</x:v>
      </x:c>
      <x:c r="F226" s="10" t="n">
        <x:v>1</x:v>
      </x:c>
      <x:c r="G226" s="10" t="n">
        <x:f>MIN(E226,3)</x:f>
        <x:v>0</x:v>
      </x:c>
      <x:c r="H226" s="10" t="n">
        <x:v>6</x:v>
      </x:c>
      <x:c r="I226" s="19" t="n">
        <x:v>0.2</x:v>
      </x:c>
      <x:c r="J226" s="19" t="n">
        <x:v>0.2</x:v>
      </x:c>
      <x:c r="K226" s="19" t="n">
        <x:v>0.5</x:v>
      </x:c>
    </x:row>
    <x:row r="227" ht="23" customHeight="1">
      <x:c r="A227" s="2" t="str">
        <x:v>D020_T04_C020_G050</x:v>
      </x:c>
      <x:c r="B227" s="2" t="str">
        <x:v>A0030</x:v>
      </x:c>
      <x:c r="C227" s="10" t="n">
        <x:v>4</x:v>
      </x:c>
      <x:c r="D227" s="10"/>
      <x:c r="E227" s="10" t="n">
        <x:v>6</x:v>
      </x:c>
      <x:c r="F227" s="10" t="n">
        <x:v>0</x:v>
      </x:c>
      <x:c r="G227" s="10" t="n">
        <x:f>MIN(E227,3)</x:f>
        <x:v>3</x:v>
      </x:c>
      <x:c r="H227" s="10" t="n">
        <x:v>6</x:v>
      </x:c>
      <x:c r="I227" s="19" t="n">
        <x:v>0.2</x:v>
      </x:c>
      <x:c r="J227" s="19" t="n">
        <x:v>0.2</x:v>
      </x:c>
      <x:c r="K227" s="19" t="n">
        <x:v>0.5</x:v>
      </x:c>
    </x:row>
    <x:row r="228" ht="23" customHeight="1">
      <x:c r="A228" s="2" t="str">
        <x:v>D020_T04_C020_G050</x:v>
      </x:c>
      <x:c r="B228" s="2" t="str">
        <x:v>A0032</x:v>
      </x:c>
      <x:c r="C228" s="10" t="n">
        <x:v>4</x:v>
      </x:c>
      <x:c r="D228" s="10" t="n">
        <x:v>4</x:v>
      </x:c>
      <x:c r="E228" s="10" t="n">
        <x:v>0</x:v>
      </x:c>
      <x:c r="F228" s="10" t="n">
        <x:v>1</x:v>
      </x:c>
      <x:c r="G228" s="10" t="n">
        <x:f>MIN(E228,3)</x:f>
        <x:v>0</x:v>
      </x:c>
      <x:c r="H228" s="10" t="n">
        <x:v>6</x:v>
      </x:c>
      <x:c r="I228" s="19" t="n">
        <x:v>0.2</x:v>
      </x:c>
      <x:c r="J228" s="19" t="n">
        <x:v>0.2</x:v>
      </x:c>
      <x:c r="K228" s="19" t="n">
        <x:v>0.5</x:v>
      </x:c>
    </x:row>
    <x:row r="229" ht="23" customHeight="1">
      <x:c r="A229" s="2" t="str">
        <x:v>D020_T04_C020_G050</x:v>
      </x:c>
      <x:c r="B229" s="2" t="str">
        <x:v>A0033</x:v>
      </x:c>
      <x:c r="C229" s="10" t="n">
        <x:v>4</x:v>
      </x:c>
      <x:c r="D229" s="10" t="n">
        <x:v>5</x:v>
      </x:c>
      <x:c r="E229" s="10" t="n">
        <x:v>1</x:v>
      </x:c>
      <x:c r="F229" s="10" t="n">
        <x:v>1</x:v>
      </x:c>
      <x:c r="G229" s="10" t="n">
        <x:f>MIN(E229,3)</x:f>
        <x:v>1</x:v>
      </x:c>
      <x:c r="H229" s="10" t="n">
        <x:v>6</x:v>
      </x:c>
      <x:c r="I229" s="19" t="n">
        <x:v>0.2</x:v>
      </x:c>
      <x:c r="J229" s="19" t="n">
        <x:v>0.2</x:v>
      </x:c>
      <x:c r="K229" s="19" t="n">
        <x:v>0.5</x:v>
      </x:c>
    </x:row>
    <x:row r="230" ht="23" customHeight="1">
      <x:c r="A230" s="2" t="str">
        <x:v>D020_T04_C020_G050</x:v>
      </x:c>
      <x:c r="B230" s="2" t="str">
        <x:v>A0036</x:v>
      </x:c>
      <x:c r="C230" s="10" t="n">
        <x:v>4</x:v>
      </x:c>
      <x:c r="D230" s="10" t="n">
        <x:v>5</x:v>
      </x:c>
      <x:c r="E230" s="10" t="n">
        <x:v>1</x:v>
      </x:c>
      <x:c r="F230" s="10" t="n">
        <x:v>1</x:v>
      </x:c>
      <x:c r="G230" s="10" t="n">
        <x:f>MIN(E230,3)</x:f>
        <x:v>1</x:v>
      </x:c>
      <x:c r="H230" s="10" t="n">
        <x:v>6</x:v>
      </x:c>
      <x:c r="I230" s="19" t="n">
        <x:v>0.2</x:v>
      </x:c>
      <x:c r="J230" s="19" t="n">
        <x:v>0.2</x:v>
      </x:c>
      <x:c r="K230" s="19" t="n">
        <x:v>0.5</x:v>
      </x:c>
    </x:row>
    <x:row r="231" ht="23" customHeight="1">
      <x:c r="A231" s="2" t="str">
        <x:v>D020_T04_C020_G050</x:v>
      </x:c>
      <x:c r="B231" s="2" t="str">
        <x:v>A0039</x:v>
      </x:c>
      <x:c r="C231" s="10" t="n">
        <x:v>4</x:v>
      </x:c>
      <x:c r="D231" s="10" t="n">
        <x:v>6</x:v>
      </x:c>
      <x:c r="E231" s="10" t="n">
        <x:v>2</x:v>
      </x:c>
      <x:c r="F231" s="10" t="n">
        <x:v>1</x:v>
      </x:c>
      <x:c r="G231" s="10" t="n">
        <x:f>MIN(E231,3)</x:f>
        <x:v>2</x:v>
      </x:c>
      <x:c r="H231" s="10" t="n">
        <x:v>6</x:v>
      </x:c>
      <x:c r="I231" s="19" t="n">
        <x:v>0.2</x:v>
      </x:c>
      <x:c r="J231" s="19" t="n">
        <x:v>0.2</x:v>
      </x:c>
      <x:c r="K231" s="19" t="n">
        <x:v>0.5</x:v>
      </x:c>
    </x:row>
    <x:row r="232" ht="23" customHeight="1">
      <x:c r="A232" s="2" t="str">
        <x:v>D020_T04_C020_G050</x:v>
      </x:c>
      <x:c r="B232" s="2" t="str">
        <x:v>A0040</x:v>
      </x:c>
      <x:c r="C232" s="10" t="n">
        <x:v>4</x:v>
      </x:c>
      <x:c r="D232" s="10" t="n">
        <x:v>8</x:v>
      </x:c>
      <x:c r="E232" s="10" t="n">
        <x:v>4</x:v>
      </x:c>
      <x:c r="F232" s="10" t="n">
        <x:v>1</x:v>
      </x:c>
      <x:c r="G232" s="10" t="n">
        <x:f>MIN(E232,3)</x:f>
        <x:v>3</x:v>
      </x:c>
      <x:c r="H232" s="10" t="n">
        <x:v>6</x:v>
      </x:c>
      <x:c r="I232" s="19" t="n">
        <x:v>0.2</x:v>
      </x:c>
      <x:c r="J232" s="19" t="n">
        <x:v>0.2</x:v>
      </x:c>
      <x:c r="K232" s="19" t="n">
        <x:v>0.5</x:v>
      </x:c>
    </x:row>
    <x:row r="233" ht="23" customHeight="1">
      <x:c r="A233" s="2" t="str">
        <x:v>D020_T04_C020_G050</x:v>
      </x:c>
      <x:c r="B233" s="2" t="str">
        <x:v>A0041</x:v>
      </x:c>
      <x:c r="C233" s="10" t="n">
        <x:v>4</x:v>
      </x:c>
      <x:c r="D233" s="10"/>
      <x:c r="E233" s="10" t="n">
        <x:v>6</x:v>
      </x:c>
      <x:c r="F233" s="10" t="n">
        <x:v>0</x:v>
      </x:c>
      <x:c r="G233" s="10" t="n">
        <x:f>MIN(E233,3)</x:f>
        <x:v>3</x:v>
      </x:c>
      <x:c r="H233" s="10" t="n">
        <x:v>6</x:v>
      </x:c>
      <x:c r="I233" s="19" t="n">
        <x:v>0.2</x:v>
      </x:c>
      <x:c r="J233" s="19" t="n">
        <x:v>0.2</x:v>
      </x:c>
      <x:c r="K233" s="19" t="n">
        <x:v>0.5</x:v>
      </x:c>
    </x:row>
    <x:row r="234" ht="23" customHeight="1">
      <x:c r="A234" s="2" t="str">
        <x:v>D020_T04_C020_G050</x:v>
      </x:c>
      <x:c r="B234" s="2" t="str">
        <x:v>A0206</x:v>
      </x:c>
      <x:c r="C234" s="10" t="n">
        <x:v>4</x:v>
      </x:c>
      <x:c r="D234" s="10" t="n">
        <x:v>4</x:v>
      </x:c>
      <x:c r="E234" s="10" t="n">
        <x:v>0</x:v>
      </x:c>
      <x:c r="F234" s="10" t="n">
        <x:v>1</x:v>
      </x:c>
      <x:c r="G234" s="10" t="n">
        <x:f>MIN(E234,3)</x:f>
        <x:v>0</x:v>
      </x:c>
      <x:c r="H234" s="10" t="n">
        <x:v>6</x:v>
      </x:c>
      <x:c r="I234" s="19" t="n">
        <x:v>0.2</x:v>
      </x:c>
      <x:c r="J234" s="19" t="n">
        <x:v>0.2</x:v>
      </x:c>
      <x:c r="K234" s="19" t="n">
        <x:v>0.5</x:v>
      </x:c>
    </x:row>
    <x:row r="235" ht="23" customHeight="1">
      <x:c r="A235" s="2" t="str">
        <x:v>D020_T04_C020_G075</x:v>
      </x:c>
      <x:c r="B235" s="2" t="str">
        <x:v>A0004</x:v>
      </x:c>
      <x:c r="C235" s="10" t="n">
        <x:v>4</x:v>
      </x:c>
      <x:c r="D235" s="10"/>
      <x:c r="E235" s="10" t="n">
        <x:v>6</x:v>
      </x:c>
      <x:c r="F235" s="10" t="n">
        <x:v>0</x:v>
      </x:c>
      <x:c r="G235" s="10" t="n">
        <x:f>MIN(E235,3)</x:f>
        <x:v>3</x:v>
      </x:c>
      <x:c r="H235" s="10" t="n">
        <x:v>6</x:v>
      </x:c>
      <x:c r="I235" s="19" t="n">
        <x:v>0.2</x:v>
      </x:c>
      <x:c r="J235" s="19" t="n">
        <x:v>0.2</x:v>
      </x:c>
      <x:c r="K235" s="19" t="n">
        <x:v>0.75</x:v>
      </x:c>
    </x:row>
    <x:row r="236" ht="23" customHeight="1">
      <x:c r="A236" s="2" t="str">
        <x:v>D020_T04_C020_G075</x:v>
      </x:c>
      <x:c r="B236" s="2" t="str">
        <x:v>A0011</x:v>
      </x:c>
      <x:c r="C236" s="10" t="n">
        <x:v>4</x:v>
      </x:c>
      <x:c r="D236" s="10" t="n">
        <x:v>4</x:v>
      </x:c>
      <x:c r="E236" s="10" t="n">
        <x:v>0</x:v>
      </x:c>
      <x:c r="F236" s="10" t="n">
        <x:v>1</x:v>
      </x:c>
      <x:c r="G236" s="10" t="n">
        <x:f>MIN(E236,3)</x:f>
        <x:v>0</x:v>
      </x:c>
      <x:c r="H236" s="10" t="n">
        <x:v>6</x:v>
      </x:c>
      <x:c r="I236" s="19" t="n">
        <x:v>0.2</x:v>
      </x:c>
      <x:c r="J236" s="19" t="n">
        <x:v>0.2</x:v>
      </x:c>
      <x:c r="K236" s="19" t="n">
        <x:v>0.75</x:v>
      </x:c>
    </x:row>
    <x:row r="237" ht="23" customHeight="1">
      <x:c r="A237" s="2" t="str">
        <x:v>D020_T04_C020_G075</x:v>
      </x:c>
      <x:c r="B237" s="2" t="str">
        <x:v>A0012</x:v>
      </x:c>
      <x:c r="C237" s="10" t="n">
        <x:v>4</x:v>
      </x:c>
      <x:c r="D237" s="10" t="n">
        <x:v>6</x:v>
      </x:c>
      <x:c r="E237" s="10" t="n">
        <x:v>2</x:v>
      </x:c>
      <x:c r="F237" s="10" t="n">
        <x:v>1</x:v>
      </x:c>
      <x:c r="G237" s="10" t="n">
        <x:f>MIN(E237,3)</x:f>
        <x:v>2</x:v>
      </x:c>
      <x:c r="H237" s="10" t="n">
        <x:v>6</x:v>
      </x:c>
      <x:c r="I237" s="19" t="n">
        <x:v>0.2</x:v>
      </x:c>
      <x:c r="J237" s="19" t="n">
        <x:v>0.2</x:v>
      </x:c>
      <x:c r="K237" s="19" t="n">
        <x:v>0.75</x:v>
      </x:c>
    </x:row>
    <x:row r="238" ht="23" customHeight="1">
      <x:c r="A238" s="2" t="str">
        <x:v>D020_T04_C020_G075</x:v>
      </x:c>
      <x:c r="B238" s="2" t="str">
        <x:v>A0017</x:v>
      </x:c>
      <x:c r="C238" s="10" t="n">
        <x:v>4</x:v>
      </x:c>
      <x:c r="D238" s="10" t="n">
        <x:v>5</x:v>
      </x:c>
      <x:c r="E238" s="10" t="n">
        <x:v>1</x:v>
      </x:c>
      <x:c r="F238" s="10" t="n">
        <x:v>1</x:v>
      </x:c>
      <x:c r="G238" s="10" t="n">
        <x:f>MIN(E238,3)</x:f>
        <x:v>1</x:v>
      </x:c>
      <x:c r="H238" s="10" t="n">
        <x:v>6</x:v>
      </x:c>
      <x:c r="I238" s="19" t="n">
        <x:v>0.2</x:v>
      </x:c>
      <x:c r="J238" s="19" t="n">
        <x:v>0.2</x:v>
      </x:c>
      <x:c r="K238" s="19" t="n">
        <x:v>0.75</x:v>
      </x:c>
    </x:row>
    <x:row r="239" ht="23" customHeight="1">
      <x:c r="A239" s="2" t="str">
        <x:v>D020_T04_C020_G075</x:v>
      </x:c>
      <x:c r="B239" s="2" t="str">
        <x:v>A0018</x:v>
      </x:c>
      <x:c r="C239" s="10" t="n">
        <x:v>4</x:v>
      </x:c>
      <x:c r="D239" s="10" t="n">
        <x:v>6</x:v>
      </x:c>
      <x:c r="E239" s="10" t="n">
        <x:v>2</x:v>
      </x:c>
      <x:c r="F239" s="10" t="n">
        <x:v>1</x:v>
      </x:c>
      <x:c r="G239" s="10" t="n">
        <x:f>MIN(E239,3)</x:f>
        <x:v>2</x:v>
      </x:c>
      <x:c r="H239" s="10" t="n">
        <x:v>6</x:v>
      </x:c>
      <x:c r="I239" s="19" t="n">
        <x:v>0.2</x:v>
      </x:c>
      <x:c r="J239" s="19" t="n">
        <x:v>0.2</x:v>
      </x:c>
      <x:c r="K239" s="19" t="n">
        <x:v>0.75</x:v>
      </x:c>
    </x:row>
    <x:row r="240" ht="23" customHeight="1">
      <x:c r="A240" s="2" t="str">
        <x:v>D020_T04_C020_G075</x:v>
      </x:c>
      <x:c r="B240" s="2" t="str">
        <x:v>A0023</x:v>
      </x:c>
      <x:c r="C240" s="10" t="n">
        <x:v>4</x:v>
      </x:c>
      <x:c r="D240" s="10" t="n">
        <x:v>5</x:v>
      </x:c>
      <x:c r="E240" s="10" t="n">
        <x:v>1</x:v>
      </x:c>
      <x:c r="F240" s="10" t="n">
        <x:v>1</x:v>
      </x:c>
      <x:c r="G240" s="10" t="n">
        <x:f>MIN(E240,3)</x:f>
        <x:v>1</x:v>
      </x:c>
      <x:c r="H240" s="10" t="n">
        <x:v>6</x:v>
      </x:c>
      <x:c r="I240" s="19" t="n">
        <x:v>0.2</x:v>
      </x:c>
      <x:c r="J240" s="19" t="n">
        <x:v>0.2</x:v>
      </x:c>
      <x:c r="K240" s="19" t="n">
        <x:v>0.75</x:v>
      </x:c>
    </x:row>
    <x:row r="241" ht="23" customHeight="1">
      <x:c r="A241" s="2" t="str">
        <x:v>D020_T04_C020_G075</x:v>
      </x:c>
      <x:c r="B241" s="2" t="str">
        <x:v>A0025</x:v>
      </x:c>
      <x:c r="C241" s="10" t="n">
        <x:v>4</x:v>
      </x:c>
      <x:c r="D241" s="10" t="n">
        <x:v>4</x:v>
      </x:c>
      <x:c r="E241" s="10" t="n">
        <x:v>0</x:v>
      </x:c>
      <x:c r="F241" s="10" t="n">
        <x:v>1</x:v>
      </x:c>
      <x:c r="G241" s="10" t="n">
        <x:f>MIN(E241,3)</x:f>
        <x:v>0</x:v>
      </x:c>
      <x:c r="H241" s="10" t="n">
        <x:v>6</x:v>
      </x:c>
      <x:c r="I241" s="19" t="n">
        <x:v>0.2</x:v>
      </x:c>
      <x:c r="J241" s="19" t="n">
        <x:v>0.2</x:v>
      </x:c>
      <x:c r="K241" s="19" t="n">
        <x:v>0.75</x:v>
      </x:c>
    </x:row>
    <x:row r="242" ht="23" customHeight="1">
      <x:c r="A242" s="2" t="str">
        <x:v>D020_T04_C020_G075</x:v>
      </x:c>
      <x:c r="B242" s="2" t="str">
        <x:v>A0026</x:v>
      </x:c>
      <x:c r="C242" s="10" t="n">
        <x:v>4</x:v>
      </x:c>
      <x:c r="D242" s="10" t="n">
        <x:v>4</x:v>
      </x:c>
      <x:c r="E242" s="10" t="n">
        <x:v>0</x:v>
      </x:c>
      <x:c r="F242" s="10" t="n">
        <x:v>1</x:v>
      </x:c>
      <x:c r="G242" s="10" t="n">
        <x:f>MIN(E242,3)</x:f>
        <x:v>0</x:v>
      </x:c>
      <x:c r="H242" s="10" t="n">
        <x:v>6</x:v>
      </x:c>
      <x:c r="I242" s="19" t="n">
        <x:v>0.2</x:v>
      </x:c>
      <x:c r="J242" s="19" t="n">
        <x:v>0.2</x:v>
      </x:c>
      <x:c r="K242" s="19" t="n">
        <x:v>0.75</x:v>
      </x:c>
    </x:row>
    <x:row r="243" ht="23" customHeight="1">
      <x:c r="A243" s="2" t="str">
        <x:v>D020_T04_C020_G075</x:v>
      </x:c>
      <x:c r="B243" s="2" t="str">
        <x:v>A0032</x:v>
      </x:c>
      <x:c r="C243" s="10" t="n">
        <x:v>4</x:v>
      </x:c>
      <x:c r="D243" s="10" t="n">
        <x:v>9</x:v>
      </x:c>
      <x:c r="E243" s="10" t="n">
        <x:v>5</x:v>
      </x:c>
      <x:c r="F243" s="10" t="n">
        <x:v>1</x:v>
      </x:c>
      <x:c r="G243" s="10" t="n">
        <x:f>MIN(E243,3)</x:f>
        <x:v>3</x:v>
      </x:c>
      <x:c r="H243" s="10" t="n">
        <x:v>6</x:v>
      </x:c>
      <x:c r="I243" s="19" t="n">
        <x:v>0.2</x:v>
      </x:c>
      <x:c r="J243" s="19" t="n">
        <x:v>0.2</x:v>
      </x:c>
      <x:c r="K243" s="19" t="n">
        <x:v>0.75</x:v>
      </x:c>
    </x:row>
    <x:row r="244" ht="23" customHeight="1">
      <x:c r="A244" s="2" t="str">
        <x:v>D020_T04_C020_G075</x:v>
      </x:c>
      <x:c r="B244" s="2" t="str">
        <x:v>A0033</x:v>
      </x:c>
      <x:c r="C244" s="10" t="n">
        <x:v>4</x:v>
      </x:c>
      <x:c r="D244" s="10"/>
      <x:c r="E244" s="10" t="n">
        <x:v>6</x:v>
      </x:c>
      <x:c r="F244" s="10" t="n">
        <x:v>0</x:v>
      </x:c>
      <x:c r="G244" s="10" t="n">
        <x:f>MIN(E244,3)</x:f>
        <x:v>3</x:v>
      </x:c>
      <x:c r="H244" s="10" t="n">
        <x:v>6</x:v>
      </x:c>
      <x:c r="I244" s="19" t="n">
        <x:v>0.2</x:v>
      </x:c>
      <x:c r="J244" s="19" t="n">
        <x:v>0.2</x:v>
      </x:c>
      <x:c r="K244" s="19" t="n">
        <x:v>0.75</x:v>
      </x:c>
    </x:row>
    <x:row r="245" ht="23" customHeight="1">
      <x:c r="A245" s="2" t="str">
        <x:v>D020_T04_C020_G075</x:v>
      </x:c>
      <x:c r="B245" s="2" t="str">
        <x:v>A0036</x:v>
      </x:c>
      <x:c r="C245" s="10" t="n">
        <x:v>4</x:v>
      </x:c>
      <x:c r="D245" s="10" t="n">
        <x:v>5</x:v>
      </x:c>
      <x:c r="E245" s="10" t="n">
        <x:v>1</x:v>
      </x:c>
      <x:c r="F245" s="10" t="n">
        <x:v>1</x:v>
      </x:c>
      <x:c r="G245" s="10" t="n">
        <x:f>MIN(E245,3)</x:f>
        <x:v>1</x:v>
      </x:c>
      <x:c r="H245" s="10" t="n">
        <x:v>6</x:v>
      </x:c>
      <x:c r="I245" s="19" t="n">
        <x:v>0.2</x:v>
      </x:c>
      <x:c r="J245" s="19" t="n">
        <x:v>0.2</x:v>
      </x:c>
      <x:c r="K245" s="19" t="n">
        <x:v>0.75</x:v>
      </x:c>
    </x:row>
    <x:row r="246" ht="23" customHeight="1">
      <x:c r="A246" s="2" t="str">
        <x:v>D020_T04_C080_G025</x:v>
      </x:c>
      <x:c r="B246" s="2" t="str">
        <x:v>A0011</x:v>
      </x:c>
      <x:c r="C246" s="10" t="n">
        <x:v>4</x:v>
      </x:c>
      <x:c r="D246" s="10"/>
      <x:c r="E246" s="10" t="n">
        <x:v>6</x:v>
      </x:c>
      <x:c r="F246" s="10" t="n">
        <x:v>0</x:v>
      </x:c>
      <x:c r="G246" s="10" t="n">
        <x:f>MIN(E246,3)</x:f>
        <x:v>3</x:v>
      </x:c>
      <x:c r="H246" s="10" t="n">
        <x:v>6</x:v>
      </x:c>
      <x:c r="I246" s="19" t="n">
        <x:v>0.2</x:v>
      </x:c>
      <x:c r="J246" s="19" t="n">
        <x:v>0.8</x:v>
      </x:c>
      <x:c r="K246" s="19" t="n">
        <x:v>0.25</x:v>
      </x:c>
    </x:row>
    <x:row r="247" ht="23" customHeight="1">
      <x:c r="A247" s="2" t="str">
        <x:v>D020_T04_C080_G025</x:v>
      </x:c>
      <x:c r="B247" s="2" t="str">
        <x:v>A0012</x:v>
      </x:c>
      <x:c r="C247" s="10" t="n">
        <x:v>4</x:v>
      </x:c>
      <x:c r="D247" s="10"/>
      <x:c r="E247" s="10" t="n">
        <x:v>6</x:v>
      </x:c>
      <x:c r="F247" s="10" t="n">
        <x:v>0</x:v>
      </x:c>
      <x:c r="G247" s="10" t="n">
        <x:f>MIN(E247,3)</x:f>
        <x:v>3</x:v>
      </x:c>
      <x:c r="H247" s="10" t="n">
        <x:v>6</x:v>
      </x:c>
      <x:c r="I247" s="19" t="n">
        <x:v>0.2</x:v>
      </x:c>
      <x:c r="J247" s="19" t="n">
        <x:v>0.8</x:v>
      </x:c>
      <x:c r="K247" s="19" t="n">
        <x:v>0.25</x:v>
      </x:c>
    </x:row>
    <x:row r="248" ht="23" customHeight="1">
      <x:c r="A248" s="2" t="str">
        <x:v>D020_T04_C080_G025</x:v>
      </x:c>
      <x:c r="B248" s="2" t="str">
        <x:v>A0016</x:v>
      </x:c>
      <x:c r="C248" s="10" t="n">
        <x:v>4</x:v>
      </x:c>
      <x:c r="D248" s="10" t="n">
        <x:v>6</x:v>
      </x:c>
      <x:c r="E248" s="10" t="n">
        <x:v>2</x:v>
      </x:c>
      <x:c r="F248" s="10" t="n">
        <x:v>1</x:v>
      </x:c>
      <x:c r="G248" s="10" t="n">
        <x:f>MIN(E248,3)</x:f>
        <x:v>2</x:v>
      </x:c>
      <x:c r="H248" s="10" t="n">
        <x:v>6</x:v>
      </x:c>
      <x:c r="I248" s="19" t="n">
        <x:v>0.2</x:v>
      </x:c>
      <x:c r="J248" s="19" t="n">
        <x:v>0.8</x:v>
      </x:c>
      <x:c r="K248" s="19" t="n">
        <x:v>0.25</x:v>
      </x:c>
    </x:row>
    <x:row r="249" ht="23" customHeight="1">
      <x:c r="A249" s="2" t="str">
        <x:v>D020_T04_C080_G025</x:v>
      </x:c>
      <x:c r="B249" s="2" t="str">
        <x:v>A0018</x:v>
      </x:c>
      <x:c r="C249" s="10" t="n">
        <x:v>4</x:v>
      </x:c>
      <x:c r="D249" s="10" t="n">
        <x:v>7</x:v>
      </x:c>
      <x:c r="E249" s="10" t="n">
        <x:v>3</x:v>
      </x:c>
      <x:c r="F249" s="10" t="n">
        <x:v>1</x:v>
      </x:c>
      <x:c r="G249" s="10" t="n">
        <x:f>MIN(E249,3)</x:f>
        <x:v>3</x:v>
      </x:c>
      <x:c r="H249" s="10" t="n">
        <x:v>6</x:v>
      </x:c>
      <x:c r="I249" s="19" t="n">
        <x:v>0.2</x:v>
      </x:c>
      <x:c r="J249" s="19" t="n">
        <x:v>0.8</x:v>
      </x:c>
      <x:c r="K249" s="19" t="n">
        <x:v>0.25</x:v>
      </x:c>
    </x:row>
    <x:row r="250" ht="23" customHeight="1">
      <x:c r="A250" s="2" t="str">
        <x:v>D020_T04_C080_G025</x:v>
      </x:c>
      <x:c r="B250" s="2" t="str">
        <x:v>A0019</x:v>
      </x:c>
      <x:c r="C250" s="10" t="n">
        <x:v>4</x:v>
      </x:c>
      <x:c r="D250" s="10" t="n">
        <x:v>4</x:v>
      </x:c>
      <x:c r="E250" s="10" t="n">
        <x:v>0</x:v>
      </x:c>
      <x:c r="F250" s="10" t="n">
        <x:v>1</x:v>
      </x:c>
      <x:c r="G250" s="10" t="n">
        <x:f>MIN(E250,3)</x:f>
        <x:v>0</x:v>
      </x:c>
      <x:c r="H250" s="10" t="n">
        <x:v>6</x:v>
      </x:c>
      <x:c r="I250" s="19" t="n">
        <x:v>0.2</x:v>
      </x:c>
      <x:c r="J250" s="19" t="n">
        <x:v>0.8</x:v>
      </x:c>
      <x:c r="K250" s="19" t="n">
        <x:v>0.25</x:v>
      </x:c>
    </x:row>
    <x:row r="251" ht="23" customHeight="1">
      <x:c r="A251" s="2" t="str">
        <x:v>D020_T04_C080_G025</x:v>
      </x:c>
      <x:c r="B251" s="2" t="str">
        <x:v>A0024</x:v>
      </x:c>
      <x:c r="C251" s="10" t="n">
        <x:v>4</x:v>
      </x:c>
      <x:c r="D251" s="10" t="n">
        <x:v>5</x:v>
      </x:c>
      <x:c r="E251" s="10" t="n">
        <x:v>1</x:v>
      </x:c>
      <x:c r="F251" s="10" t="n">
        <x:v>1</x:v>
      </x:c>
      <x:c r="G251" s="10" t="n">
        <x:f>MIN(E251,3)</x:f>
        <x:v>1</x:v>
      </x:c>
      <x:c r="H251" s="10" t="n">
        <x:v>6</x:v>
      </x:c>
      <x:c r="I251" s="19" t="n">
        <x:v>0.2</x:v>
      </x:c>
      <x:c r="J251" s="19" t="n">
        <x:v>0.8</x:v>
      </x:c>
      <x:c r="K251" s="19" t="n">
        <x:v>0.25</x:v>
      </x:c>
    </x:row>
    <x:row r="252" ht="23" customHeight="1">
      <x:c r="A252" s="2" t="str">
        <x:v>D020_T04_C080_G025</x:v>
      </x:c>
      <x:c r="B252" s="2" t="str">
        <x:v>A0025</x:v>
      </x:c>
      <x:c r="C252" s="10" t="n">
        <x:v>4</x:v>
      </x:c>
      <x:c r="D252" s="10" t="n">
        <x:v>8</x:v>
      </x:c>
      <x:c r="E252" s="10" t="n">
        <x:v>4</x:v>
      </x:c>
      <x:c r="F252" s="10" t="n">
        <x:v>1</x:v>
      </x:c>
      <x:c r="G252" s="10" t="n">
        <x:f>MIN(E252,3)</x:f>
        <x:v>3</x:v>
      </x:c>
      <x:c r="H252" s="10" t="n">
        <x:v>6</x:v>
      </x:c>
      <x:c r="I252" s="19" t="n">
        <x:v>0.2</x:v>
      </x:c>
      <x:c r="J252" s="19" t="n">
        <x:v>0.8</x:v>
      </x:c>
      <x:c r="K252" s="19" t="n">
        <x:v>0.25</x:v>
      </x:c>
    </x:row>
    <x:row r="253" ht="23" customHeight="1">
      <x:c r="A253" s="2" t="str">
        <x:v>D020_T04_C080_G025</x:v>
      </x:c>
      <x:c r="B253" s="2" t="str">
        <x:v>A0027</x:v>
      </x:c>
      <x:c r="C253" s="10" t="n">
        <x:v>4</x:v>
      </x:c>
      <x:c r="D253" s="10"/>
      <x:c r="E253" s="10" t="n">
        <x:v>6</x:v>
      </x:c>
      <x:c r="F253" s="10" t="n">
        <x:v>0</x:v>
      </x:c>
      <x:c r="G253" s="10" t="n">
        <x:f>MIN(E253,3)</x:f>
        <x:v>3</x:v>
      </x:c>
      <x:c r="H253" s="10" t="n">
        <x:v>6</x:v>
      </x:c>
      <x:c r="I253" s="19" t="n">
        <x:v>0.2</x:v>
      </x:c>
      <x:c r="J253" s="19" t="n">
        <x:v>0.8</x:v>
      </x:c>
      <x:c r="K253" s="19" t="n">
        <x:v>0.25</x:v>
      </x:c>
    </x:row>
    <x:row r="254" ht="23" customHeight="1">
      <x:c r="A254" s="2" t="str">
        <x:v>D020_T04_C080_G025</x:v>
      </x:c>
      <x:c r="B254" s="2" t="str">
        <x:v>A0029</x:v>
      </x:c>
      <x:c r="C254" s="10" t="n">
        <x:v>4</x:v>
      </x:c>
      <x:c r="D254" s="10" t="n">
        <x:v>4</x:v>
      </x:c>
      <x:c r="E254" s="10" t="n">
        <x:v>0</x:v>
      </x:c>
      <x:c r="F254" s="10" t="n">
        <x:v>1</x:v>
      </x:c>
      <x:c r="G254" s="10" t="n">
        <x:f>MIN(E254,3)</x:f>
        <x:v>0</x:v>
      </x:c>
      <x:c r="H254" s="10" t="n">
        <x:v>6</x:v>
      </x:c>
      <x:c r="I254" s="19" t="n">
        <x:v>0.2</x:v>
      </x:c>
      <x:c r="J254" s="19" t="n">
        <x:v>0.8</x:v>
      </x:c>
      <x:c r="K254" s="19" t="n">
        <x:v>0.25</x:v>
      </x:c>
    </x:row>
    <x:row r="255" ht="23" customHeight="1">
      <x:c r="A255" s="2" t="str">
        <x:v>D020_T04_C080_G025</x:v>
      </x:c>
      <x:c r="B255" s="2" t="str">
        <x:v>A0032</x:v>
      </x:c>
      <x:c r="C255" s="10" t="n">
        <x:v>4</x:v>
      </x:c>
      <x:c r="D255" s="10"/>
      <x:c r="E255" s="10" t="n">
        <x:v>6</x:v>
      </x:c>
      <x:c r="F255" s="10" t="n">
        <x:v>0</x:v>
      </x:c>
      <x:c r="G255" s="10" t="n">
        <x:f>MIN(E255,3)</x:f>
        <x:v>3</x:v>
      </x:c>
      <x:c r="H255" s="10" t="n">
        <x:v>6</x:v>
      </x:c>
      <x:c r="I255" s="19" t="n">
        <x:v>0.2</x:v>
      </x:c>
      <x:c r="J255" s="19" t="n">
        <x:v>0.8</x:v>
      </x:c>
      <x:c r="K255" s="19" t="n">
        <x:v>0.25</x:v>
      </x:c>
    </x:row>
    <x:row r="256" ht="23" customHeight="1">
      <x:c r="A256" s="2" t="str">
        <x:v>D020_T04_C080_G025</x:v>
      </x:c>
      <x:c r="B256" s="2" t="str">
        <x:v>A0033</x:v>
      </x:c>
      <x:c r="C256" s="10" t="n">
        <x:v>4</x:v>
      </x:c>
      <x:c r="D256" s="10" t="n">
        <x:v>5</x:v>
      </x:c>
      <x:c r="E256" s="10" t="n">
        <x:v>1</x:v>
      </x:c>
      <x:c r="F256" s="10" t="n">
        <x:v>1</x:v>
      </x:c>
      <x:c r="G256" s="10" t="n">
        <x:f>MIN(E256,3)</x:f>
        <x:v>1</x:v>
      </x:c>
      <x:c r="H256" s="10" t="n">
        <x:v>6</x:v>
      </x:c>
      <x:c r="I256" s="19" t="n">
        <x:v>0.2</x:v>
      </x:c>
      <x:c r="J256" s="19" t="n">
        <x:v>0.8</x:v>
      </x:c>
      <x:c r="K256" s="19" t="n">
        <x:v>0.25</x:v>
      </x:c>
    </x:row>
    <x:row r="257" ht="23" customHeight="1">
      <x:c r="A257" s="2" t="str">
        <x:v>D020_T04_C080_G025</x:v>
      </x:c>
      <x:c r="B257" s="2" t="str">
        <x:v>A0036</x:v>
      </x:c>
      <x:c r="C257" s="10" t="n">
        <x:v>4</x:v>
      </x:c>
      <x:c r="D257" s="10" t="n">
        <x:v>4</x:v>
      </x:c>
      <x:c r="E257" s="10" t="n">
        <x:v>0</x:v>
      </x:c>
      <x:c r="F257" s="10" t="n">
        <x:v>1</x:v>
      </x:c>
      <x:c r="G257" s="10" t="n">
        <x:f>MIN(E257,3)</x:f>
        <x:v>0</x:v>
      </x:c>
      <x:c r="H257" s="10" t="n">
        <x:v>6</x:v>
      </x:c>
      <x:c r="I257" s="19" t="n">
        <x:v>0.2</x:v>
      </x:c>
      <x:c r="J257" s="19" t="n">
        <x:v>0.8</x:v>
      </x:c>
      <x:c r="K257" s="19" t="n">
        <x:v>0.25</x:v>
      </x:c>
    </x:row>
    <x:row r="258" ht="23" customHeight="1">
      <x:c r="A258" s="2" t="str">
        <x:v>D020_T04_C080_G025</x:v>
      </x:c>
      <x:c r="B258" s="2" t="str">
        <x:v>A0038</x:v>
      </x:c>
      <x:c r="C258" s="10" t="n">
        <x:v>4</x:v>
      </x:c>
      <x:c r="D258" s="10" t="n">
        <x:v>6</x:v>
      </x:c>
      <x:c r="E258" s="10" t="n">
        <x:v>2</x:v>
      </x:c>
      <x:c r="F258" s="10" t="n">
        <x:v>1</x:v>
      </x:c>
      <x:c r="G258" s="10" t="n">
        <x:f>MIN(E258,3)</x:f>
        <x:v>2</x:v>
      </x:c>
      <x:c r="H258" s="10" t="n">
        <x:v>6</x:v>
      </x:c>
      <x:c r="I258" s="19" t="n">
        <x:v>0.2</x:v>
      </x:c>
      <x:c r="J258" s="19" t="n">
        <x:v>0.8</x:v>
      </x:c>
      <x:c r="K258" s="19" t="n">
        <x:v>0.25</x:v>
      </x:c>
    </x:row>
    <x:row r="259" ht="23" customHeight="1">
      <x:c r="A259" s="2" t="str">
        <x:v>D020_T04_C080_G025</x:v>
      </x:c>
      <x:c r="B259" s="2" t="str">
        <x:v>A0040</x:v>
      </x:c>
      <x:c r="C259" s="10" t="n">
        <x:v>4</x:v>
      </x:c>
      <x:c r="D259" s="10" t="n">
        <x:v>10</x:v>
      </x:c>
      <x:c r="E259" s="10" t="n">
        <x:v>6</x:v>
      </x:c>
      <x:c r="F259" s="10" t="n">
        <x:v>1</x:v>
      </x:c>
      <x:c r="G259" s="10" t="n">
        <x:f>MIN(E259,3)</x:f>
        <x:v>3</x:v>
      </x:c>
      <x:c r="H259" s="10" t="n">
        <x:v>6</x:v>
      </x:c>
      <x:c r="I259" s="19" t="n">
        <x:v>0.2</x:v>
      </x:c>
      <x:c r="J259" s="19" t="n">
        <x:v>0.8</x:v>
      </x:c>
      <x:c r="K259" s="19" t="n">
        <x:v>0.25</x:v>
      </x:c>
    </x:row>
    <x:row r="260" ht="23" customHeight="1">
      <x:c r="A260" s="2" t="str">
        <x:v>D020_T04_C080_G025</x:v>
      </x:c>
      <x:c r="B260" s="2" t="str">
        <x:v>A0041</x:v>
      </x:c>
      <x:c r="C260" s="10" t="n">
        <x:v>4</x:v>
      </x:c>
      <x:c r="D260" s="10" t="n">
        <x:v>5</x:v>
      </x:c>
      <x:c r="E260" s="10" t="n">
        <x:v>1</x:v>
      </x:c>
      <x:c r="F260" s="10" t="n">
        <x:v>1</x:v>
      </x:c>
      <x:c r="G260" s="10" t="n">
        <x:f>MIN(E260,3)</x:f>
        <x:v>1</x:v>
      </x:c>
      <x:c r="H260" s="10" t="n">
        <x:v>6</x:v>
      </x:c>
      <x:c r="I260" s="19" t="n">
        <x:v>0.2</x:v>
      </x:c>
      <x:c r="J260" s="19" t="n">
        <x:v>0.8</x:v>
      </x:c>
      <x:c r="K260" s="19" t="n">
        <x:v>0.25</x:v>
      </x:c>
    </x:row>
    <x:row r="261" ht="23" customHeight="1">
      <x:c r="A261" s="2" t="str">
        <x:v>D020_T04_C080_G025</x:v>
      </x:c>
      <x:c r="B261" s="2" t="str">
        <x:v>A0071</x:v>
      </x:c>
      <x:c r="C261" s="10" t="n">
        <x:v>4</x:v>
      </x:c>
      <x:c r="D261" s="10" t="n">
        <x:v>8</x:v>
      </x:c>
      <x:c r="E261" s="10" t="n">
        <x:v>4</x:v>
      </x:c>
      <x:c r="F261" s="10" t="n">
        <x:v>1</x:v>
      </x:c>
      <x:c r="G261" s="10" t="n">
        <x:f>MIN(E261,3)</x:f>
        <x:v>3</x:v>
      </x:c>
      <x:c r="H261" s="10" t="n">
        <x:v>6</x:v>
      </x:c>
      <x:c r="I261" s="19" t="n">
        <x:v>0.2</x:v>
      </x:c>
      <x:c r="J261" s="19" t="n">
        <x:v>0.8</x:v>
      </x:c>
      <x:c r="K261" s="19" t="n">
        <x:v>0.25</x:v>
      </x:c>
    </x:row>
    <x:row r="262" ht="23" customHeight="1">
      <x:c r="A262" s="2" t="str">
        <x:v>D020_T04_C080_G025</x:v>
      </x:c>
      <x:c r="B262" s="2" t="str">
        <x:v>A0189</x:v>
      </x:c>
      <x:c r="C262" s="10" t="n">
        <x:v>4</x:v>
      </x:c>
      <x:c r="D262" s="10"/>
      <x:c r="E262" s="10" t="n">
        <x:v>6</x:v>
      </x:c>
      <x:c r="F262" s="10" t="n">
        <x:v>0</x:v>
      </x:c>
      <x:c r="G262" s="10" t="n">
        <x:f>MIN(E262,3)</x:f>
        <x:v>3</x:v>
      </x:c>
      <x:c r="H262" s="10" t="n">
        <x:v>6</x:v>
      </x:c>
      <x:c r="I262" s="19" t="n">
        <x:v>0.2</x:v>
      </x:c>
      <x:c r="J262" s="19" t="n">
        <x:v>0.8</x:v>
      </x:c>
      <x:c r="K262" s="19" t="n">
        <x:v>0.25</x:v>
      </x:c>
    </x:row>
    <x:row r="263" ht="23" customHeight="1">
      <x:c r="A263" s="2" t="str">
        <x:v>D020_T04_C080_G025</x:v>
      </x:c>
      <x:c r="B263" s="2" t="str">
        <x:v>A0206</x:v>
      </x:c>
      <x:c r="C263" s="10" t="n">
        <x:v>4</x:v>
      </x:c>
      <x:c r="D263" s="10" t="n">
        <x:v>4</x:v>
      </x:c>
      <x:c r="E263" s="10" t="n">
        <x:v>0</x:v>
      </x:c>
      <x:c r="F263" s="10" t="n">
        <x:v>1</x:v>
      </x:c>
      <x:c r="G263" s="10" t="n">
        <x:f>MIN(E263,3)</x:f>
        <x:v>0</x:v>
      </x:c>
      <x:c r="H263" s="10" t="n">
        <x:v>6</x:v>
      </x:c>
      <x:c r="I263" s="19" t="n">
        <x:v>0.2</x:v>
      </x:c>
      <x:c r="J263" s="19" t="n">
        <x:v>0.8</x:v>
      </x:c>
      <x:c r="K263" s="19" t="n">
        <x:v>0.25</x:v>
      </x:c>
    </x:row>
    <x:row r="264" ht="23" customHeight="1">
      <x:c r="A264" s="2" t="str">
        <x:v>D020_T04_C080_G050</x:v>
      </x:c>
      <x:c r="B264" s="2" t="str">
        <x:v>A0003</x:v>
      </x:c>
      <x:c r="C264" s="10" t="n">
        <x:v>4</x:v>
      </x:c>
      <x:c r="D264" s="10" t="n">
        <x:v>4</x:v>
      </x:c>
      <x:c r="E264" s="10" t="n">
        <x:v>0</x:v>
      </x:c>
      <x:c r="F264" s="10" t="n">
        <x:v>1</x:v>
      </x:c>
      <x:c r="G264" s="10" t="n">
        <x:f>MIN(E264,3)</x:f>
        <x:v>0</x:v>
      </x:c>
      <x:c r="H264" s="10" t="n">
        <x:v>6</x:v>
      </x:c>
      <x:c r="I264" s="19" t="n">
        <x:v>0.2</x:v>
      </x:c>
      <x:c r="J264" s="19" t="n">
        <x:v>0.8</x:v>
      </x:c>
      <x:c r="K264" s="19" t="n">
        <x:v>0.5</x:v>
      </x:c>
    </x:row>
    <x:row r="265" ht="23" customHeight="1">
      <x:c r="A265" s="2" t="str">
        <x:v>D020_T04_C080_G050</x:v>
      </x:c>
      <x:c r="B265" s="2" t="str">
        <x:v>A0011</x:v>
      </x:c>
      <x:c r="C265" s="10" t="n">
        <x:v>4</x:v>
      </x:c>
      <x:c r="D265" s="10" t="n">
        <x:v>8</x:v>
      </x:c>
      <x:c r="E265" s="10" t="n">
        <x:v>4</x:v>
      </x:c>
      <x:c r="F265" s="10" t="n">
        <x:v>1</x:v>
      </x:c>
      <x:c r="G265" s="10" t="n">
        <x:f>MIN(E265,3)</x:f>
        <x:v>3</x:v>
      </x:c>
      <x:c r="H265" s="10" t="n">
        <x:v>6</x:v>
      </x:c>
      <x:c r="I265" s="19" t="n">
        <x:v>0.2</x:v>
      </x:c>
      <x:c r="J265" s="19" t="n">
        <x:v>0.8</x:v>
      </x:c>
      <x:c r="K265" s="19" t="n">
        <x:v>0.5</x:v>
      </x:c>
    </x:row>
    <x:row r="266" ht="23" customHeight="1">
      <x:c r="A266" s="2" t="str">
        <x:v>D020_T04_C080_G050</x:v>
      </x:c>
      <x:c r="B266" s="2" t="str">
        <x:v>A0012</x:v>
      </x:c>
      <x:c r="C266" s="10" t="n">
        <x:v>4</x:v>
      </x:c>
      <x:c r="D266" s="10" t="n">
        <x:v>9</x:v>
      </x:c>
      <x:c r="E266" s="10" t="n">
        <x:v>5</x:v>
      </x:c>
      <x:c r="F266" s="10" t="n">
        <x:v>1</x:v>
      </x:c>
      <x:c r="G266" s="10" t="n">
        <x:f>MIN(E266,3)</x:f>
        <x:v>3</x:v>
      </x:c>
      <x:c r="H266" s="10" t="n">
        <x:v>6</x:v>
      </x:c>
      <x:c r="I266" s="19" t="n">
        <x:v>0.2</x:v>
      </x:c>
      <x:c r="J266" s="19" t="n">
        <x:v>0.8</x:v>
      </x:c>
      <x:c r="K266" s="19" t="n">
        <x:v>0.5</x:v>
      </x:c>
    </x:row>
    <x:row r="267" ht="23" customHeight="1">
      <x:c r="A267" s="2" t="str">
        <x:v>D020_T04_C080_G050</x:v>
      </x:c>
      <x:c r="B267" s="2" t="str">
        <x:v>A0014</x:v>
      </x:c>
      <x:c r="C267" s="10" t="n">
        <x:v>4</x:v>
      </x:c>
      <x:c r="D267" s="10" t="n">
        <x:v>4</x:v>
      </x:c>
      <x:c r="E267" s="10" t="n">
        <x:v>0</x:v>
      </x:c>
      <x:c r="F267" s="10" t="n">
        <x:v>1</x:v>
      </x:c>
      <x:c r="G267" s="10" t="n">
        <x:f>MIN(E267,3)</x:f>
        <x:v>0</x:v>
      </x:c>
      <x:c r="H267" s="10" t="n">
        <x:v>6</x:v>
      </x:c>
      <x:c r="I267" s="19" t="n">
        <x:v>0.2</x:v>
      </x:c>
      <x:c r="J267" s="19" t="n">
        <x:v>0.8</x:v>
      </x:c>
      <x:c r="K267" s="19" t="n">
        <x:v>0.5</x:v>
      </x:c>
    </x:row>
    <x:row r="268" ht="23" customHeight="1">
      <x:c r="A268" s="2" t="str">
        <x:v>D020_T04_C080_G050</x:v>
      </x:c>
      <x:c r="B268" s="2" t="str">
        <x:v>A0017</x:v>
      </x:c>
      <x:c r="C268" s="10" t="n">
        <x:v>4</x:v>
      </x:c>
      <x:c r="D268" s="10" t="n">
        <x:v>5</x:v>
      </x:c>
      <x:c r="E268" s="10" t="n">
        <x:v>1</x:v>
      </x:c>
      <x:c r="F268" s="10" t="n">
        <x:v>1</x:v>
      </x:c>
      <x:c r="G268" s="10" t="n">
        <x:f>MIN(E268,3)</x:f>
        <x:v>1</x:v>
      </x:c>
      <x:c r="H268" s="10" t="n">
        <x:v>6</x:v>
      </x:c>
      <x:c r="I268" s="19" t="n">
        <x:v>0.2</x:v>
      </x:c>
      <x:c r="J268" s="19" t="n">
        <x:v>0.8</x:v>
      </x:c>
      <x:c r="K268" s="19" t="n">
        <x:v>0.5</x:v>
      </x:c>
    </x:row>
    <x:row r="269" ht="23" customHeight="1">
      <x:c r="A269" s="2" t="str">
        <x:v>D020_T04_C080_G050</x:v>
      </x:c>
      <x:c r="B269" s="2" t="str">
        <x:v>A0018</x:v>
      </x:c>
      <x:c r="C269" s="10" t="n">
        <x:v>4</x:v>
      </x:c>
      <x:c r="D269" s="10" t="n">
        <x:v>4</x:v>
      </x:c>
      <x:c r="E269" s="10" t="n">
        <x:v>0</x:v>
      </x:c>
      <x:c r="F269" s="10" t="n">
        <x:v>1</x:v>
      </x:c>
      <x:c r="G269" s="10" t="n">
        <x:f>MIN(E269,3)</x:f>
        <x:v>0</x:v>
      </x:c>
      <x:c r="H269" s="10" t="n">
        <x:v>6</x:v>
      </x:c>
      <x:c r="I269" s="19" t="n">
        <x:v>0.2</x:v>
      </x:c>
      <x:c r="J269" s="19" t="n">
        <x:v>0.8</x:v>
      </x:c>
      <x:c r="K269" s="19" t="n">
        <x:v>0.5</x:v>
      </x:c>
    </x:row>
    <x:row r="270" ht="23" customHeight="1">
      <x:c r="A270" s="2" t="str">
        <x:v>D020_T04_C080_G050</x:v>
      </x:c>
      <x:c r="B270" s="2" t="str">
        <x:v>A0019</x:v>
      </x:c>
      <x:c r="C270" s="10" t="n">
        <x:v>4</x:v>
      </x:c>
      <x:c r="D270" s="10" t="n">
        <x:v>4</x:v>
      </x:c>
      <x:c r="E270" s="10" t="n">
        <x:v>0</x:v>
      </x:c>
      <x:c r="F270" s="10" t="n">
        <x:v>1</x:v>
      </x:c>
      <x:c r="G270" s="10" t="n">
        <x:f>MIN(E270,3)</x:f>
        <x:v>0</x:v>
      </x:c>
      <x:c r="H270" s="10" t="n">
        <x:v>6</x:v>
      </x:c>
      <x:c r="I270" s="19" t="n">
        <x:v>0.2</x:v>
      </x:c>
      <x:c r="J270" s="19" t="n">
        <x:v>0.8</x:v>
      </x:c>
      <x:c r="K270" s="19" t="n">
        <x:v>0.5</x:v>
      </x:c>
    </x:row>
    <x:row r="271" ht="23" customHeight="1">
      <x:c r="A271" s="2" t="str">
        <x:v>D020_T04_C080_G050</x:v>
      </x:c>
      <x:c r="B271" s="2" t="str">
        <x:v>A0023</x:v>
      </x:c>
      <x:c r="C271" s="10" t="n">
        <x:v>4</x:v>
      </x:c>
      <x:c r="D271" s="10" t="n">
        <x:v>4</x:v>
      </x:c>
      <x:c r="E271" s="10" t="n">
        <x:v>0</x:v>
      </x:c>
      <x:c r="F271" s="10" t="n">
        <x:v>1</x:v>
      </x:c>
      <x:c r="G271" s="10" t="n">
        <x:f>MIN(E271,3)</x:f>
        <x:v>0</x:v>
      </x:c>
      <x:c r="H271" s="10" t="n">
        <x:v>6</x:v>
      </x:c>
      <x:c r="I271" s="19" t="n">
        <x:v>0.2</x:v>
      </x:c>
      <x:c r="J271" s="19" t="n">
        <x:v>0.8</x:v>
      </x:c>
      <x:c r="K271" s="19" t="n">
        <x:v>0.5</x:v>
      </x:c>
    </x:row>
    <x:row r="272" ht="23" customHeight="1">
      <x:c r="A272" s="2" t="str">
        <x:v>D020_T04_C080_G050</x:v>
      </x:c>
      <x:c r="B272" s="2" t="str">
        <x:v>A0025</x:v>
      </x:c>
      <x:c r="C272" s="10" t="n">
        <x:v>4</x:v>
      </x:c>
      <x:c r="D272" s="10" t="n">
        <x:v>5</x:v>
      </x:c>
      <x:c r="E272" s="10" t="n">
        <x:v>1</x:v>
      </x:c>
      <x:c r="F272" s="10" t="n">
        <x:v>1</x:v>
      </x:c>
      <x:c r="G272" s="10" t="n">
        <x:f>MIN(E272,3)</x:f>
        <x:v>1</x:v>
      </x:c>
      <x:c r="H272" s="10" t="n">
        <x:v>6</x:v>
      </x:c>
      <x:c r="I272" s="19" t="n">
        <x:v>0.2</x:v>
      </x:c>
      <x:c r="J272" s="19" t="n">
        <x:v>0.8</x:v>
      </x:c>
      <x:c r="K272" s="19" t="n">
        <x:v>0.5</x:v>
      </x:c>
    </x:row>
    <x:row r="273" ht="23" customHeight="1">
      <x:c r="A273" s="2" t="str">
        <x:v>D020_T04_C080_G050</x:v>
      </x:c>
      <x:c r="B273" s="2" t="str">
        <x:v>A0029</x:v>
      </x:c>
      <x:c r="C273" s="10" t="n">
        <x:v>4</x:v>
      </x:c>
      <x:c r="D273" s="10" t="n">
        <x:v>4</x:v>
      </x:c>
      <x:c r="E273" s="10" t="n">
        <x:v>0</x:v>
      </x:c>
      <x:c r="F273" s="10" t="n">
        <x:v>1</x:v>
      </x:c>
      <x:c r="G273" s="10" t="n">
        <x:f>MIN(E273,3)</x:f>
        <x:v>0</x:v>
      </x:c>
      <x:c r="H273" s="10" t="n">
        <x:v>6</x:v>
      </x:c>
      <x:c r="I273" s="19" t="n">
        <x:v>0.2</x:v>
      </x:c>
      <x:c r="J273" s="19" t="n">
        <x:v>0.8</x:v>
      </x:c>
      <x:c r="K273" s="19" t="n">
        <x:v>0.5</x:v>
      </x:c>
    </x:row>
    <x:row r="274" ht="23" customHeight="1">
      <x:c r="A274" s="2" t="str">
        <x:v>D020_T04_C080_G050</x:v>
      </x:c>
      <x:c r="B274" s="2" t="str">
        <x:v>A0032</x:v>
      </x:c>
      <x:c r="C274" s="10" t="n">
        <x:v>4</x:v>
      </x:c>
      <x:c r="D274" s="10" t="n">
        <x:v>5</x:v>
      </x:c>
      <x:c r="E274" s="10" t="n">
        <x:v>1</x:v>
      </x:c>
      <x:c r="F274" s="10" t="n">
        <x:v>1</x:v>
      </x:c>
      <x:c r="G274" s="10" t="n">
        <x:f>MIN(E274,3)</x:f>
        <x:v>1</x:v>
      </x:c>
      <x:c r="H274" s="10" t="n">
        <x:v>6</x:v>
      </x:c>
      <x:c r="I274" s="19" t="n">
        <x:v>0.2</x:v>
      </x:c>
      <x:c r="J274" s="19" t="n">
        <x:v>0.8</x:v>
      </x:c>
      <x:c r="K274" s="19" t="n">
        <x:v>0.5</x:v>
      </x:c>
    </x:row>
    <x:row r="275" ht="23" customHeight="1">
      <x:c r="A275" s="2" t="str">
        <x:v>D020_T04_C080_G050</x:v>
      </x:c>
      <x:c r="B275" s="2" t="str">
        <x:v>A0035</x:v>
      </x:c>
      <x:c r="C275" s="10" t="n">
        <x:v>4</x:v>
      </x:c>
      <x:c r="D275" s="10" t="n">
        <x:v>7</x:v>
      </x:c>
      <x:c r="E275" s="10" t="n">
        <x:v>3</x:v>
      </x:c>
      <x:c r="F275" s="10" t="n">
        <x:v>1</x:v>
      </x:c>
      <x:c r="G275" s="10" t="n">
        <x:f>MIN(E275,3)</x:f>
        <x:v>3</x:v>
      </x:c>
      <x:c r="H275" s="10" t="n">
        <x:v>6</x:v>
      </x:c>
      <x:c r="I275" s="19" t="n">
        <x:v>0.2</x:v>
      </x:c>
      <x:c r="J275" s="19" t="n">
        <x:v>0.8</x:v>
      </x:c>
      <x:c r="K275" s="19" t="n">
        <x:v>0.5</x:v>
      </x:c>
    </x:row>
    <x:row r="276" ht="23" customHeight="1">
      <x:c r="A276" s="2" t="str">
        <x:v>D020_T04_C080_G050</x:v>
      </x:c>
      <x:c r="B276" s="2" t="str">
        <x:v>A0038</x:v>
      </x:c>
      <x:c r="C276" s="10" t="n">
        <x:v>4</x:v>
      </x:c>
      <x:c r="D276" s="10" t="n">
        <x:v>4</x:v>
      </x:c>
      <x:c r="E276" s="10" t="n">
        <x:v>0</x:v>
      </x:c>
      <x:c r="F276" s="10" t="n">
        <x:v>1</x:v>
      </x:c>
      <x:c r="G276" s="10" t="n">
        <x:f>MIN(E276,3)</x:f>
        <x:v>0</x:v>
      </x:c>
      <x:c r="H276" s="10" t="n">
        <x:v>6</x:v>
      </x:c>
      <x:c r="I276" s="19" t="n">
        <x:v>0.2</x:v>
      </x:c>
      <x:c r="J276" s="19" t="n">
        <x:v>0.8</x:v>
      </x:c>
      <x:c r="K276" s="19" t="n">
        <x:v>0.5</x:v>
      </x:c>
    </x:row>
    <x:row r="277" ht="23" customHeight="1">
      <x:c r="A277" s="2" t="str">
        <x:v>D020_T04_C080_G050</x:v>
      </x:c>
      <x:c r="B277" s="2" t="str">
        <x:v>A0040</x:v>
      </x:c>
      <x:c r="C277" s="10" t="n">
        <x:v>4</x:v>
      </x:c>
      <x:c r="D277" s="10" t="n">
        <x:v>4</x:v>
      </x:c>
      <x:c r="E277" s="10" t="n">
        <x:v>0</x:v>
      </x:c>
      <x:c r="F277" s="10" t="n">
        <x:v>1</x:v>
      </x:c>
      <x:c r="G277" s="10" t="n">
        <x:f>MIN(E277,3)</x:f>
        <x:v>0</x:v>
      </x:c>
      <x:c r="H277" s="10" t="n">
        <x:v>6</x:v>
      </x:c>
      <x:c r="I277" s="19" t="n">
        <x:v>0.2</x:v>
      </x:c>
      <x:c r="J277" s="19" t="n">
        <x:v>0.8</x:v>
      </x:c>
      <x:c r="K277" s="19" t="n">
        <x:v>0.5</x:v>
      </x:c>
    </x:row>
    <x:row r="278" ht="23" customHeight="1">
      <x:c r="A278" s="2" t="str">
        <x:v>D020_T04_C080_G050</x:v>
      </x:c>
      <x:c r="B278" s="2" t="str">
        <x:v>A0071</x:v>
      </x:c>
      <x:c r="C278" s="10" t="n">
        <x:v>4</x:v>
      </x:c>
      <x:c r="D278" s="10" t="n">
        <x:v>5</x:v>
      </x:c>
      <x:c r="E278" s="10" t="n">
        <x:v>1</x:v>
      </x:c>
      <x:c r="F278" s="10" t="n">
        <x:v>1</x:v>
      </x:c>
      <x:c r="G278" s="10" t="n">
        <x:f>MIN(E278,3)</x:f>
        <x:v>1</x:v>
      </x:c>
      <x:c r="H278" s="10" t="n">
        <x:v>6</x:v>
      </x:c>
      <x:c r="I278" s="19" t="n">
        <x:v>0.2</x:v>
      </x:c>
      <x:c r="J278" s="19" t="n">
        <x:v>0.8</x:v>
      </x:c>
      <x:c r="K278" s="19" t="n">
        <x:v>0.5</x:v>
      </x:c>
    </x:row>
    <x:row r="279" ht="23" customHeight="1">
      <x:c r="A279" s="2" t="str">
        <x:v>D020_T04_C080_G050</x:v>
      </x:c>
      <x:c r="B279" s="2" t="str">
        <x:v>A0189</x:v>
      </x:c>
      <x:c r="C279" s="10" t="n">
        <x:v>4</x:v>
      </x:c>
      <x:c r="D279" s="10" t="n">
        <x:v>5</x:v>
      </x:c>
      <x:c r="E279" s="10" t="n">
        <x:v>1</x:v>
      </x:c>
      <x:c r="F279" s="10" t="n">
        <x:v>1</x:v>
      </x:c>
      <x:c r="G279" s="10" t="n">
        <x:f>MIN(E279,3)</x:f>
        <x:v>1</x:v>
      </x:c>
      <x:c r="H279" s="10" t="n">
        <x:v>6</x:v>
      </x:c>
      <x:c r="I279" s="19" t="n">
        <x:v>0.2</x:v>
      </x:c>
      <x:c r="J279" s="19" t="n">
        <x:v>0.8</x:v>
      </x:c>
      <x:c r="K279" s="19" t="n">
        <x:v>0.5</x:v>
      </x:c>
    </x:row>
    <x:row r="280" ht="23" customHeight="1">
      <x:c r="A280" s="2" t="str">
        <x:v>D020_T04_C080_G050</x:v>
      </x:c>
      <x:c r="B280" s="2" t="str">
        <x:v>A0206</x:v>
      </x:c>
      <x:c r="C280" s="10" t="n">
        <x:v>4</x:v>
      </x:c>
      <x:c r="D280" s="10" t="n">
        <x:v>4</x:v>
      </x:c>
      <x:c r="E280" s="10" t="n">
        <x:v>0</x:v>
      </x:c>
      <x:c r="F280" s="10" t="n">
        <x:v>1</x:v>
      </x:c>
      <x:c r="G280" s="10" t="n">
        <x:f>MIN(E280,3)</x:f>
        <x:v>0</x:v>
      </x:c>
      <x:c r="H280" s="10" t="n">
        <x:v>6</x:v>
      </x:c>
      <x:c r="I280" s="19" t="n">
        <x:v>0.2</x:v>
      </x:c>
      <x:c r="J280" s="19" t="n">
        <x:v>0.8</x:v>
      </x:c>
      <x:c r="K280" s="19" t="n">
        <x:v>0.5</x:v>
      </x:c>
    </x:row>
    <x:row r="281" ht="23" customHeight="1">
      <x:c r="A281" s="2" t="str">
        <x:v>D020_T04_C080_G075</x:v>
      </x:c>
      <x:c r="B281" s="2" t="str">
        <x:v>A0005</x:v>
      </x:c>
      <x:c r="C281" s="10" t="n">
        <x:v>4</x:v>
      </x:c>
      <x:c r="D281" s="10" t="n">
        <x:v>4</x:v>
      </x:c>
      <x:c r="E281" s="10" t="n">
        <x:v>0</x:v>
      </x:c>
      <x:c r="F281" s="10" t="n">
        <x:v>1</x:v>
      </x:c>
      <x:c r="G281" s="10" t="n">
        <x:f>MIN(E281,3)</x:f>
        <x:v>0</x:v>
      </x:c>
      <x:c r="H281" s="10" t="n">
        <x:v>6</x:v>
      </x:c>
      <x:c r="I281" s="19" t="n">
        <x:v>0.2</x:v>
      </x:c>
      <x:c r="J281" s="19" t="n">
        <x:v>0.8</x:v>
      </x:c>
      <x:c r="K281" s="19" t="n">
        <x:v>0.75</x:v>
      </x:c>
    </x:row>
    <x:row r="282" ht="23" customHeight="1">
      <x:c r="A282" s="2" t="str">
        <x:v>D020_T04_C080_G075</x:v>
      </x:c>
      <x:c r="B282" s="2" t="str">
        <x:v>A0011</x:v>
      </x:c>
      <x:c r="C282" s="10" t="n">
        <x:v>4</x:v>
      </x:c>
      <x:c r="D282" s="10" t="n">
        <x:v>6</x:v>
      </x:c>
      <x:c r="E282" s="10" t="n">
        <x:v>2</x:v>
      </x:c>
      <x:c r="F282" s="10" t="n">
        <x:v>1</x:v>
      </x:c>
      <x:c r="G282" s="10" t="n">
        <x:f>MIN(E282,3)</x:f>
        <x:v>2</x:v>
      </x:c>
      <x:c r="H282" s="10" t="n">
        <x:v>6</x:v>
      </x:c>
      <x:c r="I282" s="19" t="n">
        <x:v>0.2</x:v>
      </x:c>
      <x:c r="J282" s="19" t="n">
        <x:v>0.8</x:v>
      </x:c>
      <x:c r="K282" s="19" t="n">
        <x:v>0.75</x:v>
      </x:c>
    </x:row>
    <x:row r="283" ht="23" customHeight="1">
      <x:c r="A283" s="2" t="str">
        <x:v>D020_T04_C080_G075</x:v>
      </x:c>
      <x:c r="B283" s="2" t="str">
        <x:v>A0012</x:v>
      </x:c>
      <x:c r="C283" s="10" t="n">
        <x:v>4</x:v>
      </x:c>
      <x:c r="D283" s="10" t="n">
        <x:v>4</x:v>
      </x:c>
      <x:c r="E283" s="10" t="n">
        <x:v>0</x:v>
      </x:c>
      <x:c r="F283" s="10" t="n">
        <x:v>1</x:v>
      </x:c>
      <x:c r="G283" s="10" t="n">
        <x:f>MIN(E283,3)</x:f>
        <x:v>0</x:v>
      </x:c>
      <x:c r="H283" s="10" t="n">
        <x:v>6</x:v>
      </x:c>
      <x:c r="I283" s="19" t="n">
        <x:v>0.2</x:v>
      </x:c>
      <x:c r="J283" s="19" t="n">
        <x:v>0.8</x:v>
      </x:c>
      <x:c r="K283" s="19" t="n">
        <x:v>0.75</x:v>
      </x:c>
    </x:row>
    <x:row r="284" ht="23" customHeight="1">
      <x:c r="A284" s="2" t="str">
        <x:v>D020_T04_C080_G075</x:v>
      </x:c>
      <x:c r="B284" s="2" t="str">
        <x:v>A0019</x:v>
      </x:c>
      <x:c r="C284" s="10" t="n">
        <x:v>4</x:v>
      </x:c>
      <x:c r="D284" s="10" t="n">
        <x:v>4</x:v>
      </x:c>
      <x:c r="E284" s="10" t="n">
        <x:v>0</x:v>
      </x:c>
      <x:c r="F284" s="10" t="n">
        <x:v>1</x:v>
      </x:c>
      <x:c r="G284" s="10" t="n">
        <x:f>MIN(E284,3)</x:f>
        <x:v>0</x:v>
      </x:c>
      <x:c r="H284" s="10" t="n">
        <x:v>6</x:v>
      </x:c>
      <x:c r="I284" s="19" t="n">
        <x:v>0.2</x:v>
      </x:c>
      <x:c r="J284" s="19" t="n">
        <x:v>0.8</x:v>
      </x:c>
      <x:c r="K284" s="19" t="n">
        <x:v>0.75</x:v>
      </x:c>
    </x:row>
    <x:row r="285" ht="23" customHeight="1">
      <x:c r="A285" s="2" t="str">
        <x:v>D020_T04_C080_G075</x:v>
      </x:c>
      <x:c r="B285" s="2" t="str">
        <x:v>A0024</x:v>
      </x:c>
      <x:c r="C285" s="10" t="n">
        <x:v>4</x:v>
      </x:c>
      <x:c r="D285" s="10" t="n">
        <x:v>5</x:v>
      </x:c>
      <x:c r="E285" s="10" t="n">
        <x:v>1</x:v>
      </x:c>
      <x:c r="F285" s="10" t="n">
        <x:v>1</x:v>
      </x:c>
      <x:c r="G285" s="10" t="n">
        <x:f>MIN(E285,3)</x:f>
        <x:v>1</x:v>
      </x:c>
      <x:c r="H285" s="10" t="n">
        <x:v>6</x:v>
      </x:c>
      <x:c r="I285" s="19" t="n">
        <x:v>0.2</x:v>
      </x:c>
      <x:c r="J285" s="19" t="n">
        <x:v>0.8</x:v>
      </x:c>
      <x:c r="K285" s="19" t="n">
        <x:v>0.75</x:v>
      </x:c>
    </x:row>
    <x:row r="286" ht="23" customHeight="1">
      <x:c r="A286" s="2" t="str">
        <x:v>D020_T04_C080_G075</x:v>
      </x:c>
      <x:c r="B286" s="2" t="str">
        <x:v>A0025</x:v>
      </x:c>
      <x:c r="C286" s="10" t="n">
        <x:v>4</x:v>
      </x:c>
      <x:c r="D286" s="10" t="n">
        <x:v>5</x:v>
      </x:c>
      <x:c r="E286" s="10" t="n">
        <x:v>1</x:v>
      </x:c>
      <x:c r="F286" s="10" t="n">
        <x:v>1</x:v>
      </x:c>
      <x:c r="G286" s="10" t="n">
        <x:f>MIN(E286,3)</x:f>
        <x:v>1</x:v>
      </x:c>
      <x:c r="H286" s="10" t="n">
        <x:v>6</x:v>
      </x:c>
      <x:c r="I286" s="19" t="n">
        <x:v>0.2</x:v>
      </x:c>
      <x:c r="J286" s="19" t="n">
        <x:v>0.8</x:v>
      </x:c>
      <x:c r="K286" s="19" t="n">
        <x:v>0.75</x:v>
      </x:c>
    </x:row>
    <x:row r="287" ht="23" customHeight="1">
      <x:c r="A287" s="2" t="str">
        <x:v>D020_T04_C080_G075</x:v>
      </x:c>
      <x:c r="B287" s="2" t="str">
        <x:v>A0032</x:v>
      </x:c>
      <x:c r="C287" s="10" t="n">
        <x:v>4</x:v>
      </x:c>
      <x:c r="D287" s="10" t="n">
        <x:v>4</x:v>
      </x:c>
      <x:c r="E287" s="10" t="n">
        <x:v>0</x:v>
      </x:c>
      <x:c r="F287" s="10" t="n">
        <x:v>1</x:v>
      </x:c>
      <x:c r="G287" s="10" t="n">
        <x:f>MIN(E287,3)</x:f>
        <x:v>0</x:v>
      </x:c>
      <x:c r="H287" s="10" t="n">
        <x:v>6</x:v>
      </x:c>
      <x:c r="I287" s="19" t="n">
        <x:v>0.2</x:v>
      </x:c>
      <x:c r="J287" s="19" t="n">
        <x:v>0.8</x:v>
      </x:c>
      <x:c r="K287" s="19" t="n">
        <x:v>0.75</x:v>
      </x:c>
    </x:row>
    <x:row r="288" ht="23" customHeight="1">
      <x:c r="A288" s="2" t="str">
        <x:v>D020_T04_C080_G075</x:v>
      </x:c>
      <x:c r="B288" s="2" t="str">
        <x:v>A0033</x:v>
      </x:c>
      <x:c r="C288" s="10" t="n">
        <x:v>4</x:v>
      </x:c>
      <x:c r="D288" s="10" t="n">
        <x:v>4</x:v>
      </x:c>
      <x:c r="E288" s="10" t="n">
        <x:v>0</x:v>
      </x:c>
      <x:c r="F288" s="10" t="n">
        <x:v>1</x:v>
      </x:c>
      <x:c r="G288" s="10" t="n">
        <x:f>MIN(E288,3)</x:f>
        <x:v>0</x:v>
      </x:c>
      <x:c r="H288" s="10" t="n">
        <x:v>6</x:v>
      </x:c>
      <x:c r="I288" s="19" t="n">
        <x:v>0.2</x:v>
      </x:c>
      <x:c r="J288" s="19" t="n">
        <x:v>0.8</x:v>
      </x:c>
      <x:c r="K288" s="19" t="n">
        <x:v>0.75</x:v>
      </x:c>
    </x:row>
    <x:row r="289" ht="23" customHeight="1">
      <x:c r="A289" s="2" t="str">
        <x:v>D020_T04_C080_G075</x:v>
      </x:c>
      <x:c r="B289" s="2" t="str">
        <x:v>A0035</x:v>
      </x:c>
      <x:c r="C289" s="10" t="n">
        <x:v>4</x:v>
      </x:c>
      <x:c r="D289" s="10" t="n">
        <x:v>4</x:v>
      </x:c>
      <x:c r="E289" s="10" t="n">
        <x:v>0</x:v>
      </x:c>
      <x:c r="F289" s="10" t="n">
        <x:v>1</x:v>
      </x:c>
      <x:c r="G289" s="10" t="n">
        <x:f>MIN(E289,3)</x:f>
        <x:v>0</x:v>
      </x:c>
      <x:c r="H289" s="10" t="n">
        <x:v>6</x:v>
      </x:c>
      <x:c r="I289" s="19" t="n">
        <x:v>0.2</x:v>
      </x:c>
      <x:c r="J289" s="19" t="n">
        <x:v>0.8</x:v>
      </x:c>
      <x:c r="K289" s="19" t="n">
        <x:v>0.75</x:v>
      </x:c>
    </x:row>
    <x:row r="290" ht="23" customHeight="1">
      <x:c r="A290" s="2" t="str">
        <x:v>D020_T04_C080_G075</x:v>
      </x:c>
      <x:c r="B290" s="2" t="str">
        <x:v>A0036</x:v>
      </x:c>
      <x:c r="C290" s="10" t="n">
        <x:v>4</x:v>
      </x:c>
      <x:c r="D290" s="10" t="n">
        <x:v>4</x:v>
      </x:c>
      <x:c r="E290" s="10" t="n">
        <x:v>0</x:v>
      </x:c>
      <x:c r="F290" s="10" t="n">
        <x:v>1</x:v>
      </x:c>
      <x:c r="G290" s="10" t="n">
        <x:f>MIN(E290,3)</x:f>
        <x:v>0</x:v>
      </x:c>
      <x:c r="H290" s="10" t="n">
        <x:v>6</x:v>
      </x:c>
      <x:c r="I290" s="19" t="n">
        <x:v>0.2</x:v>
      </x:c>
      <x:c r="J290" s="19" t="n">
        <x:v>0.8</x:v>
      </x:c>
      <x:c r="K290" s="19" t="n">
        <x:v>0.75</x:v>
      </x:c>
    </x:row>
    <x:row r="291" ht="23" customHeight="1">
      <x:c r="A291" s="2" t="str">
        <x:v>D020_T04_C080_G075</x:v>
      </x:c>
      <x:c r="B291" s="2" t="str">
        <x:v>A0037</x:v>
      </x:c>
      <x:c r="C291" s="10" t="n">
        <x:v>4</x:v>
      </x:c>
      <x:c r="D291" s="10" t="n">
        <x:v>4</x:v>
      </x:c>
      <x:c r="E291" s="10" t="n">
        <x:v>0</x:v>
      </x:c>
      <x:c r="F291" s="10" t="n">
        <x:v>1</x:v>
      </x:c>
      <x:c r="G291" s="10" t="n">
        <x:f>MIN(E291,3)</x:f>
        <x:v>0</x:v>
      </x:c>
      <x:c r="H291" s="10" t="n">
        <x:v>6</x:v>
      </x:c>
      <x:c r="I291" s="19" t="n">
        <x:v>0.2</x:v>
      </x:c>
      <x:c r="J291" s="19" t="n">
        <x:v>0.8</x:v>
      </x:c>
      <x:c r="K291" s="19" t="n">
        <x:v>0.75</x:v>
      </x:c>
    </x:row>
    <x:row r="292" ht="23" customHeight="1">
      <x:c r="A292" s="2" t="str">
        <x:v>D020_T04_C080_G075</x:v>
      </x:c>
      <x:c r="B292" s="2" t="str">
        <x:v>A0040</x:v>
      </x:c>
      <x:c r="C292" s="10" t="n">
        <x:v>4</x:v>
      </x:c>
      <x:c r="D292" s="10" t="n">
        <x:v>4</x:v>
      </x:c>
      <x:c r="E292" s="10" t="n">
        <x:v>0</x:v>
      </x:c>
      <x:c r="F292" s="10" t="n">
        <x:v>1</x:v>
      </x:c>
      <x:c r="G292" s="10" t="n">
        <x:f>MIN(E292,3)</x:f>
        <x:v>0</x:v>
      </x:c>
      <x:c r="H292" s="10" t="n">
        <x:v>6</x:v>
      </x:c>
      <x:c r="I292" s="19" t="n">
        <x:v>0.2</x:v>
      </x:c>
      <x:c r="J292" s="19" t="n">
        <x:v>0.8</x:v>
      </x:c>
      <x:c r="K292" s="19" t="n">
        <x:v>0.75</x:v>
      </x:c>
    </x:row>
    <x:row r="293" ht="23" customHeight="1">
      <x:c r="A293" s="2" t="str">
        <x:v>D020_T04_C080_G075</x:v>
      </x:c>
      <x:c r="B293" s="2" t="str">
        <x:v>A0041</x:v>
      </x:c>
      <x:c r="C293" s="10" t="n">
        <x:v>4</x:v>
      </x:c>
      <x:c r="D293" s="10" t="n">
        <x:v>4</x:v>
      </x:c>
      <x:c r="E293" s="10" t="n">
        <x:v>0</x:v>
      </x:c>
      <x:c r="F293" s="10" t="n">
        <x:v>1</x:v>
      </x:c>
      <x:c r="G293" s="10" t="n">
        <x:f>MIN(E293,3)</x:f>
        <x:v>0</x:v>
      </x:c>
      <x:c r="H293" s="10" t="n">
        <x:v>6</x:v>
      </x:c>
      <x:c r="I293" s="19" t="n">
        <x:v>0.2</x:v>
      </x:c>
      <x:c r="J293" s="19" t="n">
        <x:v>0.8</x:v>
      </x:c>
      <x:c r="K293" s="19" t="n">
        <x:v>0.75</x:v>
      </x:c>
    </x:row>
    <x:row r="294" ht="23" customHeight="1">
      <x:c r="A294" s="2" t="str">
        <x:v>D020_T04_C080_G075</x:v>
      </x:c>
      <x:c r="B294" s="2" t="str">
        <x:v>A0206</x:v>
      </x:c>
      <x:c r="C294" s="10" t="n">
        <x:v>4</x:v>
      </x:c>
      <x:c r="D294" s="10" t="n">
        <x:v>4</x:v>
      </x:c>
      <x:c r="E294" s="10" t="n">
        <x:v>0</x:v>
      </x:c>
      <x:c r="F294" s="10" t="n">
        <x:v>1</x:v>
      </x:c>
      <x:c r="G294" s="10" t="n">
        <x:f>MIN(E294,3)</x:f>
        <x:v>0</x:v>
      </x:c>
      <x:c r="H294" s="10" t="n">
        <x:v>6</x:v>
      </x:c>
      <x:c r="I294" s="19" t="n">
        <x:v>0.2</x:v>
      </x:c>
      <x:c r="J294" s="19" t="n">
        <x:v>0.8</x:v>
      </x:c>
      <x:c r="K294" s="19" t="n">
        <x:v>0.75</x:v>
      </x:c>
    </x:row>
    <x:row r="295" ht="23" customHeight="1">
      <x:c r="A295" s="2" t="str">
        <x:v>D020_T07_C020_G025</x:v>
      </x:c>
      <x:c r="B295" s="2" t="str">
        <x:v>A0002</x:v>
      </x:c>
      <x:c r="C295" s="10" t="n">
        <x:v>7</x:v>
      </x:c>
      <x:c r="D295" s="10"/>
      <x:c r="E295" s="10" t="n">
        <x:v>3</x:v>
      </x:c>
      <x:c r="F295" s="10" t="n">
        <x:v>0</x:v>
      </x:c>
      <x:c r="G295" s="10" t="n">
        <x:f>MIN(E295,3)</x:f>
        <x:v>3</x:v>
      </x:c>
      <x:c r="H295" s="10" t="n">
        <x:v>3</x:v>
      </x:c>
      <x:c r="I295" s="19" t="n">
        <x:v>0.2</x:v>
      </x:c>
      <x:c r="J295" s="19" t="n">
        <x:v>0.2</x:v>
      </x:c>
      <x:c r="K295" s="19" t="n">
        <x:v>0.25</x:v>
      </x:c>
    </x:row>
    <x:row r="296" ht="23" customHeight="1">
      <x:c r="A296" s="2" t="str">
        <x:v>D020_T07_C020_G025</x:v>
      </x:c>
      <x:c r="B296" s="2" t="str">
        <x:v>A0005</x:v>
      </x:c>
      <x:c r="C296" s="10" t="n">
        <x:v>7</x:v>
      </x:c>
      <x:c r="D296" s="10"/>
      <x:c r="E296" s="10" t="n">
        <x:v>3</x:v>
      </x:c>
      <x:c r="F296" s="10" t="n">
        <x:v>0</x:v>
      </x:c>
      <x:c r="G296" s="10" t="n">
        <x:f>MIN(E296,3)</x:f>
        <x:v>3</x:v>
      </x:c>
      <x:c r="H296" s="10" t="n">
        <x:v>3</x:v>
      </x:c>
      <x:c r="I296" s="19" t="n">
        <x:v>0.2</x:v>
      </x:c>
      <x:c r="J296" s="19" t="n">
        <x:v>0.2</x:v>
      </x:c>
      <x:c r="K296" s="19" t="n">
        <x:v>0.25</x:v>
      </x:c>
    </x:row>
    <x:row r="297" ht="23" customHeight="1">
      <x:c r="A297" s="2" t="str">
        <x:v>D020_T07_C020_G025</x:v>
      </x:c>
      <x:c r="B297" s="2" t="str">
        <x:v>A0006</x:v>
      </x:c>
      <x:c r="C297" s="10" t="n">
        <x:v>7</x:v>
      </x:c>
      <x:c r="D297" s="10"/>
      <x:c r="E297" s="10" t="n">
        <x:v>3</x:v>
      </x:c>
      <x:c r="F297" s="10" t="n">
        <x:v>0</x:v>
      </x:c>
      <x:c r="G297" s="10" t="n">
        <x:f>MIN(E297,3)</x:f>
        <x:v>3</x:v>
      </x:c>
      <x:c r="H297" s="10" t="n">
        <x:v>3</x:v>
      </x:c>
      <x:c r="I297" s="19" t="n">
        <x:v>0.2</x:v>
      </x:c>
      <x:c r="J297" s="19" t="n">
        <x:v>0.2</x:v>
      </x:c>
      <x:c r="K297" s="19" t="n">
        <x:v>0.25</x:v>
      </x:c>
    </x:row>
    <x:row r="298" ht="23" customHeight="1">
      <x:c r="A298" s="2" t="str">
        <x:v>D020_T07_C020_G025</x:v>
      </x:c>
      <x:c r="B298" s="2" t="str">
        <x:v>A0009</x:v>
      </x:c>
      <x:c r="C298" s="10" t="n">
        <x:v>7</x:v>
      </x:c>
      <x:c r="D298" s="10"/>
      <x:c r="E298" s="10" t="n">
        <x:v>3</x:v>
      </x:c>
      <x:c r="F298" s="10" t="n">
        <x:v>0</x:v>
      </x:c>
      <x:c r="G298" s="10" t="n">
        <x:f>MIN(E298,3)</x:f>
        <x:v>3</x:v>
      </x:c>
      <x:c r="H298" s="10" t="n">
        <x:v>3</x:v>
      </x:c>
      <x:c r="I298" s="19" t="n">
        <x:v>0.2</x:v>
      </x:c>
      <x:c r="J298" s="19" t="n">
        <x:v>0.2</x:v>
      </x:c>
      <x:c r="K298" s="19" t="n">
        <x:v>0.25</x:v>
      </x:c>
    </x:row>
    <x:row r="299" ht="23" customHeight="1">
      <x:c r="A299" s="2" t="str">
        <x:v>D020_T07_C020_G025</x:v>
      </x:c>
      <x:c r="B299" s="2" t="str">
        <x:v>A0011</x:v>
      </x:c>
      <x:c r="C299" s="10" t="n">
        <x:v>7</x:v>
      </x:c>
      <x:c r="D299" s="10"/>
      <x:c r="E299" s="10" t="n">
        <x:v>3</x:v>
      </x:c>
      <x:c r="F299" s="10" t="n">
        <x:v>0</x:v>
      </x:c>
      <x:c r="G299" s="10" t="n">
        <x:f>MIN(E299,3)</x:f>
        <x:v>3</x:v>
      </x:c>
      <x:c r="H299" s="10" t="n">
        <x:v>3</x:v>
      </x:c>
      <x:c r="I299" s="19" t="n">
        <x:v>0.2</x:v>
      </x:c>
      <x:c r="J299" s="19" t="n">
        <x:v>0.2</x:v>
      </x:c>
      <x:c r="K299" s="19" t="n">
        <x:v>0.25</x:v>
      </x:c>
    </x:row>
    <x:row r="300" ht="23" customHeight="1">
      <x:c r="A300" s="2" t="str">
        <x:v>D020_T07_C020_G025</x:v>
      </x:c>
      <x:c r="B300" s="2" t="str">
        <x:v>A0012</x:v>
      </x:c>
      <x:c r="C300" s="10" t="n">
        <x:v>7</x:v>
      </x:c>
      <x:c r="D300" s="10"/>
      <x:c r="E300" s="10" t="n">
        <x:v>3</x:v>
      </x:c>
      <x:c r="F300" s="10" t="n">
        <x:v>0</x:v>
      </x:c>
      <x:c r="G300" s="10" t="n">
        <x:f>MIN(E300,3)</x:f>
        <x:v>3</x:v>
      </x:c>
      <x:c r="H300" s="10" t="n">
        <x:v>3</x:v>
      </x:c>
      <x:c r="I300" s="19" t="n">
        <x:v>0.2</x:v>
      </x:c>
      <x:c r="J300" s="19" t="n">
        <x:v>0.2</x:v>
      </x:c>
      <x:c r="K300" s="19" t="n">
        <x:v>0.25</x:v>
      </x:c>
    </x:row>
    <x:row r="301" ht="23" customHeight="1">
      <x:c r="A301" s="2" t="str">
        <x:v>D020_T07_C020_G025</x:v>
      </x:c>
      <x:c r="B301" s="2" t="str">
        <x:v>A0014</x:v>
      </x:c>
      <x:c r="C301" s="10" t="n">
        <x:v>7</x:v>
      </x:c>
      <x:c r="D301" s="10" t="n">
        <x:v>7</x:v>
      </x:c>
      <x:c r="E301" s="10" t="n">
        <x:v>0</x:v>
      </x:c>
      <x:c r="F301" s="10" t="n">
        <x:v>1</x:v>
      </x:c>
      <x:c r="G301" s="10" t="n">
        <x:f>MIN(E301,3)</x:f>
        <x:v>0</x:v>
      </x:c>
      <x:c r="H301" s="10" t="n">
        <x:v>3</x:v>
      </x:c>
      <x:c r="I301" s="19" t="n">
        <x:v>0.2</x:v>
      </x:c>
      <x:c r="J301" s="19" t="n">
        <x:v>0.2</x:v>
      </x:c>
      <x:c r="K301" s="19" t="n">
        <x:v>0.25</x:v>
      </x:c>
    </x:row>
    <x:row r="302" ht="23" customHeight="1">
      <x:c r="A302" s="2" t="str">
        <x:v>D020_T07_C020_G025</x:v>
      </x:c>
      <x:c r="B302" s="2" t="str">
        <x:v>A0017</x:v>
      </x:c>
      <x:c r="C302" s="10" t="n">
        <x:v>7</x:v>
      </x:c>
      <x:c r="D302" s="10"/>
      <x:c r="E302" s="10" t="n">
        <x:v>3</x:v>
      </x:c>
      <x:c r="F302" s="10" t="n">
        <x:v>0</x:v>
      </x:c>
      <x:c r="G302" s="10" t="n">
        <x:f>MIN(E302,3)</x:f>
        <x:v>3</x:v>
      </x:c>
      <x:c r="H302" s="10" t="n">
        <x:v>3</x:v>
      </x:c>
      <x:c r="I302" s="19" t="n">
        <x:v>0.2</x:v>
      </x:c>
      <x:c r="J302" s="19" t="n">
        <x:v>0.2</x:v>
      </x:c>
      <x:c r="K302" s="19" t="n">
        <x:v>0.25</x:v>
      </x:c>
    </x:row>
    <x:row r="303" ht="23" customHeight="1">
      <x:c r="A303" s="2" t="str">
        <x:v>D020_T07_C020_G025</x:v>
      </x:c>
      <x:c r="B303" s="2" t="str">
        <x:v>A0018</x:v>
      </x:c>
      <x:c r="C303" s="10" t="n">
        <x:v>7</x:v>
      </x:c>
      <x:c r="D303" s="10"/>
      <x:c r="E303" s="10" t="n">
        <x:v>3</x:v>
      </x:c>
      <x:c r="F303" s="10" t="n">
        <x:v>0</x:v>
      </x:c>
      <x:c r="G303" s="10" t="n">
        <x:f>MIN(E303,3)</x:f>
        <x:v>3</x:v>
      </x:c>
      <x:c r="H303" s="10" t="n">
        <x:v>3</x:v>
      </x:c>
      <x:c r="I303" s="19" t="n">
        <x:v>0.2</x:v>
      </x:c>
      <x:c r="J303" s="19" t="n">
        <x:v>0.2</x:v>
      </x:c>
      <x:c r="K303" s="19" t="n">
        <x:v>0.25</x:v>
      </x:c>
    </x:row>
    <x:row r="304" ht="23" customHeight="1">
      <x:c r="A304" s="2" t="str">
        <x:v>D020_T07_C020_G025</x:v>
      </x:c>
      <x:c r="B304" s="2" t="str">
        <x:v>A0019</x:v>
      </x:c>
      <x:c r="C304" s="10" t="n">
        <x:v>7</x:v>
      </x:c>
      <x:c r="D304" s="10"/>
      <x:c r="E304" s="10" t="n">
        <x:v>3</x:v>
      </x:c>
      <x:c r="F304" s="10" t="n">
        <x:v>0</x:v>
      </x:c>
      <x:c r="G304" s="10" t="n">
        <x:f>MIN(E304,3)</x:f>
        <x:v>3</x:v>
      </x:c>
      <x:c r="H304" s="10" t="n">
        <x:v>3</x:v>
      </x:c>
      <x:c r="I304" s="19" t="n">
        <x:v>0.2</x:v>
      </x:c>
      <x:c r="J304" s="19" t="n">
        <x:v>0.2</x:v>
      </x:c>
      <x:c r="K304" s="19" t="n">
        <x:v>0.25</x:v>
      </x:c>
    </x:row>
    <x:row r="305" ht="23" customHeight="1">
      <x:c r="A305" s="2" t="str">
        <x:v>D020_T07_C020_G025</x:v>
      </x:c>
      <x:c r="B305" s="2" t="str">
        <x:v>A0024</x:v>
      </x:c>
      <x:c r="C305" s="10" t="n">
        <x:v>7</x:v>
      </x:c>
      <x:c r="D305" s="10"/>
      <x:c r="E305" s="10" t="n">
        <x:v>3</x:v>
      </x:c>
      <x:c r="F305" s="10" t="n">
        <x:v>0</x:v>
      </x:c>
      <x:c r="G305" s="10" t="n">
        <x:f>MIN(E305,3)</x:f>
        <x:v>3</x:v>
      </x:c>
      <x:c r="H305" s="10" t="n">
        <x:v>3</x:v>
      </x:c>
      <x:c r="I305" s="19" t="n">
        <x:v>0.2</x:v>
      </x:c>
      <x:c r="J305" s="19" t="n">
        <x:v>0.2</x:v>
      </x:c>
      <x:c r="K305" s="19" t="n">
        <x:v>0.25</x:v>
      </x:c>
    </x:row>
    <x:row r="306" ht="23" customHeight="1">
      <x:c r="A306" s="2" t="str">
        <x:v>D020_T07_C020_G025</x:v>
      </x:c>
      <x:c r="B306" s="2" t="str">
        <x:v>A0025</x:v>
      </x:c>
      <x:c r="C306" s="10" t="n">
        <x:v>7</x:v>
      </x:c>
      <x:c r="D306" s="10"/>
      <x:c r="E306" s="10" t="n">
        <x:v>3</x:v>
      </x:c>
      <x:c r="F306" s="10" t="n">
        <x:v>0</x:v>
      </x:c>
      <x:c r="G306" s="10" t="n">
        <x:f>MIN(E306,3)</x:f>
        <x:v>3</x:v>
      </x:c>
      <x:c r="H306" s="10" t="n">
        <x:v>3</x:v>
      </x:c>
      <x:c r="I306" s="19" t="n">
        <x:v>0.2</x:v>
      </x:c>
      <x:c r="J306" s="19" t="n">
        <x:v>0.2</x:v>
      </x:c>
      <x:c r="K306" s="19" t="n">
        <x:v>0.25</x:v>
      </x:c>
    </x:row>
    <x:row r="307" ht="23" customHeight="1">
      <x:c r="A307" s="2" t="str">
        <x:v>D020_T07_C020_G025</x:v>
      </x:c>
      <x:c r="B307" s="2" t="str">
        <x:v>A0032</x:v>
      </x:c>
      <x:c r="C307" s="10" t="n">
        <x:v>7</x:v>
      </x:c>
      <x:c r="D307" s="10"/>
      <x:c r="E307" s="10" t="n">
        <x:v>3</x:v>
      </x:c>
      <x:c r="F307" s="10" t="n">
        <x:v>0</x:v>
      </x:c>
      <x:c r="G307" s="10" t="n">
        <x:f>MIN(E307,3)</x:f>
        <x:v>3</x:v>
      </x:c>
      <x:c r="H307" s="10" t="n">
        <x:v>3</x:v>
      </x:c>
      <x:c r="I307" s="19" t="n">
        <x:v>0.2</x:v>
      </x:c>
      <x:c r="J307" s="19" t="n">
        <x:v>0.2</x:v>
      </x:c>
      <x:c r="K307" s="19" t="n">
        <x:v>0.25</x:v>
      </x:c>
    </x:row>
    <x:row r="308" ht="23" customHeight="1">
      <x:c r="A308" s="2" t="str">
        <x:v>D020_T07_C020_G025</x:v>
      </x:c>
      <x:c r="B308" s="2" t="str">
        <x:v>A0033</x:v>
      </x:c>
      <x:c r="C308" s="10" t="n">
        <x:v>7</x:v>
      </x:c>
      <x:c r="D308" s="10"/>
      <x:c r="E308" s="10" t="n">
        <x:v>3</x:v>
      </x:c>
      <x:c r="F308" s="10" t="n">
        <x:v>0</x:v>
      </x:c>
      <x:c r="G308" s="10" t="n">
        <x:f>MIN(E308,3)</x:f>
        <x:v>3</x:v>
      </x:c>
      <x:c r="H308" s="10" t="n">
        <x:v>3</x:v>
      </x:c>
      <x:c r="I308" s="19" t="n">
        <x:v>0.2</x:v>
      </x:c>
      <x:c r="J308" s="19" t="n">
        <x:v>0.2</x:v>
      </x:c>
      <x:c r="K308" s="19" t="n">
        <x:v>0.25</x:v>
      </x:c>
    </x:row>
    <x:row r="309" ht="23" customHeight="1">
      <x:c r="A309" s="2" t="str">
        <x:v>D020_T07_C020_G025</x:v>
      </x:c>
      <x:c r="B309" s="2" t="str">
        <x:v>A0035</x:v>
      </x:c>
      <x:c r="C309" s="10" t="n">
        <x:v>7</x:v>
      </x:c>
      <x:c r="D309" s="10"/>
      <x:c r="E309" s="10" t="n">
        <x:v>3</x:v>
      </x:c>
      <x:c r="F309" s="10" t="n">
        <x:v>0</x:v>
      </x:c>
      <x:c r="G309" s="10" t="n">
        <x:f>MIN(E309,3)</x:f>
        <x:v>3</x:v>
      </x:c>
      <x:c r="H309" s="10" t="n">
        <x:v>3</x:v>
      </x:c>
      <x:c r="I309" s="19" t="n">
        <x:v>0.2</x:v>
      </x:c>
      <x:c r="J309" s="19" t="n">
        <x:v>0.2</x:v>
      </x:c>
      <x:c r="K309" s="19" t="n">
        <x:v>0.25</x:v>
      </x:c>
    </x:row>
    <x:row r="310" ht="23" customHeight="1">
      <x:c r="A310" s="2" t="str">
        <x:v>D020_T07_C020_G025</x:v>
      </x:c>
      <x:c r="B310" s="2" t="str">
        <x:v>A0036</x:v>
      </x:c>
      <x:c r="C310" s="10" t="n">
        <x:v>7</x:v>
      </x:c>
      <x:c r="D310" s="10"/>
      <x:c r="E310" s="10" t="n">
        <x:v>3</x:v>
      </x:c>
      <x:c r="F310" s="10" t="n">
        <x:v>0</x:v>
      </x:c>
      <x:c r="G310" s="10" t="n">
        <x:f>MIN(E310,3)</x:f>
        <x:v>3</x:v>
      </x:c>
      <x:c r="H310" s="10" t="n">
        <x:v>3</x:v>
      </x:c>
      <x:c r="I310" s="19" t="n">
        <x:v>0.2</x:v>
      </x:c>
      <x:c r="J310" s="19" t="n">
        <x:v>0.2</x:v>
      </x:c>
      <x:c r="K310" s="19" t="n">
        <x:v>0.25</x:v>
      </x:c>
    </x:row>
    <x:row r="311" ht="23" customHeight="1">
      <x:c r="A311" s="2" t="str">
        <x:v>D020_T07_C020_G025</x:v>
      </x:c>
      <x:c r="B311" s="2" t="str">
        <x:v>A0037</x:v>
      </x:c>
      <x:c r="C311" s="10" t="n">
        <x:v>7</x:v>
      </x:c>
      <x:c r="D311" s="10"/>
      <x:c r="E311" s="10" t="n">
        <x:v>3</x:v>
      </x:c>
      <x:c r="F311" s="10" t="n">
        <x:v>0</x:v>
      </x:c>
      <x:c r="G311" s="10" t="n">
        <x:f>MIN(E311,3)</x:f>
        <x:v>3</x:v>
      </x:c>
      <x:c r="H311" s="10" t="n">
        <x:v>3</x:v>
      </x:c>
      <x:c r="I311" s="19" t="n">
        <x:v>0.2</x:v>
      </x:c>
      <x:c r="J311" s="19" t="n">
        <x:v>0.2</x:v>
      </x:c>
      <x:c r="K311" s="19" t="n">
        <x:v>0.25</x:v>
      </x:c>
    </x:row>
    <x:row r="312" ht="23" customHeight="1">
      <x:c r="A312" s="2" t="str">
        <x:v>D020_T07_C020_G025</x:v>
      </x:c>
      <x:c r="B312" s="2" t="str">
        <x:v>A0038</x:v>
      </x:c>
      <x:c r="C312" s="10" t="n">
        <x:v>7</x:v>
      </x:c>
      <x:c r="D312" s="10"/>
      <x:c r="E312" s="10" t="n">
        <x:v>3</x:v>
      </x:c>
      <x:c r="F312" s="10" t="n">
        <x:v>0</x:v>
      </x:c>
      <x:c r="G312" s="10" t="n">
        <x:f>MIN(E312,3)</x:f>
        <x:v>3</x:v>
      </x:c>
      <x:c r="H312" s="10" t="n">
        <x:v>3</x:v>
      </x:c>
      <x:c r="I312" s="19" t="n">
        <x:v>0.2</x:v>
      </x:c>
      <x:c r="J312" s="19" t="n">
        <x:v>0.2</x:v>
      </x:c>
      <x:c r="K312" s="19" t="n">
        <x:v>0.25</x:v>
      </x:c>
    </x:row>
    <x:row r="313" ht="23" customHeight="1">
      <x:c r="A313" s="2" t="str">
        <x:v>D020_T07_C020_G025</x:v>
      </x:c>
      <x:c r="B313" s="2" t="str">
        <x:v>A0040</x:v>
      </x:c>
      <x:c r="C313" s="10" t="n">
        <x:v>7</x:v>
      </x:c>
      <x:c r="D313" s="10"/>
      <x:c r="E313" s="10" t="n">
        <x:v>3</x:v>
      </x:c>
      <x:c r="F313" s="10" t="n">
        <x:v>0</x:v>
      </x:c>
      <x:c r="G313" s="10" t="n">
        <x:f>MIN(E313,3)</x:f>
        <x:v>3</x:v>
      </x:c>
      <x:c r="H313" s="10" t="n">
        <x:v>3</x:v>
      </x:c>
      <x:c r="I313" s="19" t="n">
        <x:v>0.2</x:v>
      </x:c>
      <x:c r="J313" s="19" t="n">
        <x:v>0.2</x:v>
      </x:c>
      <x:c r="K313" s="19" t="n">
        <x:v>0.25</x:v>
      </x:c>
    </x:row>
    <x:row r="314" ht="23" customHeight="1">
      <x:c r="A314" s="2" t="str">
        <x:v>D020_T07_C020_G025</x:v>
      </x:c>
      <x:c r="B314" s="2" t="str">
        <x:v>A0090</x:v>
      </x:c>
      <x:c r="C314" s="10" t="n">
        <x:v>7</x:v>
      </x:c>
      <x:c r="D314" s="10"/>
      <x:c r="E314" s="10" t="n">
        <x:v>3</x:v>
      </x:c>
      <x:c r="F314" s="10" t="n">
        <x:v>0</x:v>
      </x:c>
      <x:c r="G314" s="10" t="n">
        <x:f>MIN(E314,3)</x:f>
        <x:v>3</x:v>
      </x:c>
      <x:c r="H314" s="10" t="n">
        <x:v>3</x:v>
      </x:c>
      <x:c r="I314" s="19" t="n">
        <x:v>0.2</x:v>
      </x:c>
      <x:c r="J314" s="19" t="n">
        <x:v>0.2</x:v>
      </x:c>
      <x:c r="K314" s="19" t="n">
        <x:v>0.25</x:v>
      </x:c>
    </x:row>
    <x:row r="315" ht="23" customHeight="1">
      <x:c r="A315" s="2" t="str">
        <x:v>D020_T07_C020_G025</x:v>
      </x:c>
      <x:c r="B315" s="2" t="str">
        <x:v>A0206</x:v>
      </x:c>
      <x:c r="C315" s="10" t="n">
        <x:v>7</x:v>
      </x:c>
      <x:c r="D315" s="10" t="n">
        <x:v>7</x:v>
      </x:c>
      <x:c r="E315" s="10" t="n">
        <x:v>0</x:v>
      </x:c>
      <x:c r="F315" s="10" t="n">
        <x:v>1</x:v>
      </x:c>
      <x:c r="G315" s="10" t="n">
        <x:f>MIN(E315,3)</x:f>
        <x:v>0</x:v>
      </x:c>
      <x:c r="H315" s="10" t="n">
        <x:v>3</x:v>
      </x:c>
      <x:c r="I315" s="19" t="n">
        <x:v>0.2</x:v>
      </x:c>
      <x:c r="J315" s="19" t="n">
        <x:v>0.2</x:v>
      </x:c>
      <x:c r="K315" s="19" t="n">
        <x:v>0.25</x:v>
      </x:c>
    </x:row>
    <x:row r="316" ht="23" customHeight="1">
      <x:c r="A316" s="2" t="str">
        <x:v>D020_T07_C020_G050</x:v>
      </x:c>
      <x:c r="B316" s="2" t="str">
        <x:v>A0005</x:v>
      </x:c>
      <x:c r="C316" s="10" t="n">
        <x:v>7</x:v>
      </x:c>
      <x:c r="D316" s="10"/>
      <x:c r="E316" s="10" t="n">
        <x:v>3</x:v>
      </x:c>
      <x:c r="F316" s="10" t="n">
        <x:v>0</x:v>
      </x:c>
      <x:c r="G316" s="10" t="n">
        <x:f>MIN(E316,3)</x:f>
        <x:v>3</x:v>
      </x:c>
      <x:c r="H316" s="10" t="n">
        <x:v>3</x:v>
      </x:c>
      <x:c r="I316" s="19" t="n">
        <x:v>0.2</x:v>
      </x:c>
      <x:c r="J316" s="19" t="n">
        <x:v>0.2</x:v>
      </x:c>
      <x:c r="K316" s="19" t="n">
        <x:v>0.5</x:v>
      </x:c>
    </x:row>
    <x:row r="317" ht="23" customHeight="1">
      <x:c r="A317" s="2" t="str">
        <x:v>D020_T07_C020_G050</x:v>
      </x:c>
      <x:c r="B317" s="2" t="str">
        <x:v>A0008</x:v>
      </x:c>
      <x:c r="C317" s="10" t="n">
        <x:v>7</x:v>
      </x:c>
      <x:c r="D317" s="10" t="n">
        <x:v>10</x:v>
      </x:c>
      <x:c r="E317" s="10" t="n">
        <x:v>3</x:v>
      </x:c>
      <x:c r="F317" s="10" t="n">
        <x:v>1</x:v>
      </x:c>
      <x:c r="G317" s="10" t="n">
        <x:f>MIN(E317,3)</x:f>
        <x:v>3</x:v>
      </x:c>
      <x:c r="H317" s="10" t="n">
        <x:v>3</x:v>
      </x:c>
      <x:c r="I317" s="19" t="n">
        <x:v>0.2</x:v>
      </x:c>
      <x:c r="J317" s="19" t="n">
        <x:v>0.2</x:v>
      </x:c>
      <x:c r="K317" s="19" t="n">
        <x:v>0.5</x:v>
      </x:c>
    </x:row>
    <x:row r="318" ht="23" customHeight="1">
      <x:c r="A318" s="2" t="str">
        <x:v>D020_T07_C020_G050</x:v>
      </x:c>
      <x:c r="B318" s="2" t="str">
        <x:v>A0011</x:v>
      </x:c>
      <x:c r="C318" s="10" t="n">
        <x:v>7</x:v>
      </x:c>
      <x:c r="D318" s="10" t="n">
        <x:v>8</x:v>
      </x:c>
      <x:c r="E318" s="10" t="n">
        <x:v>1</x:v>
      </x:c>
      <x:c r="F318" s="10" t="n">
        <x:v>1</x:v>
      </x:c>
      <x:c r="G318" s="10" t="n">
        <x:f>MIN(E318,3)</x:f>
        <x:v>1</x:v>
      </x:c>
      <x:c r="H318" s="10" t="n">
        <x:v>3</x:v>
      </x:c>
      <x:c r="I318" s="19" t="n">
        <x:v>0.2</x:v>
      </x:c>
      <x:c r="J318" s="19" t="n">
        <x:v>0.2</x:v>
      </x:c>
      <x:c r="K318" s="19" t="n">
        <x:v>0.5</x:v>
      </x:c>
    </x:row>
    <x:row r="319" ht="23" customHeight="1">
      <x:c r="A319" s="2" t="str">
        <x:v>D020_T07_C020_G050</x:v>
      </x:c>
      <x:c r="B319" s="2" t="str">
        <x:v>A0012</x:v>
      </x:c>
      <x:c r="C319" s="10" t="n">
        <x:v>7</x:v>
      </x:c>
      <x:c r="D319" s="10" t="n">
        <x:v>10</x:v>
      </x:c>
      <x:c r="E319" s="10" t="n">
        <x:v>3</x:v>
      </x:c>
      <x:c r="F319" s="10" t="n">
        <x:v>1</x:v>
      </x:c>
      <x:c r="G319" s="10" t="n">
        <x:f>MIN(E319,3)</x:f>
        <x:v>3</x:v>
      </x:c>
      <x:c r="H319" s="10" t="n">
        <x:v>3</x:v>
      </x:c>
      <x:c r="I319" s="19" t="n">
        <x:v>0.2</x:v>
      </x:c>
      <x:c r="J319" s="19" t="n">
        <x:v>0.2</x:v>
      </x:c>
      <x:c r="K319" s="19" t="n">
        <x:v>0.5</x:v>
      </x:c>
    </x:row>
    <x:row r="320" ht="23" customHeight="1">
      <x:c r="A320" s="2" t="str">
        <x:v>D020_T07_C020_G050</x:v>
      </x:c>
      <x:c r="B320" s="2" t="str">
        <x:v>A0017</x:v>
      </x:c>
      <x:c r="C320" s="10" t="n">
        <x:v>7</x:v>
      </x:c>
      <x:c r="D320" s="10"/>
      <x:c r="E320" s="10" t="n">
        <x:v>3</x:v>
      </x:c>
      <x:c r="F320" s="10" t="n">
        <x:v>0</x:v>
      </x:c>
      <x:c r="G320" s="10" t="n">
        <x:f>MIN(E320,3)</x:f>
        <x:v>3</x:v>
      </x:c>
      <x:c r="H320" s="10" t="n">
        <x:v>3</x:v>
      </x:c>
      <x:c r="I320" s="19" t="n">
        <x:v>0.2</x:v>
      </x:c>
      <x:c r="J320" s="19" t="n">
        <x:v>0.2</x:v>
      </x:c>
      <x:c r="K320" s="19" t="n">
        <x:v>0.5</x:v>
      </x:c>
    </x:row>
    <x:row r="321" ht="23" customHeight="1">
      <x:c r="A321" s="2" t="str">
        <x:v>D020_T07_C020_G050</x:v>
      </x:c>
      <x:c r="B321" s="2" t="str">
        <x:v>A0018</x:v>
      </x:c>
      <x:c r="C321" s="10" t="n">
        <x:v>7</x:v>
      </x:c>
      <x:c r="D321" s="10"/>
      <x:c r="E321" s="10" t="n">
        <x:v>3</x:v>
      </x:c>
      <x:c r="F321" s="10" t="n">
        <x:v>0</x:v>
      </x:c>
      <x:c r="G321" s="10" t="n">
        <x:f>MIN(E321,3)</x:f>
        <x:v>3</x:v>
      </x:c>
      <x:c r="H321" s="10" t="n">
        <x:v>3</x:v>
      </x:c>
      <x:c r="I321" s="19" t="n">
        <x:v>0.2</x:v>
      </x:c>
      <x:c r="J321" s="19" t="n">
        <x:v>0.2</x:v>
      </x:c>
      <x:c r="K321" s="19" t="n">
        <x:v>0.5</x:v>
      </x:c>
    </x:row>
    <x:row r="322" ht="23" customHeight="1">
      <x:c r="A322" s="2" t="str">
        <x:v>D020_T07_C020_G050</x:v>
      </x:c>
      <x:c r="B322" s="2" t="str">
        <x:v>A0020</x:v>
      </x:c>
      <x:c r="C322" s="10" t="n">
        <x:v>7</x:v>
      </x:c>
      <x:c r="D322" s="10" t="n">
        <x:v>7</x:v>
      </x:c>
      <x:c r="E322" s="10" t="n">
        <x:v>0</x:v>
      </x:c>
      <x:c r="F322" s="10" t="n">
        <x:v>1</x:v>
      </x:c>
      <x:c r="G322" s="10" t="n">
        <x:f>MIN(E322,3)</x:f>
        <x:v>0</x:v>
      </x:c>
      <x:c r="H322" s="10" t="n">
        <x:v>3</x:v>
      </x:c>
      <x:c r="I322" s="19" t="n">
        <x:v>0.2</x:v>
      </x:c>
      <x:c r="J322" s="19" t="n">
        <x:v>0.2</x:v>
      </x:c>
      <x:c r="K322" s="19" t="n">
        <x:v>0.5</x:v>
      </x:c>
    </x:row>
    <x:row r="323" ht="23" customHeight="1">
      <x:c r="A323" s="2" t="str">
        <x:v>D020_T07_C020_G050</x:v>
      </x:c>
      <x:c r="B323" s="2" t="str">
        <x:v>A0025</x:v>
      </x:c>
      <x:c r="C323" s="10" t="n">
        <x:v>7</x:v>
      </x:c>
      <x:c r="D323" s="10" t="n">
        <x:v>8</x:v>
      </x:c>
      <x:c r="E323" s="10" t="n">
        <x:v>1</x:v>
      </x:c>
      <x:c r="F323" s="10" t="n">
        <x:v>1</x:v>
      </x:c>
      <x:c r="G323" s="10" t="n">
        <x:f>MIN(E323,3)</x:f>
        <x:v>1</x:v>
      </x:c>
      <x:c r="H323" s="10" t="n">
        <x:v>3</x:v>
      </x:c>
      <x:c r="I323" s="19" t="n">
        <x:v>0.2</x:v>
      </x:c>
      <x:c r="J323" s="19" t="n">
        <x:v>0.2</x:v>
      </x:c>
      <x:c r="K323" s="19" t="n">
        <x:v>0.5</x:v>
      </x:c>
    </x:row>
    <x:row r="324" ht="23" customHeight="1">
      <x:c r="A324" s="2" t="str">
        <x:v>D020_T07_C020_G050</x:v>
      </x:c>
      <x:c r="B324" s="2" t="str">
        <x:v>A0027</x:v>
      </x:c>
      <x:c r="C324" s="10" t="n">
        <x:v>7</x:v>
      </x:c>
      <x:c r="D324" s="10" t="n">
        <x:v>8</x:v>
      </x:c>
      <x:c r="E324" s="10" t="n">
        <x:v>1</x:v>
      </x:c>
      <x:c r="F324" s="10" t="n">
        <x:v>1</x:v>
      </x:c>
      <x:c r="G324" s="10" t="n">
        <x:f>MIN(E324,3)</x:f>
        <x:v>1</x:v>
      </x:c>
      <x:c r="H324" s="10" t="n">
        <x:v>3</x:v>
      </x:c>
      <x:c r="I324" s="19" t="n">
        <x:v>0.2</x:v>
      </x:c>
      <x:c r="J324" s="19" t="n">
        <x:v>0.2</x:v>
      </x:c>
      <x:c r="K324" s="19" t="n">
        <x:v>0.5</x:v>
      </x:c>
    </x:row>
    <x:row r="325" ht="23" customHeight="1">
      <x:c r="A325" s="2" t="str">
        <x:v>D020_T07_C020_G050</x:v>
      </x:c>
      <x:c r="B325" s="2" t="str">
        <x:v>A0032</x:v>
      </x:c>
      <x:c r="C325" s="10" t="n">
        <x:v>7</x:v>
      </x:c>
      <x:c r="D325" s="10" t="n">
        <x:v>8</x:v>
      </x:c>
      <x:c r="E325" s="10" t="n">
        <x:v>1</x:v>
      </x:c>
      <x:c r="F325" s="10" t="n">
        <x:v>1</x:v>
      </x:c>
      <x:c r="G325" s="10" t="n">
        <x:f>MIN(E325,3)</x:f>
        <x:v>1</x:v>
      </x:c>
      <x:c r="H325" s="10" t="n">
        <x:v>3</x:v>
      </x:c>
      <x:c r="I325" s="19" t="n">
        <x:v>0.2</x:v>
      </x:c>
      <x:c r="J325" s="19" t="n">
        <x:v>0.2</x:v>
      </x:c>
      <x:c r="K325" s="19" t="n">
        <x:v>0.5</x:v>
      </x:c>
    </x:row>
    <x:row r="326" ht="23" customHeight="1">
      <x:c r="A326" s="2" t="str">
        <x:v>D020_T07_C020_G050</x:v>
      </x:c>
      <x:c r="B326" s="2" t="str">
        <x:v>A0033</x:v>
      </x:c>
      <x:c r="C326" s="10" t="n">
        <x:v>7</x:v>
      </x:c>
      <x:c r="D326" s="10" t="n">
        <x:v>10</x:v>
      </x:c>
      <x:c r="E326" s="10" t="n">
        <x:v>3</x:v>
      </x:c>
      <x:c r="F326" s="10" t="n">
        <x:v>1</x:v>
      </x:c>
      <x:c r="G326" s="10" t="n">
        <x:f>MIN(E326,3)</x:f>
        <x:v>3</x:v>
      </x:c>
      <x:c r="H326" s="10" t="n">
        <x:v>3</x:v>
      </x:c>
      <x:c r="I326" s="19" t="n">
        <x:v>0.2</x:v>
      </x:c>
      <x:c r="J326" s="19" t="n">
        <x:v>0.2</x:v>
      </x:c>
      <x:c r="K326" s="19" t="n">
        <x:v>0.5</x:v>
      </x:c>
    </x:row>
    <x:row r="327" ht="23" customHeight="1">
      <x:c r="A327" s="2" t="str">
        <x:v>D020_T07_C020_G050</x:v>
      </x:c>
      <x:c r="B327" s="2" t="str">
        <x:v>A0036</x:v>
      </x:c>
      <x:c r="C327" s="10" t="n">
        <x:v>7</x:v>
      </x:c>
      <x:c r="D327" s="10" t="n">
        <x:v>9</x:v>
      </x:c>
      <x:c r="E327" s="10" t="n">
        <x:v>2</x:v>
      </x:c>
      <x:c r="F327" s="10" t="n">
        <x:v>1</x:v>
      </x:c>
      <x:c r="G327" s="10" t="n">
        <x:f>MIN(E327,3)</x:f>
        <x:v>2</x:v>
      </x:c>
      <x:c r="H327" s="10" t="n">
        <x:v>3</x:v>
      </x:c>
      <x:c r="I327" s="19" t="n">
        <x:v>0.2</x:v>
      </x:c>
      <x:c r="J327" s="19" t="n">
        <x:v>0.2</x:v>
      </x:c>
      <x:c r="K327" s="19" t="n">
        <x:v>0.5</x:v>
      </x:c>
    </x:row>
    <x:row r="328" ht="23" customHeight="1">
      <x:c r="A328" s="2" t="str">
        <x:v>D020_T07_C020_G050</x:v>
      </x:c>
      <x:c r="B328" s="2" t="str">
        <x:v>A0037</x:v>
      </x:c>
      <x:c r="C328" s="10" t="n">
        <x:v>7</x:v>
      </x:c>
      <x:c r="D328" s="10"/>
      <x:c r="E328" s="10" t="n">
        <x:v>3</x:v>
      </x:c>
      <x:c r="F328" s="10" t="n">
        <x:v>0</x:v>
      </x:c>
      <x:c r="G328" s="10" t="n">
        <x:f>MIN(E328,3)</x:f>
        <x:v>3</x:v>
      </x:c>
      <x:c r="H328" s="10" t="n">
        <x:v>3</x:v>
      </x:c>
      <x:c r="I328" s="19" t="n">
        <x:v>0.2</x:v>
      </x:c>
      <x:c r="J328" s="19" t="n">
        <x:v>0.2</x:v>
      </x:c>
      <x:c r="K328" s="19" t="n">
        <x:v>0.5</x:v>
      </x:c>
    </x:row>
    <x:row r="329" ht="23" customHeight="1">
      <x:c r="A329" s="2" t="str">
        <x:v>D020_T07_C020_G050</x:v>
      </x:c>
      <x:c r="B329" s="2" t="str">
        <x:v>A0040</x:v>
      </x:c>
      <x:c r="C329" s="10" t="n">
        <x:v>7</x:v>
      </x:c>
      <x:c r="D329" s="10" t="n">
        <x:v>9</x:v>
      </x:c>
      <x:c r="E329" s="10" t="n">
        <x:v>2</x:v>
      </x:c>
      <x:c r="F329" s="10" t="n">
        <x:v>1</x:v>
      </x:c>
      <x:c r="G329" s="10" t="n">
        <x:f>MIN(E329,3)</x:f>
        <x:v>2</x:v>
      </x:c>
      <x:c r="H329" s="10" t="n">
        <x:v>3</x:v>
      </x:c>
      <x:c r="I329" s="19" t="n">
        <x:v>0.2</x:v>
      </x:c>
      <x:c r="J329" s="19" t="n">
        <x:v>0.2</x:v>
      </x:c>
      <x:c r="K329" s="19" t="n">
        <x:v>0.5</x:v>
      </x:c>
    </x:row>
    <x:row r="330" ht="23" customHeight="1">
      <x:c r="A330" s="2" t="str">
        <x:v>D020_T07_C020_G050</x:v>
      </x:c>
      <x:c r="B330" s="2" t="str">
        <x:v>A0041</x:v>
      </x:c>
      <x:c r="C330" s="10" t="n">
        <x:v>7</x:v>
      </x:c>
      <x:c r="D330" s="10"/>
      <x:c r="E330" s="10" t="n">
        <x:v>3</x:v>
      </x:c>
      <x:c r="F330" s="10" t="n">
        <x:v>0</x:v>
      </x:c>
      <x:c r="G330" s="10" t="n">
        <x:f>MIN(E330,3)</x:f>
        <x:v>3</x:v>
      </x:c>
      <x:c r="H330" s="10" t="n">
        <x:v>3</x:v>
      </x:c>
      <x:c r="I330" s="19" t="n">
        <x:v>0.2</x:v>
      </x:c>
      <x:c r="J330" s="19" t="n">
        <x:v>0.2</x:v>
      </x:c>
      <x:c r="K330" s="19" t="n">
        <x:v>0.5</x:v>
      </x:c>
    </x:row>
    <x:row r="331" ht="23" customHeight="1">
      <x:c r="A331" s="2" t="str">
        <x:v>D020_T07_C020_G050</x:v>
      </x:c>
      <x:c r="B331" s="2" t="str">
        <x:v>A0042</x:v>
      </x:c>
      <x:c r="C331" s="10" t="n">
        <x:v>7</x:v>
      </x:c>
      <x:c r="D331" s="10" t="n">
        <x:v>9</x:v>
      </x:c>
      <x:c r="E331" s="10" t="n">
        <x:v>2</x:v>
      </x:c>
      <x:c r="F331" s="10" t="n">
        <x:v>1</x:v>
      </x:c>
      <x:c r="G331" s="10" t="n">
        <x:f>MIN(E331,3)</x:f>
        <x:v>2</x:v>
      </x:c>
      <x:c r="H331" s="10" t="n">
        <x:v>3</x:v>
      </x:c>
      <x:c r="I331" s="19" t="n">
        <x:v>0.2</x:v>
      </x:c>
      <x:c r="J331" s="19" t="n">
        <x:v>0.2</x:v>
      </x:c>
      <x:c r="K331" s="19" t="n">
        <x:v>0.5</x:v>
      </x:c>
    </x:row>
    <x:row r="332" ht="23" customHeight="1">
      <x:c r="A332" s="2" t="str">
        <x:v>D020_T07_C020_G050</x:v>
      </x:c>
      <x:c r="B332" s="2" t="str">
        <x:v>A0090</x:v>
      </x:c>
      <x:c r="C332" s="10" t="n">
        <x:v>7</x:v>
      </x:c>
      <x:c r="D332" s="10" t="n">
        <x:v>9</x:v>
      </x:c>
      <x:c r="E332" s="10" t="n">
        <x:v>2</x:v>
      </x:c>
      <x:c r="F332" s="10" t="n">
        <x:v>1</x:v>
      </x:c>
      <x:c r="G332" s="10" t="n">
        <x:f>MIN(E332,3)</x:f>
        <x:v>2</x:v>
      </x:c>
      <x:c r="H332" s="10" t="n">
        <x:v>3</x:v>
      </x:c>
      <x:c r="I332" s="19" t="n">
        <x:v>0.2</x:v>
      </x:c>
      <x:c r="J332" s="19" t="n">
        <x:v>0.2</x:v>
      </x:c>
      <x:c r="K332" s="19" t="n">
        <x:v>0.5</x:v>
      </x:c>
    </x:row>
    <x:row r="333" ht="23" customHeight="1">
      <x:c r="A333" s="2" t="str">
        <x:v>D020_T07_C020_G050</x:v>
      </x:c>
      <x:c r="B333" s="2" t="str">
        <x:v>A0206</x:v>
      </x:c>
      <x:c r="C333" s="10" t="n">
        <x:v>7</x:v>
      </x:c>
      <x:c r="D333" s="10" t="n">
        <x:v>7</x:v>
      </x:c>
      <x:c r="E333" s="10" t="n">
        <x:v>0</x:v>
      </x:c>
      <x:c r="F333" s="10" t="n">
        <x:v>1</x:v>
      </x:c>
      <x:c r="G333" s="10" t="n">
        <x:f>MIN(E333,3)</x:f>
        <x:v>0</x:v>
      </x:c>
      <x:c r="H333" s="10" t="n">
        <x:v>3</x:v>
      </x:c>
      <x:c r="I333" s="19" t="n">
        <x:v>0.2</x:v>
      </x:c>
      <x:c r="J333" s="19" t="n">
        <x:v>0.2</x:v>
      </x:c>
      <x:c r="K333" s="19" t="n">
        <x:v>0.5</x:v>
      </x:c>
    </x:row>
    <x:row r="334" ht="23" customHeight="1">
      <x:c r="A334" s="2" t="str">
        <x:v>D020_T07_C020_G075</x:v>
      </x:c>
      <x:c r="B334" s="2" t="str">
        <x:v>A0003</x:v>
      </x:c>
      <x:c r="C334" s="10" t="n">
        <x:v>7</x:v>
      </x:c>
      <x:c r="D334" s="10" t="n">
        <x:v>7</x:v>
      </x:c>
      <x:c r="E334" s="10" t="n">
        <x:v>0</x:v>
      </x:c>
      <x:c r="F334" s="10" t="n">
        <x:v>1</x:v>
      </x:c>
      <x:c r="G334" s="10" t="n">
        <x:f>MIN(E334,3)</x:f>
        <x:v>0</x:v>
      </x:c>
      <x:c r="H334" s="10" t="n">
        <x:v>3</x:v>
      </x:c>
      <x:c r="I334" s="19" t="n">
        <x:v>0.2</x:v>
      </x:c>
      <x:c r="J334" s="19" t="n">
        <x:v>0.2</x:v>
      </x:c>
      <x:c r="K334" s="19" t="n">
        <x:v>0.75</x:v>
      </x:c>
    </x:row>
    <x:row r="335" ht="23" customHeight="1">
      <x:c r="A335" s="2" t="str">
        <x:v>D020_T07_C020_G075</x:v>
      </x:c>
      <x:c r="B335" s="2" t="str">
        <x:v>A0005</x:v>
      </x:c>
      <x:c r="C335" s="10" t="n">
        <x:v>7</x:v>
      </x:c>
      <x:c r="D335" s="10"/>
      <x:c r="E335" s="10" t="n">
        <x:v>3</x:v>
      </x:c>
      <x:c r="F335" s="10" t="n">
        <x:v>0</x:v>
      </x:c>
      <x:c r="G335" s="10" t="n">
        <x:f>MIN(E335,3)</x:f>
        <x:v>3</x:v>
      </x:c>
      <x:c r="H335" s="10" t="n">
        <x:v>3</x:v>
      </x:c>
      <x:c r="I335" s="19" t="n">
        <x:v>0.2</x:v>
      </x:c>
      <x:c r="J335" s="19" t="n">
        <x:v>0.2</x:v>
      </x:c>
      <x:c r="K335" s="19" t="n">
        <x:v>0.75</x:v>
      </x:c>
    </x:row>
    <x:row r="336" ht="23" customHeight="1">
      <x:c r="A336" s="2" t="str">
        <x:v>D020_T07_C020_G075</x:v>
      </x:c>
      <x:c r="B336" s="2" t="str">
        <x:v>A0011</x:v>
      </x:c>
      <x:c r="C336" s="10" t="n">
        <x:v>7</x:v>
      </x:c>
      <x:c r="D336" s="10" t="n">
        <x:v>7</x:v>
      </x:c>
      <x:c r="E336" s="10" t="n">
        <x:v>0</x:v>
      </x:c>
      <x:c r="F336" s="10" t="n">
        <x:v>1</x:v>
      </x:c>
      <x:c r="G336" s="10" t="n">
        <x:f>MIN(E336,3)</x:f>
        <x:v>0</x:v>
      </x:c>
      <x:c r="H336" s="10" t="n">
        <x:v>3</x:v>
      </x:c>
      <x:c r="I336" s="19" t="n">
        <x:v>0.2</x:v>
      </x:c>
      <x:c r="J336" s="19" t="n">
        <x:v>0.2</x:v>
      </x:c>
      <x:c r="K336" s="19" t="n">
        <x:v>0.75</x:v>
      </x:c>
    </x:row>
    <x:row r="337" ht="23" customHeight="1">
      <x:c r="A337" s="2" t="str">
        <x:v>D020_T07_C020_G075</x:v>
      </x:c>
      <x:c r="B337" s="2" t="str">
        <x:v>A0012</x:v>
      </x:c>
      <x:c r="C337" s="10" t="n">
        <x:v>7</x:v>
      </x:c>
      <x:c r="D337" s="10" t="n">
        <x:v>8</x:v>
      </x:c>
      <x:c r="E337" s="10" t="n">
        <x:v>1</x:v>
      </x:c>
      <x:c r="F337" s="10" t="n">
        <x:v>1</x:v>
      </x:c>
      <x:c r="G337" s="10" t="n">
        <x:f>MIN(E337,3)</x:f>
        <x:v>1</x:v>
      </x:c>
      <x:c r="H337" s="10" t="n">
        <x:v>3</x:v>
      </x:c>
      <x:c r="I337" s="19" t="n">
        <x:v>0.2</x:v>
      </x:c>
      <x:c r="J337" s="19" t="n">
        <x:v>0.2</x:v>
      </x:c>
      <x:c r="K337" s="19" t="n">
        <x:v>0.75</x:v>
      </x:c>
    </x:row>
    <x:row r="338" ht="23" customHeight="1">
      <x:c r="A338" s="2" t="str">
        <x:v>D020_T07_C020_G075</x:v>
      </x:c>
      <x:c r="B338" s="2" t="str">
        <x:v>A0014</x:v>
      </x:c>
      <x:c r="C338" s="10" t="n">
        <x:v>7</x:v>
      </x:c>
      <x:c r="D338" s="10" t="n">
        <x:v>7</x:v>
      </x:c>
      <x:c r="E338" s="10" t="n">
        <x:v>0</x:v>
      </x:c>
      <x:c r="F338" s="10" t="n">
        <x:v>1</x:v>
      </x:c>
      <x:c r="G338" s="10" t="n">
        <x:f>MIN(E338,3)</x:f>
        <x:v>0</x:v>
      </x:c>
      <x:c r="H338" s="10" t="n">
        <x:v>3</x:v>
      </x:c>
      <x:c r="I338" s="19" t="n">
        <x:v>0.2</x:v>
      </x:c>
      <x:c r="J338" s="19" t="n">
        <x:v>0.2</x:v>
      </x:c>
      <x:c r="K338" s="19" t="n">
        <x:v>0.75</x:v>
      </x:c>
    </x:row>
    <x:row r="339" ht="23" customHeight="1">
      <x:c r="A339" s="2" t="str">
        <x:v>D020_T07_C020_G075</x:v>
      </x:c>
      <x:c r="B339" s="2" t="str">
        <x:v>A0016</x:v>
      </x:c>
      <x:c r="C339" s="10" t="n">
        <x:v>7</x:v>
      </x:c>
      <x:c r="D339" s="10"/>
      <x:c r="E339" s="10" t="n">
        <x:v>3</x:v>
      </x:c>
      <x:c r="F339" s="10" t="n">
        <x:v>0</x:v>
      </x:c>
      <x:c r="G339" s="10" t="n">
        <x:f>MIN(E339,3)</x:f>
        <x:v>3</x:v>
      </x:c>
      <x:c r="H339" s="10" t="n">
        <x:v>3</x:v>
      </x:c>
      <x:c r="I339" s="19" t="n">
        <x:v>0.2</x:v>
      </x:c>
      <x:c r="J339" s="19" t="n">
        <x:v>0.2</x:v>
      </x:c>
      <x:c r="K339" s="19" t="n">
        <x:v>0.75</x:v>
      </x:c>
    </x:row>
    <x:row r="340" ht="23" customHeight="1">
      <x:c r="A340" s="2" t="str">
        <x:v>D020_T07_C020_G075</x:v>
      </x:c>
      <x:c r="B340" s="2" t="str">
        <x:v>A0017</x:v>
      </x:c>
      <x:c r="C340" s="10" t="n">
        <x:v>7</x:v>
      </x:c>
      <x:c r="D340" s="10"/>
      <x:c r="E340" s="10" t="n">
        <x:v>3</x:v>
      </x:c>
      <x:c r="F340" s="10" t="n">
        <x:v>0</x:v>
      </x:c>
      <x:c r="G340" s="10" t="n">
        <x:f>MIN(E340,3)</x:f>
        <x:v>3</x:v>
      </x:c>
      <x:c r="H340" s="10" t="n">
        <x:v>3</x:v>
      </x:c>
      <x:c r="I340" s="19" t="n">
        <x:v>0.2</x:v>
      </x:c>
      <x:c r="J340" s="19" t="n">
        <x:v>0.2</x:v>
      </x:c>
      <x:c r="K340" s="19" t="n">
        <x:v>0.75</x:v>
      </x:c>
    </x:row>
    <x:row r="341" ht="23" customHeight="1">
      <x:c r="A341" s="2" t="str">
        <x:v>D020_T07_C020_G075</x:v>
      </x:c>
      <x:c r="B341" s="2" t="str">
        <x:v>A0018</x:v>
      </x:c>
      <x:c r="C341" s="10" t="n">
        <x:v>7</x:v>
      </x:c>
      <x:c r="D341" s="10"/>
      <x:c r="E341" s="10" t="n">
        <x:v>3</x:v>
      </x:c>
      <x:c r="F341" s="10" t="n">
        <x:v>0</x:v>
      </x:c>
      <x:c r="G341" s="10" t="n">
        <x:f>MIN(E341,3)</x:f>
        <x:v>3</x:v>
      </x:c>
      <x:c r="H341" s="10" t="n">
        <x:v>3</x:v>
      </x:c>
      <x:c r="I341" s="19" t="n">
        <x:v>0.2</x:v>
      </x:c>
      <x:c r="J341" s="19" t="n">
        <x:v>0.2</x:v>
      </x:c>
      <x:c r="K341" s="19" t="n">
        <x:v>0.75</x:v>
      </x:c>
    </x:row>
    <x:row r="342" ht="23" customHeight="1">
      <x:c r="A342" s="2" t="str">
        <x:v>D020_T07_C020_G075</x:v>
      </x:c>
      <x:c r="B342" s="2" t="str">
        <x:v>A0023</x:v>
      </x:c>
      <x:c r="C342" s="10" t="n">
        <x:v>7</x:v>
      </x:c>
      <x:c r="D342" s="10" t="n">
        <x:v>10</x:v>
      </x:c>
      <x:c r="E342" s="10" t="n">
        <x:v>3</x:v>
      </x:c>
      <x:c r="F342" s="10" t="n">
        <x:v>1</x:v>
      </x:c>
      <x:c r="G342" s="10" t="n">
        <x:f>MIN(E342,3)</x:f>
        <x:v>3</x:v>
      </x:c>
      <x:c r="H342" s="10" t="n">
        <x:v>3</x:v>
      </x:c>
      <x:c r="I342" s="19" t="n">
        <x:v>0.2</x:v>
      </x:c>
      <x:c r="J342" s="19" t="n">
        <x:v>0.2</x:v>
      </x:c>
      <x:c r="K342" s="19" t="n">
        <x:v>0.75</x:v>
      </x:c>
    </x:row>
    <x:row r="343" ht="23" customHeight="1">
      <x:c r="A343" s="2" t="str">
        <x:v>D020_T07_C020_G075</x:v>
      </x:c>
      <x:c r="B343" s="2" t="str">
        <x:v>A0024</x:v>
      </x:c>
      <x:c r="C343" s="10" t="n">
        <x:v>7</x:v>
      </x:c>
      <x:c r="D343" s="10" t="n">
        <x:v>8</x:v>
      </x:c>
      <x:c r="E343" s="10" t="n">
        <x:v>1</x:v>
      </x:c>
      <x:c r="F343" s="10" t="n">
        <x:v>1</x:v>
      </x:c>
      <x:c r="G343" s="10" t="n">
        <x:f>MIN(E343,3)</x:f>
        <x:v>1</x:v>
      </x:c>
      <x:c r="H343" s="10" t="n">
        <x:v>3</x:v>
      </x:c>
      <x:c r="I343" s="19" t="n">
        <x:v>0.2</x:v>
      </x:c>
      <x:c r="J343" s="19" t="n">
        <x:v>0.2</x:v>
      </x:c>
      <x:c r="K343" s="19" t="n">
        <x:v>0.75</x:v>
      </x:c>
    </x:row>
    <x:row r="344" ht="23" customHeight="1">
      <x:c r="A344" s="2" t="str">
        <x:v>D020_T07_C020_G075</x:v>
      </x:c>
      <x:c r="B344" s="2" t="str">
        <x:v>A0025</x:v>
      </x:c>
      <x:c r="C344" s="10" t="n">
        <x:v>7</x:v>
      </x:c>
      <x:c r="D344" s="10" t="n">
        <x:v>7</x:v>
      </x:c>
      <x:c r="E344" s="10" t="n">
        <x:v>0</x:v>
      </x:c>
      <x:c r="F344" s="10" t="n">
        <x:v>1</x:v>
      </x:c>
      <x:c r="G344" s="10" t="n">
        <x:f>MIN(E344,3)</x:f>
        <x:v>0</x:v>
      </x:c>
      <x:c r="H344" s="10" t="n">
        <x:v>3</x:v>
      </x:c>
      <x:c r="I344" s="19" t="n">
        <x:v>0.2</x:v>
      </x:c>
      <x:c r="J344" s="19" t="n">
        <x:v>0.2</x:v>
      </x:c>
      <x:c r="K344" s="19" t="n">
        <x:v>0.75</x:v>
      </x:c>
    </x:row>
    <x:row r="345" ht="23" customHeight="1">
      <x:c r="A345" s="2" t="str">
        <x:v>D020_T07_C020_G075</x:v>
      </x:c>
      <x:c r="B345" s="2" t="str">
        <x:v>A0026</x:v>
      </x:c>
      <x:c r="C345" s="10" t="n">
        <x:v>7</x:v>
      </x:c>
      <x:c r="D345" s="10" t="n">
        <x:v>7</x:v>
      </x:c>
      <x:c r="E345" s="10" t="n">
        <x:v>0</x:v>
      </x:c>
      <x:c r="F345" s="10" t="n">
        <x:v>1</x:v>
      </x:c>
      <x:c r="G345" s="10" t="n">
        <x:f>MIN(E345,3)</x:f>
        <x:v>0</x:v>
      </x:c>
      <x:c r="H345" s="10" t="n">
        <x:v>3</x:v>
      </x:c>
      <x:c r="I345" s="19" t="n">
        <x:v>0.2</x:v>
      </x:c>
      <x:c r="J345" s="19" t="n">
        <x:v>0.2</x:v>
      </x:c>
      <x:c r="K345" s="19" t="n">
        <x:v>0.75</x:v>
      </x:c>
    </x:row>
    <x:row r="346" ht="23" customHeight="1">
      <x:c r="A346" s="2" t="str">
        <x:v>D020_T07_C020_G075</x:v>
      </x:c>
      <x:c r="B346" s="2" t="str">
        <x:v>A0027</x:v>
      </x:c>
      <x:c r="C346" s="10" t="n">
        <x:v>7</x:v>
      </x:c>
      <x:c r="D346" s="10"/>
      <x:c r="E346" s="10" t="n">
        <x:v>3</x:v>
      </x:c>
      <x:c r="F346" s="10" t="n">
        <x:v>0</x:v>
      </x:c>
      <x:c r="G346" s="10" t="n">
        <x:f>MIN(E346,3)</x:f>
        <x:v>3</x:v>
      </x:c>
      <x:c r="H346" s="10" t="n">
        <x:v>3</x:v>
      </x:c>
      <x:c r="I346" s="19" t="n">
        <x:v>0.2</x:v>
      </x:c>
      <x:c r="J346" s="19" t="n">
        <x:v>0.2</x:v>
      </x:c>
      <x:c r="K346" s="19" t="n">
        <x:v>0.75</x:v>
      </x:c>
    </x:row>
    <x:row r="347" ht="23" customHeight="1">
      <x:c r="A347" s="2" t="str">
        <x:v>D020_T07_C020_G075</x:v>
      </x:c>
      <x:c r="B347" s="2" t="str">
        <x:v>A0030</x:v>
      </x:c>
      <x:c r="C347" s="10" t="n">
        <x:v>7</x:v>
      </x:c>
      <x:c r="D347" s="10"/>
      <x:c r="E347" s="10" t="n">
        <x:v>3</x:v>
      </x:c>
      <x:c r="F347" s="10" t="n">
        <x:v>0</x:v>
      </x:c>
      <x:c r="G347" s="10" t="n">
        <x:f>MIN(E347,3)</x:f>
        <x:v>3</x:v>
      </x:c>
      <x:c r="H347" s="10" t="n">
        <x:v>3</x:v>
      </x:c>
      <x:c r="I347" s="19" t="n">
        <x:v>0.2</x:v>
      </x:c>
      <x:c r="J347" s="19" t="n">
        <x:v>0.2</x:v>
      </x:c>
      <x:c r="K347" s="19" t="n">
        <x:v>0.75</x:v>
      </x:c>
    </x:row>
    <x:row r="348" ht="23" customHeight="1">
      <x:c r="A348" s="2" t="str">
        <x:v>D020_T07_C020_G075</x:v>
      </x:c>
      <x:c r="B348" s="2" t="str">
        <x:v>A0032</x:v>
      </x:c>
      <x:c r="C348" s="10" t="n">
        <x:v>7</x:v>
      </x:c>
      <x:c r="D348" s="10" t="n">
        <x:v>8</x:v>
      </x:c>
      <x:c r="E348" s="10" t="n">
        <x:v>1</x:v>
      </x:c>
      <x:c r="F348" s="10" t="n">
        <x:v>1</x:v>
      </x:c>
      <x:c r="G348" s="10" t="n">
        <x:f>MIN(E348,3)</x:f>
        <x:v>1</x:v>
      </x:c>
      <x:c r="H348" s="10" t="n">
        <x:v>3</x:v>
      </x:c>
      <x:c r="I348" s="19" t="n">
        <x:v>0.2</x:v>
      </x:c>
      <x:c r="J348" s="19" t="n">
        <x:v>0.2</x:v>
      </x:c>
      <x:c r="K348" s="19" t="n">
        <x:v>0.75</x:v>
      </x:c>
    </x:row>
    <x:row r="349" ht="23" customHeight="1">
      <x:c r="A349" s="2" t="str">
        <x:v>D020_T07_C020_G075</x:v>
      </x:c>
      <x:c r="B349" s="2" t="str">
        <x:v>A0033</x:v>
      </x:c>
      <x:c r="C349" s="10" t="n">
        <x:v>7</x:v>
      </x:c>
      <x:c r="D349" s="10" t="n">
        <x:v>10</x:v>
      </x:c>
      <x:c r="E349" s="10" t="n">
        <x:v>3</x:v>
      </x:c>
      <x:c r="F349" s="10" t="n">
        <x:v>1</x:v>
      </x:c>
      <x:c r="G349" s="10" t="n">
        <x:f>MIN(E349,3)</x:f>
        <x:v>3</x:v>
      </x:c>
      <x:c r="H349" s="10" t="n">
        <x:v>3</x:v>
      </x:c>
      <x:c r="I349" s="19" t="n">
        <x:v>0.2</x:v>
      </x:c>
      <x:c r="J349" s="19" t="n">
        <x:v>0.2</x:v>
      </x:c>
      <x:c r="K349" s="19" t="n">
        <x:v>0.75</x:v>
      </x:c>
    </x:row>
    <x:row r="350" ht="23" customHeight="1">
      <x:c r="A350" s="2" t="str">
        <x:v>D020_T07_C020_G075</x:v>
      </x:c>
      <x:c r="B350" s="2" t="str">
        <x:v>A0036</x:v>
      </x:c>
      <x:c r="C350" s="10" t="n">
        <x:v>7</x:v>
      </x:c>
      <x:c r="D350" s="10" t="n">
        <x:v>8</x:v>
      </x:c>
      <x:c r="E350" s="10" t="n">
        <x:v>1</x:v>
      </x:c>
      <x:c r="F350" s="10" t="n">
        <x:v>1</x:v>
      </x:c>
      <x:c r="G350" s="10" t="n">
        <x:f>MIN(E350,3)</x:f>
        <x:v>1</x:v>
      </x:c>
      <x:c r="H350" s="10" t="n">
        <x:v>3</x:v>
      </x:c>
      <x:c r="I350" s="19" t="n">
        <x:v>0.2</x:v>
      </x:c>
      <x:c r="J350" s="19" t="n">
        <x:v>0.2</x:v>
      </x:c>
      <x:c r="K350" s="19" t="n">
        <x:v>0.75</x:v>
      </x:c>
    </x:row>
    <x:row r="351" ht="23" customHeight="1">
      <x:c r="A351" s="2" t="str">
        <x:v>D020_T07_C020_G075</x:v>
      </x:c>
      <x:c r="B351" s="2" t="str">
        <x:v>A0189</x:v>
      </x:c>
      <x:c r="C351" s="10" t="n">
        <x:v>7</x:v>
      </x:c>
      <x:c r="D351" s="10" t="n">
        <x:v>8</x:v>
      </x:c>
      <x:c r="E351" s="10" t="n">
        <x:v>1</x:v>
      </x:c>
      <x:c r="F351" s="10" t="n">
        <x:v>1</x:v>
      </x:c>
      <x:c r="G351" s="10" t="n">
        <x:f>MIN(E351,3)</x:f>
        <x:v>1</x:v>
      </x:c>
      <x:c r="H351" s="10" t="n">
        <x:v>3</x:v>
      </x:c>
      <x:c r="I351" s="19" t="n">
        <x:v>0.2</x:v>
      </x:c>
      <x:c r="J351" s="19" t="n">
        <x:v>0.2</x:v>
      </x:c>
      <x:c r="K351" s="19" t="n">
        <x:v>0.75</x:v>
      </x:c>
    </x:row>
    <x:row r="352" ht="23" customHeight="1">
      <x:c r="A352" s="2" t="str">
        <x:v>D020_T07_C080_G025</x:v>
      </x:c>
      <x:c r="B352" s="2" t="str">
        <x:v>A0002</x:v>
      </x:c>
      <x:c r="C352" s="10" t="n">
        <x:v>7</x:v>
      </x:c>
      <x:c r="D352" s="10"/>
      <x:c r="E352" s="10" t="n">
        <x:v>3</x:v>
      </x:c>
      <x:c r="F352" s="10" t="n">
        <x:v>0</x:v>
      </x:c>
      <x:c r="G352" s="10" t="n">
        <x:f>MIN(E352,3)</x:f>
        <x:v>3</x:v>
      </x:c>
      <x:c r="H352" s="10" t="n">
        <x:v>3</x:v>
      </x:c>
      <x:c r="I352" s="19" t="n">
        <x:v>0.2</x:v>
      </x:c>
      <x:c r="J352" s="19" t="n">
        <x:v>0.8</x:v>
      </x:c>
      <x:c r="K352" s="19" t="n">
        <x:v>0.25</x:v>
      </x:c>
    </x:row>
    <x:row r="353" ht="23" customHeight="1">
      <x:c r="A353" s="2" t="str">
        <x:v>D020_T07_C080_G025</x:v>
      </x:c>
      <x:c r="B353" s="2" t="str">
        <x:v>A0005</x:v>
      </x:c>
      <x:c r="C353" s="10" t="n">
        <x:v>7</x:v>
      </x:c>
      <x:c r="D353" s="10"/>
      <x:c r="E353" s="10" t="n">
        <x:v>3</x:v>
      </x:c>
      <x:c r="F353" s="10" t="n">
        <x:v>0</x:v>
      </x:c>
      <x:c r="G353" s="10" t="n">
        <x:f>MIN(E353,3)</x:f>
        <x:v>3</x:v>
      </x:c>
      <x:c r="H353" s="10" t="n">
        <x:v>3</x:v>
      </x:c>
      <x:c r="I353" s="19" t="n">
        <x:v>0.2</x:v>
      </x:c>
      <x:c r="J353" s="19" t="n">
        <x:v>0.8</x:v>
      </x:c>
      <x:c r="K353" s="19" t="n">
        <x:v>0.25</x:v>
      </x:c>
    </x:row>
    <x:row r="354" ht="23" customHeight="1">
      <x:c r="A354" s="2" t="str">
        <x:v>D020_T07_C080_G025</x:v>
      </x:c>
      <x:c r="B354" s="2" t="str">
        <x:v>A0011</x:v>
      </x:c>
      <x:c r="C354" s="10" t="n">
        <x:v>7</x:v>
      </x:c>
      <x:c r="D354" s="10" t="n">
        <x:v>10</x:v>
      </x:c>
      <x:c r="E354" s="10" t="n">
        <x:v>3</x:v>
      </x:c>
      <x:c r="F354" s="10" t="n">
        <x:v>1</x:v>
      </x:c>
      <x:c r="G354" s="10" t="n">
        <x:f>MIN(E354,3)</x:f>
        <x:v>3</x:v>
      </x:c>
      <x:c r="H354" s="10" t="n">
        <x:v>3</x:v>
      </x:c>
      <x:c r="I354" s="19" t="n">
        <x:v>0.2</x:v>
      </x:c>
      <x:c r="J354" s="19" t="n">
        <x:v>0.8</x:v>
      </x:c>
      <x:c r="K354" s="19" t="n">
        <x:v>0.25</x:v>
      </x:c>
    </x:row>
    <x:row r="355" ht="23" customHeight="1">
      <x:c r="A355" s="2" t="str">
        <x:v>D020_T07_C080_G025</x:v>
      </x:c>
      <x:c r="B355" s="2" t="str">
        <x:v>A0012</x:v>
      </x:c>
      <x:c r="C355" s="10" t="n">
        <x:v>7</x:v>
      </x:c>
      <x:c r="D355" s="10"/>
      <x:c r="E355" s="10" t="n">
        <x:v>3</x:v>
      </x:c>
      <x:c r="F355" s="10" t="n">
        <x:v>0</x:v>
      </x:c>
      <x:c r="G355" s="10" t="n">
        <x:f>MIN(E355,3)</x:f>
        <x:v>3</x:v>
      </x:c>
      <x:c r="H355" s="10" t="n">
        <x:v>3</x:v>
      </x:c>
      <x:c r="I355" s="19" t="n">
        <x:v>0.2</x:v>
      </x:c>
      <x:c r="J355" s="19" t="n">
        <x:v>0.8</x:v>
      </x:c>
      <x:c r="K355" s="19" t="n">
        <x:v>0.25</x:v>
      </x:c>
    </x:row>
    <x:row r="356" ht="23" customHeight="1">
      <x:c r="A356" s="2" t="str">
        <x:v>D020_T07_C080_G025</x:v>
      </x:c>
      <x:c r="B356" s="2" t="str">
        <x:v>A0017</x:v>
      </x:c>
      <x:c r="C356" s="10" t="n">
        <x:v>7</x:v>
      </x:c>
      <x:c r="D356" s="10"/>
      <x:c r="E356" s="10" t="n">
        <x:v>3</x:v>
      </x:c>
      <x:c r="F356" s="10" t="n">
        <x:v>0</x:v>
      </x:c>
      <x:c r="G356" s="10" t="n">
        <x:f>MIN(E356,3)</x:f>
        <x:v>3</x:v>
      </x:c>
      <x:c r="H356" s="10" t="n">
        <x:v>3</x:v>
      </x:c>
      <x:c r="I356" s="19" t="n">
        <x:v>0.2</x:v>
      </x:c>
      <x:c r="J356" s="19" t="n">
        <x:v>0.8</x:v>
      </x:c>
      <x:c r="K356" s="19" t="n">
        <x:v>0.25</x:v>
      </x:c>
    </x:row>
    <x:row r="357" ht="23" customHeight="1">
      <x:c r="A357" s="2" t="str">
        <x:v>D020_T07_C080_G025</x:v>
      </x:c>
      <x:c r="B357" s="2" t="str">
        <x:v>A0018</x:v>
      </x:c>
      <x:c r="C357" s="10" t="n">
        <x:v>7</x:v>
      </x:c>
      <x:c r="D357" s="10" t="n">
        <x:v>10</x:v>
      </x:c>
      <x:c r="E357" s="10" t="n">
        <x:v>3</x:v>
      </x:c>
      <x:c r="F357" s="10" t="n">
        <x:v>1</x:v>
      </x:c>
      <x:c r="G357" s="10" t="n">
        <x:f>MIN(E357,3)</x:f>
        <x:v>3</x:v>
      </x:c>
      <x:c r="H357" s="10" t="n">
        <x:v>3</x:v>
      </x:c>
      <x:c r="I357" s="19" t="n">
        <x:v>0.2</x:v>
      </x:c>
      <x:c r="J357" s="19" t="n">
        <x:v>0.8</x:v>
      </x:c>
      <x:c r="K357" s="19" t="n">
        <x:v>0.25</x:v>
      </x:c>
    </x:row>
    <x:row r="358" ht="23" customHeight="1">
      <x:c r="A358" s="2" t="str">
        <x:v>D020_T07_C080_G025</x:v>
      </x:c>
      <x:c r="B358" s="2" t="str">
        <x:v>A0019</x:v>
      </x:c>
      <x:c r="C358" s="10" t="n">
        <x:v>7</x:v>
      </x:c>
      <x:c r="D358" s="10" t="n">
        <x:v>8</x:v>
      </x:c>
      <x:c r="E358" s="10" t="n">
        <x:v>1</x:v>
      </x:c>
      <x:c r="F358" s="10" t="n">
        <x:v>1</x:v>
      </x:c>
      <x:c r="G358" s="10" t="n">
        <x:f>MIN(E358,3)</x:f>
        <x:v>1</x:v>
      </x:c>
      <x:c r="H358" s="10" t="n">
        <x:v>3</x:v>
      </x:c>
      <x:c r="I358" s="19" t="n">
        <x:v>0.2</x:v>
      </x:c>
      <x:c r="J358" s="19" t="n">
        <x:v>0.8</x:v>
      </x:c>
      <x:c r="K358" s="19" t="n">
        <x:v>0.25</x:v>
      </x:c>
    </x:row>
    <x:row r="359" ht="23" customHeight="1">
      <x:c r="A359" s="2" t="str">
        <x:v>D020_T07_C080_G025</x:v>
      </x:c>
      <x:c r="B359" s="2" t="str">
        <x:v>A0024</x:v>
      </x:c>
      <x:c r="C359" s="10" t="n">
        <x:v>7</x:v>
      </x:c>
      <x:c r="D359" s="10"/>
      <x:c r="E359" s="10" t="n">
        <x:v>3</x:v>
      </x:c>
      <x:c r="F359" s="10" t="n">
        <x:v>0</x:v>
      </x:c>
      <x:c r="G359" s="10" t="n">
        <x:f>MIN(E359,3)</x:f>
        <x:v>3</x:v>
      </x:c>
      <x:c r="H359" s="10" t="n">
        <x:v>3</x:v>
      </x:c>
      <x:c r="I359" s="19" t="n">
        <x:v>0.2</x:v>
      </x:c>
      <x:c r="J359" s="19" t="n">
        <x:v>0.8</x:v>
      </x:c>
      <x:c r="K359" s="19" t="n">
        <x:v>0.25</x:v>
      </x:c>
    </x:row>
    <x:row r="360" ht="23" customHeight="1">
      <x:c r="A360" s="2" t="str">
        <x:v>D020_T07_C080_G025</x:v>
      </x:c>
      <x:c r="B360" s="2" t="str">
        <x:v>A0025</x:v>
      </x:c>
      <x:c r="C360" s="10" t="n">
        <x:v>7</x:v>
      </x:c>
      <x:c r="D360" s="10"/>
      <x:c r="E360" s="10" t="n">
        <x:v>3</x:v>
      </x:c>
      <x:c r="F360" s="10" t="n">
        <x:v>0</x:v>
      </x:c>
      <x:c r="G360" s="10" t="n">
        <x:f>MIN(E360,3)</x:f>
        <x:v>3</x:v>
      </x:c>
      <x:c r="H360" s="10" t="n">
        <x:v>3</x:v>
      </x:c>
      <x:c r="I360" s="19" t="n">
        <x:v>0.2</x:v>
      </x:c>
      <x:c r="J360" s="19" t="n">
        <x:v>0.8</x:v>
      </x:c>
      <x:c r="K360" s="19" t="n">
        <x:v>0.25</x:v>
      </x:c>
    </x:row>
    <x:row r="361" ht="23" customHeight="1">
      <x:c r="A361" s="2" t="str">
        <x:v>D020_T07_C080_G025</x:v>
      </x:c>
      <x:c r="B361" s="2" t="str">
        <x:v>A0027</x:v>
      </x:c>
      <x:c r="C361" s="10" t="n">
        <x:v>7</x:v>
      </x:c>
      <x:c r="D361" s="10"/>
      <x:c r="E361" s="10" t="n">
        <x:v>3</x:v>
      </x:c>
      <x:c r="F361" s="10" t="n">
        <x:v>0</x:v>
      </x:c>
      <x:c r="G361" s="10" t="n">
        <x:f>MIN(E361,3)</x:f>
        <x:v>3</x:v>
      </x:c>
      <x:c r="H361" s="10" t="n">
        <x:v>3</x:v>
      </x:c>
      <x:c r="I361" s="19" t="n">
        <x:v>0.2</x:v>
      </x:c>
      <x:c r="J361" s="19" t="n">
        <x:v>0.8</x:v>
      </x:c>
      <x:c r="K361" s="19" t="n">
        <x:v>0.25</x:v>
      </x:c>
    </x:row>
    <x:row r="362" ht="23" customHeight="1">
      <x:c r="A362" s="2" t="str">
        <x:v>D020_T07_C080_G025</x:v>
      </x:c>
      <x:c r="B362" s="2" t="str">
        <x:v>A0029</x:v>
      </x:c>
      <x:c r="C362" s="10" t="n">
        <x:v>7</x:v>
      </x:c>
      <x:c r="D362" s="10"/>
      <x:c r="E362" s="10" t="n">
        <x:v>3</x:v>
      </x:c>
      <x:c r="F362" s="10" t="n">
        <x:v>0</x:v>
      </x:c>
      <x:c r="G362" s="10" t="n">
        <x:f>MIN(E362,3)</x:f>
        <x:v>3</x:v>
      </x:c>
      <x:c r="H362" s="10" t="n">
        <x:v>3</x:v>
      </x:c>
      <x:c r="I362" s="19" t="n">
        <x:v>0.2</x:v>
      </x:c>
      <x:c r="J362" s="19" t="n">
        <x:v>0.8</x:v>
      </x:c>
      <x:c r="K362" s="19" t="n">
        <x:v>0.25</x:v>
      </x:c>
    </x:row>
    <x:row r="363" ht="23" customHeight="1">
      <x:c r="A363" s="2" t="str">
        <x:v>D020_T07_C080_G025</x:v>
      </x:c>
      <x:c r="B363" s="2" t="str">
        <x:v>A0032</x:v>
      </x:c>
      <x:c r="C363" s="10" t="n">
        <x:v>7</x:v>
      </x:c>
      <x:c r="D363" s="10"/>
      <x:c r="E363" s="10" t="n">
        <x:v>3</x:v>
      </x:c>
      <x:c r="F363" s="10" t="n">
        <x:v>0</x:v>
      </x:c>
      <x:c r="G363" s="10" t="n">
        <x:f>MIN(E363,3)</x:f>
        <x:v>3</x:v>
      </x:c>
      <x:c r="H363" s="10" t="n">
        <x:v>3</x:v>
      </x:c>
      <x:c r="I363" s="19" t="n">
        <x:v>0.2</x:v>
      </x:c>
      <x:c r="J363" s="19" t="n">
        <x:v>0.8</x:v>
      </x:c>
      <x:c r="K363" s="19" t="n">
        <x:v>0.25</x:v>
      </x:c>
    </x:row>
    <x:row r="364" ht="23" customHeight="1">
      <x:c r="A364" s="2" t="str">
        <x:v>D020_T07_C080_G025</x:v>
      </x:c>
      <x:c r="B364" s="2" t="str">
        <x:v>A0033</x:v>
      </x:c>
      <x:c r="C364" s="10" t="n">
        <x:v>7</x:v>
      </x:c>
      <x:c r="D364" s="10" t="n">
        <x:v>7</x:v>
      </x:c>
      <x:c r="E364" s="10" t="n">
        <x:v>0</x:v>
      </x:c>
      <x:c r="F364" s="10" t="n">
        <x:v>1</x:v>
      </x:c>
      <x:c r="G364" s="10" t="n">
        <x:f>MIN(E364,3)</x:f>
        <x:v>0</x:v>
      </x:c>
      <x:c r="H364" s="10" t="n">
        <x:v>3</x:v>
      </x:c>
      <x:c r="I364" s="19" t="n">
        <x:v>0.2</x:v>
      </x:c>
      <x:c r="J364" s="19" t="n">
        <x:v>0.8</x:v>
      </x:c>
      <x:c r="K364" s="19" t="n">
        <x:v>0.25</x:v>
      </x:c>
    </x:row>
    <x:row r="365" ht="23" customHeight="1">
      <x:c r="A365" s="2" t="str">
        <x:v>D020_T07_C080_G025</x:v>
      </x:c>
      <x:c r="B365" s="2" t="str">
        <x:v>A0036</x:v>
      </x:c>
      <x:c r="C365" s="10" t="n">
        <x:v>7</x:v>
      </x:c>
      <x:c r="D365" s="10"/>
      <x:c r="E365" s="10" t="n">
        <x:v>3</x:v>
      </x:c>
      <x:c r="F365" s="10" t="n">
        <x:v>0</x:v>
      </x:c>
      <x:c r="G365" s="10" t="n">
        <x:f>MIN(E365,3)</x:f>
        <x:v>3</x:v>
      </x:c>
      <x:c r="H365" s="10" t="n">
        <x:v>3</x:v>
      </x:c>
      <x:c r="I365" s="19" t="n">
        <x:v>0.2</x:v>
      </x:c>
      <x:c r="J365" s="19" t="n">
        <x:v>0.8</x:v>
      </x:c>
      <x:c r="K365" s="19" t="n">
        <x:v>0.25</x:v>
      </x:c>
    </x:row>
    <x:row r="366" ht="23" customHeight="1">
      <x:c r="A366" s="2" t="str">
        <x:v>D020_T07_C080_G025</x:v>
      </x:c>
      <x:c r="B366" s="2" t="str">
        <x:v>A0037</x:v>
      </x:c>
      <x:c r="C366" s="10" t="n">
        <x:v>7</x:v>
      </x:c>
      <x:c r="D366" s="10" t="n">
        <x:v>10</x:v>
      </x:c>
      <x:c r="E366" s="10" t="n">
        <x:v>3</x:v>
      </x:c>
      <x:c r="F366" s="10" t="n">
        <x:v>1</x:v>
      </x:c>
      <x:c r="G366" s="10" t="n">
        <x:f>MIN(E366,3)</x:f>
        <x:v>3</x:v>
      </x:c>
      <x:c r="H366" s="10" t="n">
        <x:v>3</x:v>
      </x:c>
      <x:c r="I366" s="19" t="n">
        <x:v>0.2</x:v>
      </x:c>
      <x:c r="J366" s="19" t="n">
        <x:v>0.8</x:v>
      </x:c>
      <x:c r="K366" s="19" t="n">
        <x:v>0.25</x:v>
      </x:c>
    </x:row>
    <x:row r="367" ht="23" customHeight="1">
      <x:c r="A367" s="2" t="str">
        <x:v>D020_T07_C080_G025</x:v>
      </x:c>
      <x:c r="B367" s="2" t="str">
        <x:v>A0041</x:v>
      </x:c>
      <x:c r="C367" s="10" t="n">
        <x:v>7</x:v>
      </x:c>
      <x:c r="D367" s="10" t="n">
        <x:v>10</x:v>
      </x:c>
      <x:c r="E367" s="10" t="n">
        <x:v>3</x:v>
      </x:c>
      <x:c r="F367" s="10" t="n">
        <x:v>1</x:v>
      </x:c>
      <x:c r="G367" s="10" t="n">
        <x:f>MIN(E367,3)</x:f>
        <x:v>3</x:v>
      </x:c>
      <x:c r="H367" s="10" t="n">
        <x:v>3</x:v>
      </x:c>
      <x:c r="I367" s="19" t="n">
        <x:v>0.2</x:v>
      </x:c>
      <x:c r="J367" s="19" t="n">
        <x:v>0.8</x:v>
      </x:c>
      <x:c r="K367" s="19" t="n">
        <x:v>0.25</x:v>
      </x:c>
    </x:row>
    <x:row r="368" ht="23" customHeight="1">
      <x:c r="A368" s="2" t="str">
        <x:v>D020_T07_C080_G025</x:v>
      </x:c>
      <x:c r="B368" s="2" t="str">
        <x:v>A0071</x:v>
      </x:c>
      <x:c r="C368" s="10" t="n">
        <x:v>7</x:v>
      </x:c>
      <x:c r="D368" s="10"/>
      <x:c r="E368" s="10" t="n">
        <x:v>3</x:v>
      </x:c>
      <x:c r="F368" s="10" t="n">
        <x:v>0</x:v>
      </x:c>
      <x:c r="G368" s="10" t="n">
        <x:f>MIN(E368,3)</x:f>
        <x:v>3</x:v>
      </x:c>
      <x:c r="H368" s="10" t="n">
        <x:v>3</x:v>
      </x:c>
      <x:c r="I368" s="19" t="n">
        <x:v>0.2</x:v>
      </x:c>
      <x:c r="J368" s="19" t="n">
        <x:v>0.8</x:v>
      </x:c>
      <x:c r="K368" s="19" t="n">
        <x:v>0.25</x:v>
      </x:c>
    </x:row>
    <x:row r="369" ht="23" customHeight="1">
      <x:c r="A369" s="2" t="str">
        <x:v>D020_T07_C080_G050</x:v>
      </x:c>
      <x:c r="B369" s="2" t="str">
        <x:v>A0005</x:v>
      </x:c>
      <x:c r="C369" s="10" t="n">
        <x:v>7</x:v>
      </x:c>
      <x:c r="D369" s="10" t="n">
        <x:v>7</x:v>
      </x:c>
      <x:c r="E369" s="10" t="n">
        <x:v>0</x:v>
      </x:c>
      <x:c r="F369" s="10" t="n">
        <x:v>1</x:v>
      </x:c>
      <x:c r="G369" s="10" t="n">
        <x:f>MIN(E369,3)</x:f>
        <x:v>0</x:v>
      </x:c>
      <x:c r="H369" s="10" t="n">
        <x:v>3</x:v>
      </x:c>
      <x:c r="I369" s="19" t="n">
        <x:v>0.2</x:v>
      </x:c>
      <x:c r="J369" s="19" t="n">
        <x:v>0.8</x:v>
      </x:c>
      <x:c r="K369" s="19" t="n">
        <x:v>0.5</x:v>
      </x:c>
    </x:row>
    <x:row r="370" ht="23" customHeight="1">
      <x:c r="A370" s="2" t="str">
        <x:v>D020_T07_C080_G050</x:v>
      </x:c>
      <x:c r="B370" s="2" t="str">
        <x:v>A0008</x:v>
      </x:c>
      <x:c r="C370" s="10" t="n">
        <x:v>7</x:v>
      </x:c>
      <x:c r="D370" s="10" t="n">
        <x:v>8</x:v>
      </x:c>
      <x:c r="E370" s="10" t="n">
        <x:v>1</x:v>
      </x:c>
      <x:c r="F370" s="10" t="n">
        <x:v>1</x:v>
      </x:c>
      <x:c r="G370" s="10" t="n">
        <x:f>MIN(E370,3)</x:f>
        <x:v>1</x:v>
      </x:c>
      <x:c r="H370" s="10" t="n">
        <x:v>3</x:v>
      </x:c>
      <x:c r="I370" s="19" t="n">
        <x:v>0.2</x:v>
      </x:c>
      <x:c r="J370" s="19" t="n">
        <x:v>0.8</x:v>
      </x:c>
      <x:c r="K370" s="19" t="n">
        <x:v>0.5</x:v>
      </x:c>
    </x:row>
    <x:row r="371" ht="23" customHeight="1">
      <x:c r="A371" s="2" t="str">
        <x:v>D020_T07_C080_G050</x:v>
      </x:c>
      <x:c r="B371" s="2" t="str">
        <x:v>A0011</x:v>
      </x:c>
      <x:c r="C371" s="10" t="n">
        <x:v>7</x:v>
      </x:c>
      <x:c r="D371" s="10" t="n">
        <x:v>8</x:v>
      </x:c>
      <x:c r="E371" s="10" t="n">
        <x:v>1</x:v>
      </x:c>
      <x:c r="F371" s="10" t="n">
        <x:v>1</x:v>
      </x:c>
      <x:c r="G371" s="10" t="n">
        <x:f>MIN(E371,3)</x:f>
        <x:v>1</x:v>
      </x:c>
      <x:c r="H371" s="10" t="n">
        <x:v>3</x:v>
      </x:c>
      <x:c r="I371" s="19" t="n">
        <x:v>0.2</x:v>
      </x:c>
      <x:c r="J371" s="19" t="n">
        <x:v>0.8</x:v>
      </x:c>
      <x:c r="K371" s="19" t="n">
        <x:v>0.5</x:v>
      </x:c>
    </x:row>
    <x:row r="372" ht="23" customHeight="1">
      <x:c r="A372" s="2" t="str">
        <x:v>D020_T07_C080_G050</x:v>
      </x:c>
      <x:c r="B372" s="2" t="str">
        <x:v>A0012</x:v>
      </x:c>
      <x:c r="C372" s="10" t="n">
        <x:v>7</x:v>
      </x:c>
      <x:c r="D372" s="10"/>
      <x:c r="E372" s="10" t="n">
        <x:v>3</x:v>
      </x:c>
      <x:c r="F372" s="10" t="n">
        <x:v>0</x:v>
      </x:c>
      <x:c r="G372" s="10" t="n">
        <x:f>MIN(E372,3)</x:f>
        <x:v>3</x:v>
      </x:c>
      <x:c r="H372" s="10" t="n">
        <x:v>3</x:v>
      </x:c>
      <x:c r="I372" s="19" t="n">
        <x:v>0.2</x:v>
      </x:c>
      <x:c r="J372" s="19" t="n">
        <x:v>0.8</x:v>
      </x:c>
      <x:c r="K372" s="19" t="n">
        <x:v>0.5</x:v>
      </x:c>
    </x:row>
    <x:row r="373" ht="23" customHeight="1">
      <x:c r="A373" s="2" t="str">
        <x:v>D020_T07_C080_G050</x:v>
      </x:c>
      <x:c r="B373" s="2" t="str">
        <x:v>A0014</x:v>
      </x:c>
      <x:c r="C373" s="10" t="n">
        <x:v>7</x:v>
      </x:c>
      <x:c r="D373" s="10" t="n">
        <x:v>7</x:v>
      </x:c>
      <x:c r="E373" s="10" t="n">
        <x:v>0</x:v>
      </x:c>
      <x:c r="F373" s="10" t="n">
        <x:v>1</x:v>
      </x:c>
      <x:c r="G373" s="10" t="n">
        <x:f>MIN(E373,3)</x:f>
        <x:v>0</x:v>
      </x:c>
      <x:c r="H373" s="10" t="n">
        <x:v>3</x:v>
      </x:c>
      <x:c r="I373" s="19" t="n">
        <x:v>0.2</x:v>
      </x:c>
      <x:c r="J373" s="19" t="n">
        <x:v>0.8</x:v>
      </x:c>
      <x:c r="K373" s="19" t="n">
        <x:v>0.5</x:v>
      </x:c>
    </x:row>
    <x:row r="374" ht="23" customHeight="1">
      <x:c r="A374" s="2" t="str">
        <x:v>D020_T07_C080_G050</x:v>
      </x:c>
      <x:c r="B374" s="2" t="str">
        <x:v>A0015</x:v>
      </x:c>
      <x:c r="C374" s="10" t="n">
        <x:v>7</x:v>
      </x:c>
      <x:c r="D374" s="10" t="n">
        <x:v>7</x:v>
      </x:c>
      <x:c r="E374" s="10" t="n">
        <x:v>0</x:v>
      </x:c>
      <x:c r="F374" s="10" t="n">
        <x:v>1</x:v>
      </x:c>
      <x:c r="G374" s="10" t="n">
        <x:f>MIN(E374,3)</x:f>
        <x:v>0</x:v>
      </x:c>
      <x:c r="H374" s="10" t="n">
        <x:v>3</x:v>
      </x:c>
      <x:c r="I374" s="19" t="n">
        <x:v>0.2</x:v>
      </x:c>
      <x:c r="J374" s="19" t="n">
        <x:v>0.8</x:v>
      </x:c>
      <x:c r="K374" s="19" t="n">
        <x:v>0.5</x:v>
      </x:c>
    </x:row>
    <x:row r="375" ht="23" customHeight="1">
      <x:c r="A375" s="2" t="str">
        <x:v>D020_T07_C080_G050</x:v>
      </x:c>
      <x:c r="B375" s="2" t="str">
        <x:v>A0017</x:v>
      </x:c>
      <x:c r="C375" s="10" t="n">
        <x:v>7</x:v>
      </x:c>
      <x:c r="D375" s="10" t="n">
        <x:v>10</x:v>
      </x:c>
      <x:c r="E375" s="10" t="n">
        <x:v>3</x:v>
      </x:c>
      <x:c r="F375" s="10" t="n">
        <x:v>1</x:v>
      </x:c>
      <x:c r="G375" s="10" t="n">
        <x:f>MIN(E375,3)</x:f>
        <x:v>3</x:v>
      </x:c>
      <x:c r="H375" s="10" t="n">
        <x:v>3</x:v>
      </x:c>
      <x:c r="I375" s="19" t="n">
        <x:v>0.2</x:v>
      </x:c>
      <x:c r="J375" s="19" t="n">
        <x:v>0.8</x:v>
      </x:c>
      <x:c r="K375" s="19" t="n">
        <x:v>0.5</x:v>
      </x:c>
    </x:row>
    <x:row r="376" ht="23" customHeight="1">
      <x:c r="A376" s="2" t="str">
        <x:v>D020_T07_C080_G050</x:v>
      </x:c>
      <x:c r="B376" s="2" t="str">
        <x:v>A0018</x:v>
      </x:c>
      <x:c r="C376" s="10" t="n">
        <x:v>7</x:v>
      </x:c>
      <x:c r="D376" s="10" t="n">
        <x:v>7</x:v>
      </x:c>
      <x:c r="E376" s="10" t="n">
        <x:v>0</x:v>
      </x:c>
      <x:c r="F376" s="10" t="n">
        <x:v>1</x:v>
      </x:c>
      <x:c r="G376" s="10" t="n">
        <x:f>MIN(E376,3)</x:f>
        <x:v>0</x:v>
      </x:c>
      <x:c r="H376" s="10" t="n">
        <x:v>3</x:v>
      </x:c>
      <x:c r="I376" s="19" t="n">
        <x:v>0.2</x:v>
      </x:c>
      <x:c r="J376" s="19" t="n">
        <x:v>0.8</x:v>
      </x:c>
      <x:c r="K376" s="19" t="n">
        <x:v>0.5</x:v>
      </x:c>
    </x:row>
    <x:row r="377" ht="23" customHeight="1">
      <x:c r="A377" s="2" t="str">
        <x:v>D020_T07_C080_G050</x:v>
      </x:c>
      <x:c r="B377" s="2" t="str">
        <x:v>A0019</x:v>
      </x:c>
      <x:c r="C377" s="10" t="n">
        <x:v>7</x:v>
      </x:c>
      <x:c r="D377" s="10" t="n">
        <x:v>7</x:v>
      </x:c>
      <x:c r="E377" s="10" t="n">
        <x:v>0</x:v>
      </x:c>
      <x:c r="F377" s="10" t="n">
        <x:v>1</x:v>
      </x:c>
      <x:c r="G377" s="10" t="n">
        <x:f>MIN(E377,3)</x:f>
        <x:v>0</x:v>
      </x:c>
      <x:c r="H377" s="10" t="n">
        <x:v>3</x:v>
      </x:c>
      <x:c r="I377" s="19" t="n">
        <x:v>0.2</x:v>
      </x:c>
      <x:c r="J377" s="19" t="n">
        <x:v>0.8</x:v>
      </x:c>
      <x:c r="K377" s="19" t="n">
        <x:v>0.5</x:v>
      </x:c>
    </x:row>
    <x:row r="378" ht="23" customHeight="1">
      <x:c r="A378" s="2" t="str">
        <x:v>D020_T07_C080_G050</x:v>
      </x:c>
      <x:c r="B378" s="2" t="str">
        <x:v>A0025</x:v>
      </x:c>
      <x:c r="C378" s="10" t="n">
        <x:v>7</x:v>
      </x:c>
      <x:c r="D378" s="10" t="n">
        <x:v>7</x:v>
      </x:c>
      <x:c r="E378" s="10" t="n">
        <x:v>0</x:v>
      </x:c>
      <x:c r="F378" s="10" t="n">
        <x:v>1</x:v>
      </x:c>
      <x:c r="G378" s="10" t="n">
        <x:f>MIN(E378,3)</x:f>
        <x:v>0</x:v>
      </x:c>
      <x:c r="H378" s="10" t="n">
        <x:v>3</x:v>
      </x:c>
      <x:c r="I378" s="19" t="n">
        <x:v>0.2</x:v>
      </x:c>
      <x:c r="J378" s="19" t="n">
        <x:v>0.8</x:v>
      </x:c>
      <x:c r="K378" s="19" t="n">
        <x:v>0.5</x:v>
      </x:c>
    </x:row>
    <x:row r="379" ht="23" customHeight="1">
      <x:c r="A379" s="2" t="str">
        <x:v>D020_T07_C080_G050</x:v>
      </x:c>
      <x:c r="B379" s="2" t="str">
        <x:v>A0027</x:v>
      </x:c>
      <x:c r="C379" s="10" t="n">
        <x:v>7</x:v>
      </x:c>
      <x:c r="D379" s="10" t="n">
        <x:v>8</x:v>
      </x:c>
      <x:c r="E379" s="10" t="n">
        <x:v>1</x:v>
      </x:c>
      <x:c r="F379" s="10" t="n">
        <x:v>1</x:v>
      </x:c>
      <x:c r="G379" s="10" t="n">
        <x:f>MIN(E379,3)</x:f>
        <x:v>1</x:v>
      </x:c>
      <x:c r="H379" s="10" t="n">
        <x:v>3</x:v>
      </x:c>
      <x:c r="I379" s="19" t="n">
        <x:v>0.2</x:v>
      </x:c>
      <x:c r="J379" s="19" t="n">
        <x:v>0.8</x:v>
      </x:c>
      <x:c r="K379" s="19" t="n">
        <x:v>0.5</x:v>
      </x:c>
    </x:row>
    <x:row r="380" ht="23" customHeight="1">
      <x:c r="A380" s="2" t="str">
        <x:v>D020_T07_C080_G050</x:v>
      </x:c>
      <x:c r="B380" s="2" t="str">
        <x:v>A0029</x:v>
      </x:c>
      <x:c r="C380" s="10" t="n">
        <x:v>7</x:v>
      </x:c>
      <x:c r="D380" s="10" t="n">
        <x:v>7</x:v>
      </x:c>
      <x:c r="E380" s="10" t="n">
        <x:v>0</x:v>
      </x:c>
      <x:c r="F380" s="10" t="n">
        <x:v>1</x:v>
      </x:c>
      <x:c r="G380" s="10" t="n">
        <x:f>MIN(E380,3)</x:f>
        <x:v>0</x:v>
      </x:c>
      <x:c r="H380" s="10" t="n">
        <x:v>3</x:v>
      </x:c>
      <x:c r="I380" s="19" t="n">
        <x:v>0.2</x:v>
      </x:c>
      <x:c r="J380" s="19" t="n">
        <x:v>0.8</x:v>
      </x:c>
      <x:c r="K380" s="19" t="n">
        <x:v>0.5</x:v>
      </x:c>
    </x:row>
    <x:row r="381" ht="23" customHeight="1">
      <x:c r="A381" s="2" t="str">
        <x:v>D020_T07_C080_G050</x:v>
      </x:c>
      <x:c r="B381" s="2" t="str">
        <x:v>A0030</x:v>
      </x:c>
      <x:c r="C381" s="10" t="n">
        <x:v>7</x:v>
      </x:c>
      <x:c r="D381" s="10" t="n">
        <x:v>7</x:v>
      </x:c>
      <x:c r="E381" s="10" t="n">
        <x:v>0</x:v>
      </x:c>
      <x:c r="F381" s="10" t="n">
        <x:v>1</x:v>
      </x:c>
      <x:c r="G381" s="10" t="n">
        <x:f>MIN(E381,3)</x:f>
        <x:v>0</x:v>
      </x:c>
      <x:c r="H381" s="10" t="n">
        <x:v>3</x:v>
      </x:c>
      <x:c r="I381" s="19" t="n">
        <x:v>0.2</x:v>
      </x:c>
      <x:c r="J381" s="19" t="n">
        <x:v>0.8</x:v>
      </x:c>
      <x:c r="K381" s="19" t="n">
        <x:v>0.5</x:v>
      </x:c>
    </x:row>
    <x:row r="382" ht="23" customHeight="1">
      <x:c r="A382" s="2" t="str">
        <x:v>D020_T07_C080_G050</x:v>
      </x:c>
      <x:c r="B382" s="2" t="str">
        <x:v>A0033</x:v>
      </x:c>
      <x:c r="C382" s="10" t="n">
        <x:v>7</x:v>
      </x:c>
      <x:c r="D382" s="10" t="n">
        <x:v>7</x:v>
      </x:c>
      <x:c r="E382" s="10" t="n">
        <x:v>0</x:v>
      </x:c>
      <x:c r="F382" s="10" t="n">
        <x:v>1</x:v>
      </x:c>
      <x:c r="G382" s="10" t="n">
        <x:f>MIN(E382,3)</x:f>
        <x:v>0</x:v>
      </x:c>
      <x:c r="H382" s="10" t="n">
        <x:v>3</x:v>
      </x:c>
      <x:c r="I382" s="19" t="n">
        <x:v>0.2</x:v>
      </x:c>
      <x:c r="J382" s="19" t="n">
        <x:v>0.8</x:v>
      </x:c>
      <x:c r="K382" s="19" t="n">
        <x:v>0.5</x:v>
      </x:c>
    </x:row>
    <x:row r="383" ht="23" customHeight="1">
      <x:c r="A383" s="2" t="str">
        <x:v>D020_T07_C080_G050</x:v>
      </x:c>
      <x:c r="B383" s="2" t="str">
        <x:v>A0036</x:v>
      </x:c>
      <x:c r="C383" s="10" t="n">
        <x:v>7</x:v>
      </x:c>
      <x:c r="D383" s="10" t="n">
        <x:v>8</x:v>
      </x:c>
      <x:c r="E383" s="10" t="n">
        <x:v>1</x:v>
      </x:c>
      <x:c r="F383" s="10" t="n">
        <x:v>1</x:v>
      </x:c>
      <x:c r="G383" s="10" t="n">
        <x:f>MIN(E383,3)</x:f>
        <x:v>1</x:v>
      </x:c>
      <x:c r="H383" s="10" t="n">
        <x:v>3</x:v>
      </x:c>
      <x:c r="I383" s="19" t="n">
        <x:v>0.2</x:v>
      </x:c>
      <x:c r="J383" s="19" t="n">
        <x:v>0.8</x:v>
      </x:c>
      <x:c r="K383" s="19" t="n">
        <x:v>0.5</x:v>
      </x:c>
    </x:row>
    <x:row r="384" ht="23" customHeight="1">
      <x:c r="A384" s="2" t="str">
        <x:v>D020_T07_C080_G050</x:v>
      </x:c>
      <x:c r="B384" s="2" t="str">
        <x:v>A0037</x:v>
      </x:c>
      <x:c r="C384" s="10" t="n">
        <x:v>7</x:v>
      </x:c>
      <x:c r="D384" s="10" t="n">
        <x:v>7</x:v>
      </x:c>
      <x:c r="E384" s="10" t="n">
        <x:v>0</x:v>
      </x:c>
      <x:c r="F384" s="10" t="n">
        <x:v>1</x:v>
      </x:c>
      <x:c r="G384" s="10" t="n">
        <x:f>MIN(E384,3)</x:f>
        <x:v>0</x:v>
      </x:c>
      <x:c r="H384" s="10" t="n">
        <x:v>3</x:v>
      </x:c>
      <x:c r="I384" s="19" t="n">
        <x:v>0.2</x:v>
      </x:c>
      <x:c r="J384" s="19" t="n">
        <x:v>0.8</x:v>
      </x:c>
      <x:c r="K384" s="19" t="n">
        <x:v>0.5</x:v>
      </x:c>
    </x:row>
    <x:row r="385" ht="23" customHeight="1">
      <x:c r="A385" s="2" t="str">
        <x:v>D020_T07_C080_G050</x:v>
      </x:c>
      <x:c r="B385" s="2" t="str">
        <x:v>A0040</x:v>
      </x:c>
      <x:c r="C385" s="10" t="n">
        <x:v>7</x:v>
      </x:c>
      <x:c r="D385" s="10" t="n">
        <x:v>8</x:v>
      </x:c>
      <x:c r="E385" s="10" t="n">
        <x:v>1</x:v>
      </x:c>
      <x:c r="F385" s="10" t="n">
        <x:v>1</x:v>
      </x:c>
      <x:c r="G385" s="10" t="n">
        <x:f>MIN(E385,3)</x:f>
        <x:v>1</x:v>
      </x:c>
      <x:c r="H385" s="10" t="n">
        <x:v>3</x:v>
      </x:c>
      <x:c r="I385" s="19" t="n">
        <x:v>0.2</x:v>
      </x:c>
      <x:c r="J385" s="19" t="n">
        <x:v>0.8</x:v>
      </x:c>
      <x:c r="K385" s="19" t="n">
        <x:v>0.5</x:v>
      </x:c>
    </x:row>
    <x:row r="386" ht="23" customHeight="1">
      <x:c r="A386" s="2" t="str">
        <x:v>D020_T07_C080_G050</x:v>
      </x:c>
      <x:c r="B386" s="2" t="str">
        <x:v>A0041</x:v>
      </x:c>
      <x:c r="C386" s="10" t="n">
        <x:v>7</x:v>
      </x:c>
      <x:c r="D386" s="10" t="n">
        <x:v>7</x:v>
      </x:c>
      <x:c r="E386" s="10" t="n">
        <x:v>0</x:v>
      </x:c>
      <x:c r="F386" s="10" t="n">
        <x:v>1</x:v>
      </x:c>
      <x:c r="G386" s="10" t="n">
        <x:f>MIN(E386,3)</x:f>
        <x:v>0</x:v>
      </x:c>
      <x:c r="H386" s="10" t="n">
        <x:v>3</x:v>
      </x:c>
      <x:c r="I386" s="19" t="n">
        <x:v>0.2</x:v>
      </x:c>
      <x:c r="J386" s="19" t="n">
        <x:v>0.8</x:v>
      </x:c>
      <x:c r="K386" s="19" t="n">
        <x:v>0.5</x:v>
      </x:c>
    </x:row>
    <x:row r="387" ht="23" customHeight="1">
      <x:c r="A387" s="2" t="str">
        <x:v>D020_T07_C080_G050</x:v>
      </x:c>
      <x:c r="B387" s="2" t="str">
        <x:v>A0071</x:v>
      </x:c>
      <x:c r="C387" s="10" t="n">
        <x:v>7</x:v>
      </x:c>
      <x:c r="D387" s="10" t="n">
        <x:v>8</x:v>
      </x:c>
      <x:c r="E387" s="10" t="n">
        <x:v>1</x:v>
      </x:c>
      <x:c r="F387" s="10" t="n">
        <x:v>1</x:v>
      </x:c>
      <x:c r="G387" s="10" t="n">
        <x:f>MIN(E387,3)</x:f>
        <x:v>1</x:v>
      </x:c>
      <x:c r="H387" s="10" t="n">
        <x:v>3</x:v>
      </x:c>
      <x:c r="I387" s="19" t="n">
        <x:v>0.2</x:v>
      </x:c>
      <x:c r="J387" s="19" t="n">
        <x:v>0.8</x:v>
      </x:c>
      <x:c r="K387" s="19" t="n">
        <x:v>0.5</x:v>
      </x:c>
    </x:row>
    <x:row r="388" ht="23" customHeight="1">
      <x:c r="A388" s="2" t="str">
        <x:v>D020_T07_C080_G050</x:v>
      </x:c>
      <x:c r="B388" s="2" t="str">
        <x:v>A0206</x:v>
      </x:c>
      <x:c r="C388" s="10" t="n">
        <x:v>7</x:v>
      </x:c>
      <x:c r="D388" s="10" t="n">
        <x:v>7</x:v>
      </x:c>
      <x:c r="E388" s="10" t="n">
        <x:v>0</x:v>
      </x:c>
      <x:c r="F388" s="10" t="n">
        <x:v>1</x:v>
      </x:c>
      <x:c r="G388" s="10" t="n">
        <x:f>MIN(E388,3)</x:f>
        <x:v>0</x:v>
      </x:c>
      <x:c r="H388" s="10" t="n">
        <x:v>3</x:v>
      </x:c>
      <x:c r="I388" s="19" t="n">
        <x:v>0.2</x:v>
      </x:c>
      <x:c r="J388" s="19" t="n">
        <x:v>0.8</x:v>
      </x:c>
      <x:c r="K388" s="19" t="n">
        <x:v>0.5</x:v>
      </x:c>
    </x:row>
    <x:row r="389" ht="23" customHeight="1">
      <x:c r="A389" s="2" t="str">
        <x:v>D020_T07_C080_G075</x:v>
      </x:c>
      <x:c r="B389" s="2" t="str">
        <x:v>A0006</x:v>
      </x:c>
      <x:c r="C389" s="10" t="n">
        <x:v>7</x:v>
      </x:c>
      <x:c r="D389" s="10" t="n">
        <x:v>8</x:v>
      </x:c>
      <x:c r="E389" s="10" t="n">
        <x:v>1</x:v>
      </x:c>
      <x:c r="F389" s="10" t="n">
        <x:v>1</x:v>
      </x:c>
      <x:c r="G389" s="10" t="n">
        <x:f>MIN(E389,3)</x:f>
        <x:v>1</x:v>
      </x:c>
      <x:c r="H389" s="10" t="n">
        <x:v>3</x:v>
      </x:c>
      <x:c r="I389" s="19" t="n">
        <x:v>0.2</x:v>
      </x:c>
      <x:c r="J389" s="19" t="n">
        <x:v>0.8</x:v>
      </x:c>
      <x:c r="K389" s="19" t="n">
        <x:v>0.75</x:v>
      </x:c>
    </x:row>
    <x:row r="390" ht="23" customHeight="1">
      <x:c r="A390" s="2" t="str">
        <x:v>D020_T07_C080_G075</x:v>
      </x:c>
      <x:c r="B390" s="2" t="str">
        <x:v>A0011</x:v>
      </x:c>
      <x:c r="C390" s="10" t="n">
        <x:v>7</x:v>
      </x:c>
      <x:c r="D390" s="10" t="n">
        <x:v>8</x:v>
      </x:c>
      <x:c r="E390" s="10" t="n">
        <x:v>1</x:v>
      </x:c>
      <x:c r="F390" s="10" t="n">
        <x:v>1</x:v>
      </x:c>
      <x:c r="G390" s="10" t="n">
        <x:f>MIN(E390,3)</x:f>
        <x:v>1</x:v>
      </x:c>
      <x:c r="H390" s="10" t="n">
        <x:v>3</x:v>
      </x:c>
      <x:c r="I390" s="19" t="n">
        <x:v>0.2</x:v>
      </x:c>
      <x:c r="J390" s="19" t="n">
        <x:v>0.8</x:v>
      </x:c>
      <x:c r="K390" s="19" t="n">
        <x:v>0.75</x:v>
      </x:c>
    </x:row>
    <x:row r="391" ht="23" customHeight="1">
      <x:c r="A391" s="2" t="str">
        <x:v>D020_T07_C080_G075</x:v>
      </x:c>
      <x:c r="B391" s="2" t="str">
        <x:v>A0012</x:v>
      </x:c>
      <x:c r="C391" s="10" t="n">
        <x:v>7</x:v>
      </x:c>
      <x:c r="D391" s="10" t="n">
        <x:v>7</x:v>
      </x:c>
      <x:c r="E391" s="10" t="n">
        <x:v>0</x:v>
      </x:c>
      <x:c r="F391" s="10" t="n">
        <x:v>1</x:v>
      </x:c>
      <x:c r="G391" s="10" t="n">
        <x:f>MIN(E391,3)</x:f>
        <x:v>0</x:v>
      </x:c>
      <x:c r="H391" s="10" t="n">
        <x:v>3</x:v>
      </x:c>
      <x:c r="I391" s="19" t="n">
        <x:v>0.2</x:v>
      </x:c>
      <x:c r="J391" s="19" t="n">
        <x:v>0.8</x:v>
      </x:c>
      <x:c r="K391" s="19" t="n">
        <x:v>0.75</x:v>
      </x:c>
    </x:row>
    <x:row r="392" ht="23" customHeight="1">
      <x:c r="A392" s="2" t="str">
        <x:v>D020_T07_C080_G075</x:v>
      </x:c>
      <x:c r="B392" s="2" t="str">
        <x:v>A0017</x:v>
      </x:c>
      <x:c r="C392" s="10" t="n">
        <x:v>7</x:v>
      </x:c>
      <x:c r="D392" s="10" t="n">
        <x:v>8</x:v>
      </x:c>
      <x:c r="E392" s="10" t="n">
        <x:v>1</x:v>
      </x:c>
      <x:c r="F392" s="10" t="n">
        <x:v>1</x:v>
      </x:c>
      <x:c r="G392" s="10" t="n">
        <x:f>MIN(E392,3)</x:f>
        <x:v>1</x:v>
      </x:c>
      <x:c r="H392" s="10" t="n">
        <x:v>3</x:v>
      </x:c>
      <x:c r="I392" s="19" t="n">
        <x:v>0.2</x:v>
      </x:c>
      <x:c r="J392" s="19" t="n">
        <x:v>0.8</x:v>
      </x:c>
      <x:c r="K392" s="19" t="n">
        <x:v>0.75</x:v>
      </x:c>
    </x:row>
    <x:row r="393" ht="23" customHeight="1">
      <x:c r="A393" s="2" t="str">
        <x:v>D020_T07_C080_G075</x:v>
      </x:c>
      <x:c r="B393" s="2" t="str">
        <x:v>A0018</x:v>
      </x:c>
      <x:c r="C393" s="10" t="n">
        <x:v>7</x:v>
      </x:c>
      <x:c r="D393" s="10" t="n">
        <x:v>7</x:v>
      </x:c>
      <x:c r="E393" s="10" t="n">
        <x:v>0</x:v>
      </x:c>
      <x:c r="F393" s="10" t="n">
        <x:v>1</x:v>
      </x:c>
      <x:c r="G393" s="10" t="n">
        <x:f>MIN(E393,3)</x:f>
        <x:v>0</x:v>
      </x:c>
      <x:c r="H393" s="10" t="n">
        <x:v>3</x:v>
      </x:c>
      <x:c r="I393" s="19" t="n">
        <x:v>0.2</x:v>
      </x:c>
      <x:c r="J393" s="19" t="n">
        <x:v>0.8</x:v>
      </x:c>
      <x:c r="K393" s="19" t="n">
        <x:v>0.75</x:v>
      </x:c>
    </x:row>
    <x:row r="394" ht="23" customHeight="1">
      <x:c r="A394" s="2" t="str">
        <x:v>D020_T07_C080_G075</x:v>
      </x:c>
      <x:c r="B394" s="2" t="str">
        <x:v>A0024</x:v>
      </x:c>
      <x:c r="C394" s="10" t="n">
        <x:v>7</x:v>
      </x:c>
      <x:c r="D394" s="10" t="n">
        <x:v>7</x:v>
      </x:c>
      <x:c r="E394" s="10" t="n">
        <x:v>0</x:v>
      </x:c>
      <x:c r="F394" s="10" t="n">
        <x:v>1</x:v>
      </x:c>
      <x:c r="G394" s="10" t="n">
        <x:f>MIN(E394,3)</x:f>
        <x:v>0</x:v>
      </x:c>
      <x:c r="H394" s="10" t="n">
        <x:v>3</x:v>
      </x:c>
      <x:c r="I394" s="19" t="n">
        <x:v>0.2</x:v>
      </x:c>
      <x:c r="J394" s="19" t="n">
        <x:v>0.8</x:v>
      </x:c>
      <x:c r="K394" s="19" t="n">
        <x:v>0.75</x:v>
      </x:c>
    </x:row>
    <x:row r="395" ht="23" customHeight="1">
      <x:c r="A395" s="2" t="str">
        <x:v>D020_T07_C080_G075</x:v>
      </x:c>
      <x:c r="B395" s="2" t="str">
        <x:v>A0027</x:v>
      </x:c>
      <x:c r="C395" s="10" t="n">
        <x:v>7</x:v>
      </x:c>
      <x:c r="D395" s="10" t="n">
        <x:v>9</x:v>
      </x:c>
      <x:c r="E395" s="10" t="n">
        <x:v>2</x:v>
      </x:c>
      <x:c r="F395" s="10" t="n">
        <x:v>1</x:v>
      </x:c>
      <x:c r="G395" s="10" t="n">
        <x:f>MIN(E395,3)</x:f>
        <x:v>2</x:v>
      </x:c>
      <x:c r="H395" s="10" t="n">
        <x:v>3</x:v>
      </x:c>
      <x:c r="I395" s="19" t="n">
        <x:v>0.2</x:v>
      </x:c>
      <x:c r="J395" s="19" t="n">
        <x:v>0.8</x:v>
      </x:c>
      <x:c r="K395" s="19" t="n">
        <x:v>0.75</x:v>
      </x:c>
    </x:row>
    <x:row r="396" ht="23" customHeight="1">
      <x:c r="A396" s="2" t="str">
        <x:v>D020_T07_C080_G075</x:v>
      </x:c>
      <x:c r="B396" s="2" t="str">
        <x:v>A0032</x:v>
      </x:c>
      <x:c r="C396" s="10" t="n">
        <x:v>7</x:v>
      </x:c>
      <x:c r="D396" s="10" t="n">
        <x:v>9</x:v>
      </x:c>
      <x:c r="E396" s="10" t="n">
        <x:v>2</x:v>
      </x:c>
      <x:c r="F396" s="10" t="n">
        <x:v>1</x:v>
      </x:c>
      <x:c r="G396" s="10" t="n">
        <x:f>MIN(E396,3)</x:f>
        <x:v>2</x:v>
      </x:c>
      <x:c r="H396" s="10" t="n">
        <x:v>3</x:v>
      </x:c>
      <x:c r="I396" s="19" t="n">
        <x:v>0.2</x:v>
      </x:c>
      <x:c r="J396" s="19" t="n">
        <x:v>0.8</x:v>
      </x:c>
      <x:c r="K396" s="19" t="n">
        <x:v>0.75</x:v>
      </x:c>
    </x:row>
    <x:row r="397" ht="23" customHeight="1">
      <x:c r="A397" s="2" t="str">
        <x:v>D020_T07_C080_G075</x:v>
      </x:c>
      <x:c r="B397" s="2" t="str">
        <x:v>A0033</x:v>
      </x:c>
      <x:c r="C397" s="10" t="n">
        <x:v>7</x:v>
      </x:c>
      <x:c r="D397" s="10" t="n">
        <x:v>7</x:v>
      </x:c>
      <x:c r="E397" s="10" t="n">
        <x:v>0</x:v>
      </x:c>
      <x:c r="F397" s="10" t="n">
        <x:v>1</x:v>
      </x:c>
      <x:c r="G397" s="10" t="n">
        <x:f>MIN(E397,3)</x:f>
        <x:v>0</x:v>
      </x:c>
      <x:c r="H397" s="10" t="n">
        <x:v>3</x:v>
      </x:c>
      <x:c r="I397" s="19" t="n">
        <x:v>0.2</x:v>
      </x:c>
      <x:c r="J397" s="19" t="n">
        <x:v>0.8</x:v>
      </x:c>
      <x:c r="K397" s="19" t="n">
        <x:v>0.75</x:v>
      </x:c>
    </x:row>
    <x:row r="398" ht="23" customHeight="1">
      <x:c r="A398" s="2" t="str">
        <x:v>D020_T07_C080_G075</x:v>
      </x:c>
      <x:c r="B398" s="2" t="str">
        <x:v>A0035</x:v>
      </x:c>
      <x:c r="C398" s="10" t="n">
        <x:v>7</x:v>
      </x:c>
      <x:c r="D398" s="10" t="n">
        <x:v>7</x:v>
      </x:c>
      <x:c r="E398" s="10" t="n">
        <x:v>0</x:v>
      </x:c>
      <x:c r="F398" s="10" t="n">
        <x:v>1</x:v>
      </x:c>
      <x:c r="G398" s="10" t="n">
        <x:f>MIN(E398,3)</x:f>
        <x:v>0</x:v>
      </x:c>
      <x:c r="H398" s="10" t="n">
        <x:v>3</x:v>
      </x:c>
      <x:c r="I398" s="19" t="n">
        <x:v>0.2</x:v>
      </x:c>
      <x:c r="J398" s="19" t="n">
        <x:v>0.8</x:v>
      </x:c>
      <x:c r="K398" s="19" t="n">
        <x:v>0.75</x:v>
      </x:c>
    </x:row>
    <x:row r="399" ht="23" customHeight="1">
      <x:c r="A399" s="2" t="str">
        <x:v>D020_T07_C080_G075</x:v>
      </x:c>
      <x:c r="B399" s="2" t="str">
        <x:v>A0036</x:v>
      </x:c>
      <x:c r="C399" s="10" t="n">
        <x:v>7</x:v>
      </x:c>
      <x:c r="D399" s="10" t="n">
        <x:v>7</x:v>
      </x:c>
      <x:c r="E399" s="10" t="n">
        <x:v>0</x:v>
      </x:c>
      <x:c r="F399" s="10" t="n">
        <x:v>1</x:v>
      </x:c>
      <x:c r="G399" s="10" t="n">
        <x:f>MIN(E399,3)</x:f>
        <x:v>0</x:v>
      </x:c>
      <x:c r="H399" s="10" t="n">
        <x:v>3</x:v>
      </x:c>
      <x:c r="I399" s="19" t="n">
        <x:v>0.2</x:v>
      </x:c>
      <x:c r="J399" s="19" t="n">
        <x:v>0.8</x:v>
      </x:c>
      <x:c r="K399" s="19" t="n">
        <x:v>0.75</x:v>
      </x:c>
    </x:row>
    <x:row r="400" ht="23" customHeight="1">
      <x:c r="A400" s="2" t="str">
        <x:v>D020_T07_C080_G075</x:v>
      </x:c>
      <x:c r="B400" s="2" t="str">
        <x:v>A0040</x:v>
      </x:c>
      <x:c r="C400" s="10" t="n">
        <x:v>7</x:v>
      </x:c>
      <x:c r="D400" s="10" t="n">
        <x:v>7</x:v>
      </x:c>
      <x:c r="E400" s="10" t="n">
        <x:v>0</x:v>
      </x:c>
      <x:c r="F400" s="10" t="n">
        <x:v>1</x:v>
      </x:c>
      <x:c r="G400" s="10" t="n">
        <x:f>MIN(E400,3)</x:f>
        <x:v>0</x:v>
      </x:c>
      <x:c r="H400" s="10" t="n">
        <x:v>3</x:v>
      </x:c>
      <x:c r="I400" s="19" t="n">
        <x:v>0.2</x:v>
      </x:c>
      <x:c r="J400" s="19" t="n">
        <x:v>0.8</x:v>
      </x:c>
      <x:c r="K400" s="19" t="n">
        <x:v>0.75</x:v>
      </x:c>
    </x:row>
    <x:row r="401" ht="23" customHeight="1">
      <x:c r="A401" s="2" t="str">
        <x:v>D020_T07_C080_G075</x:v>
      </x:c>
      <x:c r="B401" s="2" t="str">
        <x:v>A0041</x:v>
      </x:c>
      <x:c r="C401" s="10" t="n">
        <x:v>7</x:v>
      </x:c>
      <x:c r="D401" s="10" t="n">
        <x:v>7</x:v>
      </x:c>
      <x:c r="E401" s="10" t="n">
        <x:v>0</x:v>
      </x:c>
      <x:c r="F401" s="10" t="n">
        <x:v>1</x:v>
      </x:c>
      <x:c r="G401" s="10" t="n">
        <x:f>MIN(E401,3)</x:f>
        <x:v>0</x:v>
      </x:c>
      <x:c r="H401" s="10" t="n">
        <x:v>3</x:v>
      </x:c>
      <x:c r="I401" s="19" t="n">
        <x:v>0.2</x:v>
      </x:c>
      <x:c r="J401" s="19" t="n">
        <x:v>0.8</x:v>
      </x:c>
      <x:c r="K401" s="19" t="n">
        <x:v>0.75</x:v>
      </x:c>
    </x:row>
    <x:row r="402" ht="23" customHeight="1">
      <x:c r="A402" s="2" t="str">
        <x:v>D020_T07_C080_G075</x:v>
      </x:c>
      <x:c r="B402" s="2" t="str">
        <x:v>A0042</x:v>
      </x:c>
      <x:c r="C402" s="10" t="n">
        <x:v>7</x:v>
      </x:c>
      <x:c r="D402" s="10" t="n">
        <x:v>7</x:v>
      </x:c>
      <x:c r="E402" s="10" t="n">
        <x:v>0</x:v>
      </x:c>
      <x:c r="F402" s="10" t="n">
        <x:v>1</x:v>
      </x:c>
      <x:c r="G402" s="10" t="n">
        <x:f>MIN(E402,3)</x:f>
        <x:v>0</x:v>
      </x:c>
      <x:c r="H402" s="10" t="n">
        <x:v>3</x:v>
      </x:c>
      <x:c r="I402" s="19" t="n">
        <x:v>0.2</x:v>
      </x:c>
      <x:c r="J402" s="19" t="n">
        <x:v>0.8</x:v>
      </x:c>
      <x:c r="K402" s="19" t="n">
        <x:v>0.75</x:v>
      </x:c>
    </x:row>
    <x:row r="403" ht="23" customHeight="1">
      <x:c r="A403" s="2" t="str">
        <x:v>D020_T07_C080_G075</x:v>
      </x:c>
      <x:c r="B403" s="2" t="str">
        <x:v>A0071</x:v>
      </x:c>
      <x:c r="C403" s="10" t="n">
        <x:v>7</x:v>
      </x:c>
      <x:c r="D403" s="10" t="n">
        <x:v>7</x:v>
      </x:c>
      <x:c r="E403" s="10" t="n">
        <x:v>0</x:v>
      </x:c>
      <x:c r="F403" s="10" t="n">
        <x:v>1</x:v>
      </x:c>
      <x:c r="G403" s="10" t="n">
        <x:f>MIN(E403,3)</x:f>
        <x:v>0</x:v>
      </x:c>
      <x:c r="H403" s="10" t="n">
        <x:v>3</x:v>
      </x:c>
      <x:c r="I403" s="19" t="n">
        <x:v>0.2</x:v>
      </x:c>
      <x:c r="J403" s="19" t="n">
        <x:v>0.8</x:v>
      </x:c>
      <x:c r="K403" s="19" t="n">
        <x:v>0.75</x:v>
      </x:c>
    </x:row>
    <x:row r="404" ht="23" customHeight="1">
      <x:c r="A404" s="2" t="str">
        <x:v>D020_T07_C080_G075</x:v>
      </x:c>
      <x:c r="B404" s="2" t="str">
        <x:v>A0189</x:v>
      </x:c>
      <x:c r="C404" s="10" t="n">
        <x:v>7</x:v>
      </x:c>
      <x:c r="D404" s="10" t="n">
        <x:v>10</x:v>
      </x:c>
      <x:c r="E404" s="10" t="n">
        <x:v>3</x:v>
      </x:c>
      <x:c r="F404" s="10" t="n">
        <x:v>1</x:v>
      </x:c>
      <x:c r="G404" s="10" t="n">
        <x:f>MIN(E404,3)</x:f>
        <x:v>3</x:v>
      </x:c>
      <x:c r="H404" s="10" t="n">
        <x:v>3</x:v>
      </x:c>
      <x:c r="I404" s="19" t="n">
        <x:v>0.2</x:v>
      </x:c>
      <x:c r="J404" s="19" t="n">
        <x:v>0.8</x:v>
      </x:c>
      <x:c r="K404" s="19" t="n">
        <x:v>0.75</x:v>
      </x:c>
    </x:row>
    <x:row r="405" ht="23" customHeight="1">
      <x:c r="A405" s="2" t="str">
        <x:v>D040_T02_C020_G025</x:v>
      </x:c>
      <x:c r="B405" s="2" t="str">
        <x:v>A0005</x:v>
      </x:c>
      <x:c r="C405" s="10" t="n">
        <x:v>2</x:v>
      </x:c>
      <x:c r="D405" s="10" t="n">
        <x:v>5</x:v>
      </x:c>
      <x:c r="E405" s="10" t="n">
        <x:v>3</x:v>
      </x:c>
      <x:c r="F405" s="10" t="n">
        <x:v>1</x:v>
      </x:c>
      <x:c r="G405" s="10" t="n">
        <x:f>MIN(E405,3)</x:f>
        <x:v>3</x:v>
      </x:c>
      <x:c r="H405" s="10" t="n">
        <x:v>8</x:v>
      </x:c>
      <x:c r="I405" s="19" t="n">
        <x:v>0.4</x:v>
      </x:c>
      <x:c r="J405" s="19" t="n">
        <x:v>0.2</x:v>
      </x:c>
      <x:c r="K405" s="19" t="n">
        <x:v>0.25</x:v>
      </x:c>
    </x:row>
    <x:row r="406" ht="23" customHeight="1">
      <x:c r="A406" s="2" t="str">
        <x:v>D040_T02_C020_G025</x:v>
      </x:c>
      <x:c r="B406" s="2" t="str">
        <x:v>A0008</x:v>
      </x:c>
      <x:c r="C406" s="10" t="n">
        <x:v>2</x:v>
      </x:c>
      <x:c r="D406" s="10" t="n">
        <x:v>4</x:v>
      </x:c>
      <x:c r="E406" s="10" t="n">
        <x:v>2</x:v>
      </x:c>
      <x:c r="F406" s="10" t="n">
        <x:v>1</x:v>
      </x:c>
      <x:c r="G406" s="10" t="n">
        <x:f>MIN(E406,3)</x:f>
        <x:v>2</x:v>
      </x:c>
      <x:c r="H406" s="10" t="n">
        <x:v>8</x:v>
      </x:c>
      <x:c r="I406" s="19" t="n">
        <x:v>0.4</x:v>
      </x:c>
      <x:c r="J406" s="19" t="n">
        <x:v>0.2</x:v>
      </x:c>
      <x:c r="K406" s="19" t="n">
        <x:v>0.25</x:v>
      </x:c>
    </x:row>
    <x:row r="407" ht="23" customHeight="1">
      <x:c r="A407" s="2" t="str">
        <x:v>D040_T02_C020_G025</x:v>
      </x:c>
      <x:c r="B407" s="2" t="str">
        <x:v>A0010</x:v>
      </x:c>
      <x:c r="C407" s="10" t="n">
        <x:v>2</x:v>
      </x:c>
      <x:c r="D407" s="10" t="n">
        <x:v>4</x:v>
      </x:c>
      <x:c r="E407" s="10" t="n">
        <x:v>2</x:v>
      </x:c>
      <x:c r="F407" s="10" t="n">
        <x:v>1</x:v>
      </x:c>
      <x:c r="G407" s="10" t="n">
        <x:f>MIN(E407,3)</x:f>
        <x:v>2</x:v>
      </x:c>
      <x:c r="H407" s="10" t="n">
        <x:v>8</x:v>
      </x:c>
      <x:c r="I407" s="19" t="n">
        <x:v>0.4</x:v>
      </x:c>
      <x:c r="J407" s="19" t="n">
        <x:v>0.2</x:v>
      </x:c>
      <x:c r="K407" s="19" t="n">
        <x:v>0.25</x:v>
      </x:c>
    </x:row>
    <x:row r="408" ht="23" customHeight="1">
      <x:c r="A408" s="2" t="str">
        <x:v>D040_T02_C020_G025</x:v>
      </x:c>
      <x:c r="B408" s="2" t="str">
        <x:v>A0011</x:v>
      </x:c>
      <x:c r="C408" s="10" t="n">
        <x:v>2</x:v>
      </x:c>
      <x:c r="D408" s="10" t="n">
        <x:v>4</x:v>
      </x:c>
      <x:c r="E408" s="10" t="n">
        <x:v>2</x:v>
      </x:c>
      <x:c r="F408" s="10" t="n">
        <x:v>1</x:v>
      </x:c>
      <x:c r="G408" s="10" t="n">
        <x:f>MIN(E408,3)</x:f>
        <x:v>2</x:v>
      </x:c>
      <x:c r="H408" s="10" t="n">
        <x:v>8</x:v>
      </x:c>
      <x:c r="I408" s="19" t="n">
        <x:v>0.4</x:v>
      </x:c>
      <x:c r="J408" s="19" t="n">
        <x:v>0.2</x:v>
      </x:c>
      <x:c r="K408" s="19" t="n">
        <x:v>0.25</x:v>
      </x:c>
    </x:row>
    <x:row r="409" ht="23" customHeight="1">
      <x:c r="A409" s="2" t="str">
        <x:v>D040_T02_C020_G025</x:v>
      </x:c>
      <x:c r="B409" s="2" t="str">
        <x:v>A0012</x:v>
      </x:c>
      <x:c r="C409" s="10" t="n">
        <x:v>2</x:v>
      </x:c>
      <x:c r="D409" s="10"/>
      <x:c r="E409" s="10" t="n">
        <x:v>8</x:v>
      </x:c>
      <x:c r="F409" s="10" t="n">
        <x:v>0</x:v>
      </x:c>
      <x:c r="G409" s="10" t="n">
        <x:f>MIN(E409,3)</x:f>
        <x:v>3</x:v>
      </x:c>
      <x:c r="H409" s="10" t="n">
        <x:v>8</x:v>
      </x:c>
      <x:c r="I409" s="19" t="n">
        <x:v>0.4</x:v>
      </x:c>
      <x:c r="J409" s="19" t="n">
        <x:v>0.2</x:v>
      </x:c>
      <x:c r="K409" s="19" t="n">
        <x:v>0.25</x:v>
      </x:c>
    </x:row>
    <x:row r="410" ht="23" customHeight="1">
      <x:c r="A410" s="2" t="str">
        <x:v>D040_T02_C020_G025</x:v>
      </x:c>
      <x:c r="B410" s="2" t="str">
        <x:v>A0013</x:v>
      </x:c>
      <x:c r="C410" s="10" t="n">
        <x:v>2</x:v>
      </x:c>
      <x:c r="D410" s="10" t="n">
        <x:v>9</x:v>
      </x:c>
      <x:c r="E410" s="10" t="n">
        <x:v>7</x:v>
      </x:c>
      <x:c r="F410" s="10" t="n">
        <x:v>1</x:v>
      </x:c>
      <x:c r="G410" s="10" t="n">
        <x:f>MIN(E410,3)</x:f>
        <x:v>3</x:v>
      </x:c>
      <x:c r="H410" s="10" t="n">
        <x:v>8</x:v>
      </x:c>
      <x:c r="I410" s="19" t="n">
        <x:v>0.4</x:v>
      </x:c>
      <x:c r="J410" s="19" t="n">
        <x:v>0.2</x:v>
      </x:c>
      <x:c r="K410" s="19" t="n">
        <x:v>0.25</x:v>
      </x:c>
    </x:row>
    <x:row r="411" ht="23" customHeight="1">
      <x:c r="A411" s="2" t="str">
        <x:v>D040_T02_C020_G025</x:v>
      </x:c>
      <x:c r="B411" s="2" t="str">
        <x:v>A0014</x:v>
      </x:c>
      <x:c r="C411" s="10" t="n">
        <x:v>2</x:v>
      </x:c>
      <x:c r="D411" s="10" t="n">
        <x:v>5</x:v>
      </x:c>
      <x:c r="E411" s="10" t="n">
        <x:v>3</x:v>
      </x:c>
      <x:c r="F411" s="10" t="n">
        <x:v>1</x:v>
      </x:c>
      <x:c r="G411" s="10" t="n">
        <x:f>MIN(E411,3)</x:f>
        <x:v>3</x:v>
      </x:c>
      <x:c r="H411" s="10" t="n">
        <x:v>8</x:v>
      </x:c>
      <x:c r="I411" s="19" t="n">
        <x:v>0.4</x:v>
      </x:c>
      <x:c r="J411" s="19" t="n">
        <x:v>0.2</x:v>
      </x:c>
      <x:c r="K411" s="19" t="n">
        <x:v>0.25</x:v>
      </x:c>
    </x:row>
    <x:row r="412" ht="23" customHeight="1">
      <x:c r="A412" s="2" t="str">
        <x:v>D040_T02_C020_G025</x:v>
      </x:c>
      <x:c r="B412" s="2" t="str">
        <x:v>A0015</x:v>
      </x:c>
      <x:c r="C412" s="10" t="n">
        <x:v>2</x:v>
      </x:c>
      <x:c r="D412" s="10" t="n">
        <x:v>4</x:v>
      </x:c>
      <x:c r="E412" s="10" t="n">
        <x:v>2</x:v>
      </x:c>
      <x:c r="F412" s="10" t="n">
        <x:v>1</x:v>
      </x:c>
      <x:c r="G412" s="10" t="n">
        <x:f>MIN(E412,3)</x:f>
        <x:v>2</x:v>
      </x:c>
      <x:c r="H412" s="10" t="n">
        <x:v>8</x:v>
      </x:c>
      <x:c r="I412" s="19" t="n">
        <x:v>0.4</x:v>
      </x:c>
      <x:c r="J412" s="19" t="n">
        <x:v>0.2</x:v>
      </x:c>
      <x:c r="K412" s="19" t="n">
        <x:v>0.25</x:v>
      </x:c>
    </x:row>
    <x:row r="413" ht="23" customHeight="1">
      <x:c r="A413" s="2" t="str">
        <x:v>D040_T02_C020_G025</x:v>
      </x:c>
      <x:c r="B413" s="2" t="str">
        <x:v>A0016</x:v>
      </x:c>
      <x:c r="C413" s="10" t="n">
        <x:v>2</x:v>
      </x:c>
      <x:c r="D413" s="10" t="n">
        <x:v>7</x:v>
      </x:c>
      <x:c r="E413" s="10" t="n">
        <x:v>5</x:v>
      </x:c>
      <x:c r="F413" s="10" t="n">
        <x:v>1</x:v>
      </x:c>
      <x:c r="G413" s="10" t="n">
        <x:f>MIN(E413,3)</x:f>
        <x:v>3</x:v>
      </x:c>
      <x:c r="H413" s="10" t="n">
        <x:v>8</x:v>
      </x:c>
      <x:c r="I413" s="19" t="n">
        <x:v>0.4</x:v>
      </x:c>
      <x:c r="J413" s="19" t="n">
        <x:v>0.2</x:v>
      </x:c>
      <x:c r="K413" s="19" t="n">
        <x:v>0.25</x:v>
      </x:c>
    </x:row>
    <x:row r="414" ht="23" customHeight="1">
      <x:c r="A414" s="2" t="str">
        <x:v>D040_T02_C020_G025</x:v>
      </x:c>
      <x:c r="B414" s="2" t="str">
        <x:v>A0017</x:v>
      </x:c>
      <x:c r="C414" s="10" t="n">
        <x:v>2</x:v>
      </x:c>
      <x:c r="D414" s="10"/>
      <x:c r="E414" s="10" t="n">
        <x:v>8</x:v>
      </x:c>
      <x:c r="F414" s="10" t="n">
        <x:v>0</x:v>
      </x:c>
      <x:c r="G414" s="10" t="n">
        <x:f>MIN(E414,3)</x:f>
        <x:v>3</x:v>
      </x:c>
      <x:c r="H414" s="10" t="n">
        <x:v>8</x:v>
      </x:c>
      <x:c r="I414" s="19" t="n">
        <x:v>0.4</x:v>
      </x:c>
      <x:c r="J414" s="19" t="n">
        <x:v>0.2</x:v>
      </x:c>
      <x:c r="K414" s="19" t="n">
        <x:v>0.25</x:v>
      </x:c>
    </x:row>
    <x:row r="415" ht="23" customHeight="1">
      <x:c r="A415" s="2" t="str">
        <x:v>D040_T02_C020_G025</x:v>
      </x:c>
      <x:c r="B415" s="2" t="str">
        <x:v>A0018</x:v>
      </x:c>
      <x:c r="C415" s="10" t="n">
        <x:v>2</x:v>
      </x:c>
      <x:c r="D415" s="10"/>
      <x:c r="E415" s="10" t="n">
        <x:v>8</x:v>
      </x:c>
      <x:c r="F415" s="10" t="n">
        <x:v>0</x:v>
      </x:c>
      <x:c r="G415" s="10" t="n">
        <x:f>MIN(E415,3)</x:f>
        <x:v>3</x:v>
      </x:c>
      <x:c r="H415" s="10" t="n">
        <x:v>8</x:v>
      </x:c>
      <x:c r="I415" s="19" t="n">
        <x:v>0.4</x:v>
      </x:c>
      <x:c r="J415" s="19" t="n">
        <x:v>0.2</x:v>
      </x:c>
      <x:c r="K415" s="19" t="n">
        <x:v>0.25</x:v>
      </x:c>
    </x:row>
    <x:row r="416" ht="23" customHeight="1">
      <x:c r="A416" s="2" t="str">
        <x:v>D040_T02_C020_G025</x:v>
      </x:c>
      <x:c r="B416" s="2" t="str">
        <x:v>A0019</x:v>
      </x:c>
      <x:c r="C416" s="10" t="n">
        <x:v>2</x:v>
      </x:c>
      <x:c r="D416" s="10" t="n">
        <x:v>7</x:v>
      </x:c>
      <x:c r="E416" s="10" t="n">
        <x:v>5</x:v>
      </x:c>
      <x:c r="F416" s="10" t="n">
        <x:v>1</x:v>
      </x:c>
      <x:c r="G416" s="10" t="n">
        <x:f>MIN(E416,3)</x:f>
        <x:v>3</x:v>
      </x:c>
      <x:c r="H416" s="10" t="n">
        <x:v>8</x:v>
      </x:c>
      <x:c r="I416" s="19" t="n">
        <x:v>0.4</x:v>
      </x:c>
      <x:c r="J416" s="19" t="n">
        <x:v>0.2</x:v>
      </x:c>
      <x:c r="K416" s="19" t="n">
        <x:v>0.25</x:v>
      </x:c>
    </x:row>
    <x:row r="417" ht="23" customHeight="1">
      <x:c r="A417" s="2" t="str">
        <x:v>D040_T02_C020_G025</x:v>
      </x:c>
      <x:c r="B417" s="2" t="str">
        <x:v>A0020</x:v>
      </x:c>
      <x:c r="C417" s="10" t="n">
        <x:v>2</x:v>
      </x:c>
      <x:c r="D417" s="10" t="n">
        <x:v>6</x:v>
      </x:c>
      <x:c r="E417" s="10" t="n">
        <x:v>4</x:v>
      </x:c>
      <x:c r="F417" s="10" t="n">
        <x:v>1</x:v>
      </x:c>
      <x:c r="G417" s="10" t="n">
        <x:f>MIN(E417,3)</x:f>
        <x:v>3</x:v>
      </x:c>
      <x:c r="H417" s="10" t="n">
        <x:v>8</x:v>
      </x:c>
      <x:c r="I417" s="19" t="n">
        <x:v>0.4</x:v>
      </x:c>
      <x:c r="J417" s="19" t="n">
        <x:v>0.2</x:v>
      </x:c>
      <x:c r="K417" s="19" t="n">
        <x:v>0.25</x:v>
      </x:c>
    </x:row>
    <x:row r="418" ht="23" customHeight="1">
      <x:c r="A418" s="2" t="str">
        <x:v>D040_T02_C020_G025</x:v>
      </x:c>
      <x:c r="B418" s="2" t="str">
        <x:v>A0022</x:v>
      </x:c>
      <x:c r="C418" s="10" t="n">
        <x:v>2</x:v>
      </x:c>
      <x:c r="D418" s="10" t="n">
        <x:v>4</x:v>
      </x:c>
      <x:c r="E418" s="10" t="n">
        <x:v>2</x:v>
      </x:c>
      <x:c r="F418" s="10" t="n">
        <x:v>1</x:v>
      </x:c>
      <x:c r="G418" s="10" t="n">
        <x:f>MIN(E418,3)</x:f>
        <x:v>2</x:v>
      </x:c>
      <x:c r="H418" s="10" t="n">
        <x:v>8</x:v>
      </x:c>
      <x:c r="I418" s="19" t="n">
        <x:v>0.4</x:v>
      </x:c>
      <x:c r="J418" s="19" t="n">
        <x:v>0.2</x:v>
      </x:c>
      <x:c r="K418" s="19" t="n">
        <x:v>0.25</x:v>
      </x:c>
    </x:row>
    <x:row r="419" ht="23" customHeight="1">
      <x:c r="A419" s="2" t="str">
        <x:v>D040_T02_C020_G025</x:v>
      </x:c>
      <x:c r="B419" s="2" t="str">
        <x:v>A0023</x:v>
      </x:c>
      <x:c r="C419" s="10" t="n">
        <x:v>2</x:v>
      </x:c>
      <x:c r="D419" s="10" t="n">
        <x:v>8</x:v>
      </x:c>
      <x:c r="E419" s="10" t="n">
        <x:v>6</x:v>
      </x:c>
      <x:c r="F419" s="10" t="n">
        <x:v>1</x:v>
      </x:c>
      <x:c r="G419" s="10" t="n">
        <x:f>MIN(E419,3)</x:f>
        <x:v>3</x:v>
      </x:c>
      <x:c r="H419" s="10" t="n">
        <x:v>8</x:v>
      </x:c>
      <x:c r="I419" s="19" t="n">
        <x:v>0.4</x:v>
      </x:c>
      <x:c r="J419" s="19" t="n">
        <x:v>0.2</x:v>
      </x:c>
      <x:c r="K419" s="19" t="n">
        <x:v>0.25</x:v>
      </x:c>
    </x:row>
    <x:row r="420" ht="23" customHeight="1">
      <x:c r="A420" s="2" t="str">
        <x:v>D040_T02_C020_G025</x:v>
      </x:c>
      <x:c r="B420" s="2" t="str">
        <x:v>A0024</x:v>
      </x:c>
      <x:c r="C420" s="10" t="n">
        <x:v>2</x:v>
      </x:c>
      <x:c r="D420" s="10" t="n">
        <x:v>7</x:v>
      </x:c>
      <x:c r="E420" s="10" t="n">
        <x:v>5</x:v>
      </x:c>
      <x:c r="F420" s="10" t="n">
        <x:v>1</x:v>
      </x:c>
      <x:c r="G420" s="10" t="n">
        <x:f>MIN(E420,3)</x:f>
        <x:v>3</x:v>
      </x:c>
      <x:c r="H420" s="10" t="n">
        <x:v>8</x:v>
      </x:c>
      <x:c r="I420" s="19" t="n">
        <x:v>0.4</x:v>
      </x:c>
      <x:c r="J420" s="19" t="n">
        <x:v>0.2</x:v>
      </x:c>
      <x:c r="K420" s="19" t="n">
        <x:v>0.25</x:v>
      </x:c>
    </x:row>
    <x:row r="421" ht="23" customHeight="1">
      <x:c r="A421" s="2" t="str">
        <x:v>D040_T02_C020_G025</x:v>
      </x:c>
      <x:c r="B421" s="2" t="str">
        <x:v>A0025</x:v>
      </x:c>
      <x:c r="C421" s="10" t="n">
        <x:v>2</x:v>
      </x:c>
      <x:c r="D421" s="10" t="n">
        <x:v>7</x:v>
      </x:c>
      <x:c r="E421" s="10" t="n">
        <x:v>5</x:v>
      </x:c>
      <x:c r="F421" s="10" t="n">
        <x:v>1</x:v>
      </x:c>
      <x:c r="G421" s="10" t="n">
        <x:f>MIN(E421,3)</x:f>
        <x:v>3</x:v>
      </x:c>
      <x:c r="H421" s="10" t="n">
        <x:v>8</x:v>
      </x:c>
      <x:c r="I421" s="19" t="n">
        <x:v>0.4</x:v>
      </x:c>
      <x:c r="J421" s="19" t="n">
        <x:v>0.2</x:v>
      </x:c>
      <x:c r="K421" s="19" t="n">
        <x:v>0.25</x:v>
      </x:c>
    </x:row>
    <x:row r="422" ht="23" customHeight="1">
      <x:c r="A422" s="2" t="str">
        <x:v>D040_T02_C020_G025</x:v>
      </x:c>
      <x:c r="B422" s="2" t="str">
        <x:v>A0027</x:v>
      </x:c>
      <x:c r="C422" s="10" t="n">
        <x:v>2</x:v>
      </x:c>
      <x:c r="D422" s="10" t="n">
        <x:v>6</x:v>
      </x:c>
      <x:c r="E422" s="10" t="n">
        <x:v>4</x:v>
      </x:c>
      <x:c r="F422" s="10" t="n">
        <x:v>1</x:v>
      </x:c>
      <x:c r="G422" s="10" t="n">
        <x:f>MIN(E422,3)</x:f>
        <x:v>3</x:v>
      </x:c>
      <x:c r="H422" s="10" t="n">
        <x:v>8</x:v>
      </x:c>
      <x:c r="I422" s="19" t="n">
        <x:v>0.4</x:v>
      </x:c>
      <x:c r="J422" s="19" t="n">
        <x:v>0.2</x:v>
      </x:c>
      <x:c r="K422" s="19" t="n">
        <x:v>0.25</x:v>
      </x:c>
    </x:row>
    <x:row r="423" ht="23" customHeight="1">
      <x:c r="A423" s="2" t="str">
        <x:v>D040_T02_C020_G025</x:v>
      </x:c>
      <x:c r="B423" s="2" t="str">
        <x:v>A0029</x:v>
      </x:c>
      <x:c r="C423" s="10" t="n">
        <x:v>2</x:v>
      </x:c>
      <x:c r="D423" s="10" t="n">
        <x:v>4</x:v>
      </x:c>
      <x:c r="E423" s="10" t="n">
        <x:v>2</x:v>
      </x:c>
      <x:c r="F423" s="10" t="n">
        <x:v>1</x:v>
      </x:c>
      <x:c r="G423" s="10" t="n">
        <x:f>MIN(E423,3)</x:f>
        <x:v>2</x:v>
      </x:c>
      <x:c r="H423" s="10" t="n">
        <x:v>8</x:v>
      </x:c>
      <x:c r="I423" s="19" t="n">
        <x:v>0.4</x:v>
      </x:c>
      <x:c r="J423" s="19" t="n">
        <x:v>0.2</x:v>
      </x:c>
      <x:c r="K423" s="19" t="n">
        <x:v>0.25</x:v>
      </x:c>
    </x:row>
    <x:row r="424" ht="23" customHeight="1">
      <x:c r="A424" s="2" t="str">
        <x:v>D040_T02_C020_G025</x:v>
      </x:c>
      <x:c r="B424" s="2" t="str">
        <x:v>A0030</x:v>
      </x:c>
      <x:c r="C424" s="10" t="n">
        <x:v>2</x:v>
      </x:c>
      <x:c r="D424" s="10" t="n">
        <x:v>6</x:v>
      </x:c>
      <x:c r="E424" s="10" t="n">
        <x:v>4</x:v>
      </x:c>
      <x:c r="F424" s="10" t="n">
        <x:v>1</x:v>
      </x:c>
      <x:c r="G424" s="10" t="n">
        <x:f>MIN(E424,3)</x:f>
        <x:v>3</x:v>
      </x:c>
      <x:c r="H424" s="10" t="n">
        <x:v>8</x:v>
      </x:c>
      <x:c r="I424" s="19" t="n">
        <x:v>0.4</x:v>
      </x:c>
      <x:c r="J424" s="19" t="n">
        <x:v>0.2</x:v>
      </x:c>
      <x:c r="K424" s="19" t="n">
        <x:v>0.25</x:v>
      </x:c>
    </x:row>
    <x:row r="425" ht="23" customHeight="1">
      <x:c r="A425" s="2" t="str">
        <x:v>D040_T02_C020_G025</x:v>
      </x:c>
      <x:c r="B425" s="2" t="str">
        <x:v>A0032</x:v>
      </x:c>
      <x:c r="C425" s="10" t="n">
        <x:v>2</x:v>
      </x:c>
      <x:c r="D425" s="10"/>
      <x:c r="E425" s="10" t="n">
        <x:v>8</x:v>
      </x:c>
      <x:c r="F425" s="10" t="n">
        <x:v>0</x:v>
      </x:c>
      <x:c r="G425" s="10" t="n">
        <x:f>MIN(E425,3)</x:f>
        <x:v>3</x:v>
      </x:c>
      <x:c r="H425" s="10" t="n">
        <x:v>8</x:v>
      </x:c>
      <x:c r="I425" s="19" t="n">
        <x:v>0.4</x:v>
      </x:c>
      <x:c r="J425" s="19" t="n">
        <x:v>0.2</x:v>
      </x:c>
      <x:c r="K425" s="19" t="n">
        <x:v>0.25</x:v>
      </x:c>
    </x:row>
    <x:row r="426" ht="23" customHeight="1">
      <x:c r="A426" s="2" t="str">
        <x:v>D040_T02_C020_G025</x:v>
      </x:c>
      <x:c r="B426" s="2" t="str">
        <x:v>A0033</x:v>
      </x:c>
      <x:c r="C426" s="10" t="n">
        <x:v>2</x:v>
      </x:c>
      <x:c r="D426" s="10" t="n">
        <x:v>4</x:v>
      </x:c>
      <x:c r="E426" s="10" t="n">
        <x:v>2</x:v>
      </x:c>
      <x:c r="F426" s="10" t="n">
        <x:v>1</x:v>
      </x:c>
      <x:c r="G426" s="10" t="n">
        <x:f>MIN(E426,3)</x:f>
        <x:v>2</x:v>
      </x:c>
      <x:c r="H426" s="10" t="n">
        <x:v>8</x:v>
      </x:c>
      <x:c r="I426" s="19" t="n">
        <x:v>0.4</x:v>
      </x:c>
      <x:c r="J426" s="19" t="n">
        <x:v>0.2</x:v>
      </x:c>
      <x:c r="K426" s="19" t="n">
        <x:v>0.25</x:v>
      </x:c>
    </x:row>
    <x:row r="427" ht="23" customHeight="1">
      <x:c r="A427" s="2" t="str">
        <x:v>D040_T02_C020_G025</x:v>
      </x:c>
      <x:c r="B427" s="2" t="str">
        <x:v>A0034</x:v>
      </x:c>
      <x:c r="C427" s="10" t="n">
        <x:v>2</x:v>
      </x:c>
      <x:c r="D427" s="10" t="n">
        <x:v>8</x:v>
      </x:c>
      <x:c r="E427" s="10" t="n">
        <x:v>6</x:v>
      </x:c>
      <x:c r="F427" s="10" t="n">
        <x:v>1</x:v>
      </x:c>
      <x:c r="G427" s="10" t="n">
        <x:f>MIN(E427,3)</x:f>
        <x:v>3</x:v>
      </x:c>
      <x:c r="H427" s="10" t="n">
        <x:v>8</x:v>
      </x:c>
      <x:c r="I427" s="19" t="n">
        <x:v>0.4</x:v>
      </x:c>
      <x:c r="J427" s="19" t="n">
        <x:v>0.2</x:v>
      </x:c>
      <x:c r="K427" s="19" t="n">
        <x:v>0.25</x:v>
      </x:c>
    </x:row>
    <x:row r="428" ht="23" customHeight="1">
      <x:c r="A428" s="2" t="str">
        <x:v>D040_T02_C020_G025</x:v>
      </x:c>
      <x:c r="B428" s="2" t="str">
        <x:v>A0035</x:v>
      </x:c>
      <x:c r="C428" s="10" t="n">
        <x:v>2</x:v>
      </x:c>
      <x:c r="D428" s="10" t="n">
        <x:v>10</x:v>
      </x:c>
      <x:c r="E428" s="10" t="n">
        <x:v>8</x:v>
      </x:c>
      <x:c r="F428" s="10" t="n">
        <x:v>1</x:v>
      </x:c>
      <x:c r="G428" s="10" t="n">
        <x:f>MIN(E428,3)</x:f>
        <x:v>3</x:v>
      </x:c>
      <x:c r="H428" s="10" t="n">
        <x:v>8</x:v>
      </x:c>
      <x:c r="I428" s="19" t="n">
        <x:v>0.4</x:v>
      </x:c>
      <x:c r="J428" s="19" t="n">
        <x:v>0.2</x:v>
      </x:c>
      <x:c r="K428" s="19" t="n">
        <x:v>0.25</x:v>
      </x:c>
    </x:row>
    <x:row r="429" ht="23" customHeight="1">
      <x:c r="A429" s="2" t="str">
        <x:v>D040_T02_C020_G025</x:v>
      </x:c>
      <x:c r="B429" s="2" t="str">
        <x:v>A0036</x:v>
      </x:c>
      <x:c r="C429" s="10" t="n">
        <x:v>2</x:v>
      </x:c>
      <x:c r="D429" s="10"/>
      <x:c r="E429" s="10" t="n">
        <x:v>8</x:v>
      </x:c>
      <x:c r="F429" s="10" t="n">
        <x:v>0</x:v>
      </x:c>
      <x:c r="G429" s="10" t="n">
        <x:f>MIN(E429,3)</x:f>
        <x:v>3</x:v>
      </x:c>
      <x:c r="H429" s="10" t="n">
        <x:v>8</x:v>
      </x:c>
      <x:c r="I429" s="19" t="n">
        <x:v>0.4</x:v>
      </x:c>
      <x:c r="J429" s="19" t="n">
        <x:v>0.2</x:v>
      </x:c>
      <x:c r="K429" s="19" t="n">
        <x:v>0.25</x:v>
      </x:c>
    </x:row>
    <x:row r="430" ht="23" customHeight="1">
      <x:c r="A430" s="2" t="str">
        <x:v>D040_T02_C020_G025</x:v>
      </x:c>
      <x:c r="B430" s="2" t="str">
        <x:v>A0038</x:v>
      </x:c>
      <x:c r="C430" s="10" t="n">
        <x:v>2</x:v>
      </x:c>
      <x:c r="D430" s="10" t="n">
        <x:v>8</x:v>
      </x:c>
      <x:c r="E430" s="10" t="n">
        <x:v>6</x:v>
      </x:c>
      <x:c r="F430" s="10" t="n">
        <x:v>1</x:v>
      </x:c>
      <x:c r="G430" s="10" t="n">
        <x:f>MIN(E430,3)</x:f>
        <x:v>3</x:v>
      </x:c>
      <x:c r="H430" s="10" t="n">
        <x:v>8</x:v>
      </x:c>
      <x:c r="I430" s="19" t="n">
        <x:v>0.4</x:v>
      </x:c>
      <x:c r="J430" s="19" t="n">
        <x:v>0.2</x:v>
      </x:c>
      <x:c r="K430" s="19" t="n">
        <x:v>0.25</x:v>
      </x:c>
    </x:row>
    <x:row r="431" ht="23" customHeight="1">
      <x:c r="A431" s="2" t="str">
        <x:v>D040_T02_C020_G025</x:v>
      </x:c>
      <x:c r="B431" s="2" t="str">
        <x:v>A0039</x:v>
      </x:c>
      <x:c r="C431" s="10" t="n">
        <x:v>2</x:v>
      </x:c>
      <x:c r="D431" s="10"/>
      <x:c r="E431" s="10" t="n">
        <x:v>8</x:v>
      </x:c>
      <x:c r="F431" s="10" t="n">
        <x:v>0</x:v>
      </x:c>
      <x:c r="G431" s="10" t="n">
        <x:f>MIN(E431,3)</x:f>
        <x:v>3</x:v>
      </x:c>
      <x:c r="H431" s="10" t="n">
        <x:v>8</x:v>
      </x:c>
      <x:c r="I431" s="19" t="n">
        <x:v>0.4</x:v>
      </x:c>
      <x:c r="J431" s="19" t="n">
        <x:v>0.2</x:v>
      </x:c>
      <x:c r="K431" s="19" t="n">
        <x:v>0.25</x:v>
      </x:c>
    </x:row>
    <x:row r="432" ht="23" customHeight="1">
      <x:c r="A432" s="2" t="str">
        <x:v>D040_T02_C020_G025</x:v>
      </x:c>
      <x:c r="B432" s="2" t="str">
        <x:v>A0040</x:v>
      </x:c>
      <x:c r="C432" s="10" t="n">
        <x:v>2</x:v>
      </x:c>
      <x:c r="D432" s="10" t="n">
        <x:v>8</x:v>
      </x:c>
      <x:c r="E432" s="10" t="n">
        <x:v>6</x:v>
      </x:c>
      <x:c r="F432" s="10" t="n">
        <x:v>1</x:v>
      </x:c>
      <x:c r="G432" s="10" t="n">
        <x:f>MIN(E432,3)</x:f>
        <x:v>3</x:v>
      </x:c>
      <x:c r="H432" s="10" t="n">
        <x:v>8</x:v>
      </x:c>
      <x:c r="I432" s="19" t="n">
        <x:v>0.4</x:v>
      </x:c>
      <x:c r="J432" s="19" t="n">
        <x:v>0.2</x:v>
      </x:c>
      <x:c r="K432" s="19" t="n">
        <x:v>0.25</x:v>
      </x:c>
    </x:row>
    <x:row r="433" ht="23" customHeight="1">
      <x:c r="A433" s="2" t="str">
        <x:v>D040_T02_C020_G025</x:v>
      </x:c>
      <x:c r="B433" s="2" t="str">
        <x:v>A0041</x:v>
      </x:c>
      <x:c r="C433" s="10" t="n">
        <x:v>2</x:v>
      </x:c>
      <x:c r="D433" s="10" t="n">
        <x:v>9</x:v>
      </x:c>
      <x:c r="E433" s="10" t="n">
        <x:v>7</x:v>
      </x:c>
      <x:c r="F433" s="10" t="n">
        <x:v>1</x:v>
      </x:c>
      <x:c r="G433" s="10" t="n">
        <x:f>MIN(E433,3)</x:f>
        <x:v>3</x:v>
      </x:c>
      <x:c r="H433" s="10" t="n">
        <x:v>8</x:v>
      </x:c>
      <x:c r="I433" s="19" t="n">
        <x:v>0.4</x:v>
      </x:c>
      <x:c r="J433" s="19" t="n">
        <x:v>0.2</x:v>
      </x:c>
      <x:c r="K433" s="19" t="n">
        <x:v>0.25</x:v>
      </x:c>
    </x:row>
    <x:row r="434" ht="23" customHeight="1">
      <x:c r="A434" s="2" t="str">
        <x:v>D040_T02_C020_G025</x:v>
      </x:c>
      <x:c r="B434" s="2" t="str">
        <x:v>A0071</x:v>
      </x:c>
      <x:c r="C434" s="10" t="n">
        <x:v>2</x:v>
      </x:c>
      <x:c r="D434" s="10" t="n">
        <x:v>8</x:v>
      </x:c>
      <x:c r="E434" s="10" t="n">
        <x:v>6</x:v>
      </x:c>
      <x:c r="F434" s="10" t="n">
        <x:v>1</x:v>
      </x:c>
      <x:c r="G434" s="10" t="n">
        <x:f>MIN(E434,3)</x:f>
        <x:v>3</x:v>
      </x:c>
      <x:c r="H434" s="10" t="n">
        <x:v>8</x:v>
      </x:c>
      <x:c r="I434" s="19" t="n">
        <x:v>0.4</x:v>
      </x:c>
      <x:c r="J434" s="19" t="n">
        <x:v>0.2</x:v>
      </x:c>
      <x:c r="K434" s="19" t="n">
        <x:v>0.25</x:v>
      </x:c>
    </x:row>
    <x:row r="435" ht="23" customHeight="1">
      <x:c r="A435" s="2" t="str">
        <x:v>D040_T02_C020_G025</x:v>
      </x:c>
      <x:c r="B435" s="2" t="str">
        <x:v>A0189</x:v>
      </x:c>
      <x:c r="C435" s="10" t="n">
        <x:v>2</x:v>
      </x:c>
      <x:c r="D435" s="10" t="n">
        <x:v>8</x:v>
      </x:c>
      <x:c r="E435" s="10" t="n">
        <x:v>6</x:v>
      </x:c>
      <x:c r="F435" s="10" t="n">
        <x:v>1</x:v>
      </x:c>
      <x:c r="G435" s="10" t="n">
        <x:f>MIN(E435,3)</x:f>
        <x:v>3</x:v>
      </x:c>
      <x:c r="H435" s="10" t="n">
        <x:v>8</x:v>
      </x:c>
      <x:c r="I435" s="19" t="n">
        <x:v>0.4</x:v>
      </x:c>
      <x:c r="J435" s="19" t="n">
        <x:v>0.2</x:v>
      </x:c>
      <x:c r="K435" s="19" t="n">
        <x:v>0.25</x:v>
      </x:c>
    </x:row>
    <x:row r="436" ht="23" customHeight="1">
      <x:c r="A436" s="2" t="str">
        <x:v>D040_T02_C020_G025</x:v>
      </x:c>
      <x:c r="B436" s="2" t="str">
        <x:v>A0206</x:v>
      </x:c>
      <x:c r="C436" s="10" t="n">
        <x:v>2</x:v>
      </x:c>
      <x:c r="D436" s="10" t="n">
        <x:v>3</x:v>
      </x:c>
      <x:c r="E436" s="10" t="n">
        <x:v>1</x:v>
      </x:c>
      <x:c r="F436" s="10" t="n">
        <x:v>1</x:v>
      </x:c>
      <x:c r="G436" s="10" t="n">
        <x:f>MIN(E436,3)</x:f>
        <x:v>1</x:v>
      </x:c>
      <x:c r="H436" s="10" t="n">
        <x:v>8</x:v>
      </x:c>
      <x:c r="I436" s="19" t="n">
        <x:v>0.4</x:v>
      </x:c>
      <x:c r="J436" s="19" t="n">
        <x:v>0.2</x:v>
      </x:c>
      <x:c r="K436" s="19" t="n">
        <x:v>0.25</x:v>
      </x:c>
    </x:row>
    <x:row r="437" ht="23" customHeight="1">
      <x:c r="A437" s="2" t="str">
        <x:v>D040_T02_C020_G050</x:v>
      </x:c>
      <x:c r="B437" s="2" t="str">
        <x:v>A0001</x:v>
      </x:c>
      <x:c r="C437" s="10" t="n">
        <x:v>2</x:v>
      </x:c>
      <x:c r="D437" s="10" t="n">
        <x:v>4</x:v>
      </x:c>
      <x:c r="E437" s="10" t="n">
        <x:v>2</x:v>
      </x:c>
      <x:c r="F437" s="10" t="n">
        <x:v>1</x:v>
      </x:c>
      <x:c r="G437" s="10" t="n">
        <x:f>MIN(E437,3)</x:f>
        <x:v>2</x:v>
      </x:c>
      <x:c r="H437" s="10" t="n">
        <x:v>8</x:v>
      </x:c>
      <x:c r="I437" s="19" t="n">
        <x:v>0.4</x:v>
      </x:c>
      <x:c r="J437" s="19" t="n">
        <x:v>0.2</x:v>
      </x:c>
      <x:c r="K437" s="19" t="n">
        <x:v>0.5</x:v>
      </x:c>
    </x:row>
    <x:row r="438" ht="23" customHeight="1">
      <x:c r="A438" s="2" t="str">
        <x:v>D040_T02_C020_G050</x:v>
      </x:c>
      <x:c r="B438" s="2" t="str">
        <x:v>A0005</x:v>
      </x:c>
      <x:c r="C438" s="10" t="n">
        <x:v>2</x:v>
      </x:c>
      <x:c r="D438" s="10" t="n">
        <x:v>4</x:v>
      </x:c>
      <x:c r="E438" s="10" t="n">
        <x:v>2</x:v>
      </x:c>
      <x:c r="F438" s="10" t="n">
        <x:v>1</x:v>
      </x:c>
      <x:c r="G438" s="10" t="n">
        <x:f>MIN(E438,3)</x:f>
        <x:v>2</x:v>
      </x:c>
      <x:c r="H438" s="10" t="n">
        <x:v>8</x:v>
      </x:c>
      <x:c r="I438" s="19" t="n">
        <x:v>0.4</x:v>
      </x:c>
      <x:c r="J438" s="19" t="n">
        <x:v>0.2</x:v>
      </x:c>
      <x:c r="K438" s="19" t="n">
        <x:v>0.5</x:v>
      </x:c>
    </x:row>
    <x:row r="439" ht="23" customHeight="1">
      <x:c r="A439" s="2" t="str">
        <x:v>D040_T02_C020_G050</x:v>
      </x:c>
      <x:c r="B439" s="2" t="str">
        <x:v>A0008</x:v>
      </x:c>
      <x:c r="C439" s="10" t="n">
        <x:v>2</x:v>
      </x:c>
      <x:c r="D439" s="10" t="n">
        <x:v>4</x:v>
      </x:c>
      <x:c r="E439" s="10" t="n">
        <x:v>2</x:v>
      </x:c>
      <x:c r="F439" s="10" t="n">
        <x:v>1</x:v>
      </x:c>
      <x:c r="G439" s="10" t="n">
        <x:f>MIN(E439,3)</x:f>
        <x:v>2</x:v>
      </x:c>
      <x:c r="H439" s="10" t="n">
        <x:v>8</x:v>
      </x:c>
      <x:c r="I439" s="19" t="n">
        <x:v>0.4</x:v>
      </x:c>
      <x:c r="J439" s="19" t="n">
        <x:v>0.2</x:v>
      </x:c>
      <x:c r="K439" s="19" t="n">
        <x:v>0.5</x:v>
      </x:c>
    </x:row>
    <x:row r="440" ht="23" customHeight="1">
      <x:c r="A440" s="2" t="str">
        <x:v>D040_T02_C020_G050</x:v>
      </x:c>
      <x:c r="B440" s="2" t="str">
        <x:v>A0009</x:v>
      </x:c>
      <x:c r="C440" s="10" t="n">
        <x:v>2</x:v>
      </x:c>
      <x:c r="D440" s="10" t="n">
        <x:v>3</x:v>
      </x:c>
      <x:c r="E440" s="10" t="n">
        <x:v>1</x:v>
      </x:c>
      <x:c r="F440" s="10" t="n">
        <x:v>1</x:v>
      </x:c>
      <x:c r="G440" s="10" t="n">
        <x:f>MIN(E440,3)</x:f>
        <x:v>1</x:v>
      </x:c>
      <x:c r="H440" s="10" t="n">
        <x:v>8</x:v>
      </x:c>
      <x:c r="I440" s="19" t="n">
        <x:v>0.4</x:v>
      </x:c>
      <x:c r="J440" s="19" t="n">
        <x:v>0.2</x:v>
      </x:c>
      <x:c r="K440" s="19" t="n">
        <x:v>0.5</x:v>
      </x:c>
    </x:row>
    <x:row r="441" ht="23" customHeight="1">
      <x:c r="A441" s="2" t="str">
        <x:v>D040_T02_C020_G050</x:v>
      </x:c>
      <x:c r="B441" s="2" t="str">
        <x:v>A0011</x:v>
      </x:c>
      <x:c r="C441" s="10" t="n">
        <x:v>2</x:v>
      </x:c>
      <x:c r="D441" s="10" t="n">
        <x:v>4</x:v>
      </x:c>
      <x:c r="E441" s="10" t="n">
        <x:v>2</x:v>
      </x:c>
      <x:c r="F441" s="10" t="n">
        <x:v>1</x:v>
      </x:c>
      <x:c r="G441" s="10" t="n">
        <x:f>MIN(E441,3)</x:f>
        <x:v>2</x:v>
      </x:c>
      <x:c r="H441" s="10" t="n">
        <x:v>8</x:v>
      </x:c>
      <x:c r="I441" s="19" t="n">
        <x:v>0.4</x:v>
      </x:c>
      <x:c r="J441" s="19" t="n">
        <x:v>0.2</x:v>
      </x:c>
      <x:c r="K441" s="19" t="n">
        <x:v>0.5</x:v>
      </x:c>
    </x:row>
    <x:row r="442" ht="23" customHeight="1">
      <x:c r="A442" s="2" t="str">
        <x:v>D040_T02_C020_G050</x:v>
      </x:c>
      <x:c r="B442" s="2" t="str">
        <x:v>A0012</x:v>
      </x:c>
      <x:c r="C442" s="10" t="n">
        <x:v>2</x:v>
      </x:c>
      <x:c r="D442" s="10"/>
      <x:c r="E442" s="10" t="n">
        <x:v>8</x:v>
      </x:c>
      <x:c r="F442" s="10" t="n">
        <x:v>0</x:v>
      </x:c>
      <x:c r="G442" s="10" t="n">
        <x:f>MIN(E442,3)</x:f>
        <x:v>3</x:v>
      </x:c>
      <x:c r="H442" s="10" t="n">
        <x:v>8</x:v>
      </x:c>
      <x:c r="I442" s="19" t="n">
        <x:v>0.4</x:v>
      </x:c>
      <x:c r="J442" s="19" t="n">
        <x:v>0.2</x:v>
      </x:c>
      <x:c r="K442" s="19" t="n">
        <x:v>0.5</x:v>
      </x:c>
    </x:row>
    <x:row r="443" ht="23" customHeight="1">
      <x:c r="A443" s="2" t="str">
        <x:v>D040_T02_C020_G050</x:v>
      </x:c>
      <x:c r="B443" s="2" t="str">
        <x:v>A0014</x:v>
      </x:c>
      <x:c r="C443" s="10" t="n">
        <x:v>2</x:v>
      </x:c>
      <x:c r="D443" s="10" t="n">
        <x:v>2</x:v>
      </x:c>
      <x:c r="E443" s="10" t="n">
        <x:v>0</x:v>
      </x:c>
      <x:c r="F443" s="10" t="n">
        <x:v>1</x:v>
      </x:c>
      <x:c r="G443" s="10" t="n">
        <x:f>MIN(E443,3)</x:f>
        <x:v>0</x:v>
      </x:c>
      <x:c r="H443" s="10" t="n">
        <x:v>8</x:v>
      </x:c>
      <x:c r="I443" s="19" t="n">
        <x:v>0.4</x:v>
      </x:c>
      <x:c r="J443" s="19" t="n">
        <x:v>0.2</x:v>
      </x:c>
      <x:c r="K443" s="19" t="n">
        <x:v>0.5</x:v>
      </x:c>
    </x:row>
    <x:row r="444" ht="23" customHeight="1">
      <x:c r="A444" s="2" t="str">
        <x:v>D040_T02_C020_G050</x:v>
      </x:c>
      <x:c r="B444" s="2" t="str">
        <x:v>A0016</x:v>
      </x:c>
      <x:c r="C444" s="10" t="n">
        <x:v>2</x:v>
      </x:c>
      <x:c r="D444" s="10" t="n">
        <x:v>4</x:v>
      </x:c>
      <x:c r="E444" s="10" t="n">
        <x:v>2</x:v>
      </x:c>
      <x:c r="F444" s="10" t="n">
        <x:v>1</x:v>
      </x:c>
      <x:c r="G444" s="10" t="n">
        <x:f>MIN(E444,3)</x:f>
        <x:v>2</x:v>
      </x:c>
      <x:c r="H444" s="10" t="n">
        <x:v>8</x:v>
      </x:c>
      <x:c r="I444" s="19" t="n">
        <x:v>0.4</x:v>
      </x:c>
      <x:c r="J444" s="19" t="n">
        <x:v>0.2</x:v>
      </x:c>
      <x:c r="K444" s="19" t="n">
        <x:v>0.5</x:v>
      </x:c>
    </x:row>
    <x:row r="445" ht="23" customHeight="1">
      <x:c r="A445" s="2" t="str">
        <x:v>D040_T02_C020_G050</x:v>
      </x:c>
      <x:c r="B445" s="2" t="str">
        <x:v>A0017</x:v>
      </x:c>
      <x:c r="C445" s="10" t="n">
        <x:v>2</x:v>
      </x:c>
      <x:c r="D445" s="10" t="n">
        <x:v>4</x:v>
      </x:c>
      <x:c r="E445" s="10" t="n">
        <x:v>2</x:v>
      </x:c>
      <x:c r="F445" s="10" t="n">
        <x:v>1</x:v>
      </x:c>
      <x:c r="G445" s="10" t="n">
        <x:f>MIN(E445,3)</x:f>
        <x:v>2</x:v>
      </x:c>
      <x:c r="H445" s="10" t="n">
        <x:v>8</x:v>
      </x:c>
      <x:c r="I445" s="19" t="n">
        <x:v>0.4</x:v>
      </x:c>
      <x:c r="J445" s="19" t="n">
        <x:v>0.2</x:v>
      </x:c>
      <x:c r="K445" s="19" t="n">
        <x:v>0.5</x:v>
      </x:c>
    </x:row>
    <x:row r="446" ht="23" customHeight="1">
      <x:c r="A446" s="2" t="str">
        <x:v>D040_T02_C020_G050</x:v>
      </x:c>
      <x:c r="B446" s="2" t="str">
        <x:v>A0018</x:v>
      </x:c>
      <x:c r="C446" s="10" t="n">
        <x:v>2</x:v>
      </x:c>
      <x:c r="D446" s="10" t="n">
        <x:v>4</x:v>
      </x:c>
      <x:c r="E446" s="10" t="n">
        <x:v>2</x:v>
      </x:c>
      <x:c r="F446" s="10" t="n">
        <x:v>1</x:v>
      </x:c>
      <x:c r="G446" s="10" t="n">
        <x:f>MIN(E446,3)</x:f>
        <x:v>2</x:v>
      </x:c>
      <x:c r="H446" s="10" t="n">
        <x:v>8</x:v>
      </x:c>
      <x:c r="I446" s="19" t="n">
        <x:v>0.4</x:v>
      </x:c>
      <x:c r="J446" s="19" t="n">
        <x:v>0.2</x:v>
      </x:c>
      <x:c r="K446" s="19" t="n">
        <x:v>0.5</x:v>
      </x:c>
    </x:row>
    <x:row r="447" ht="23" customHeight="1">
      <x:c r="A447" s="2" t="str">
        <x:v>D040_T02_C020_G050</x:v>
      </x:c>
      <x:c r="B447" s="2" t="str">
        <x:v>A0020</x:v>
      </x:c>
      <x:c r="C447" s="10" t="n">
        <x:v>2</x:v>
      </x:c>
      <x:c r="D447" s="10" t="n">
        <x:v>2</x:v>
      </x:c>
      <x:c r="E447" s="10" t="n">
        <x:v>0</x:v>
      </x:c>
      <x:c r="F447" s="10" t="n">
        <x:v>1</x:v>
      </x:c>
      <x:c r="G447" s="10" t="n">
        <x:f>MIN(E447,3)</x:f>
        <x:v>0</x:v>
      </x:c>
      <x:c r="H447" s="10" t="n">
        <x:v>8</x:v>
      </x:c>
      <x:c r="I447" s="19" t="n">
        <x:v>0.4</x:v>
      </x:c>
      <x:c r="J447" s="19" t="n">
        <x:v>0.2</x:v>
      </x:c>
      <x:c r="K447" s="19" t="n">
        <x:v>0.5</x:v>
      </x:c>
    </x:row>
    <x:row r="448" ht="23" customHeight="1">
      <x:c r="A448" s="2" t="str">
        <x:v>D040_T02_C020_G050</x:v>
      </x:c>
      <x:c r="B448" s="2" t="str">
        <x:v>A0022</x:v>
      </x:c>
      <x:c r="C448" s="10" t="n">
        <x:v>2</x:v>
      </x:c>
      <x:c r="D448" s="10" t="n">
        <x:v>4</x:v>
      </x:c>
      <x:c r="E448" s="10" t="n">
        <x:v>2</x:v>
      </x:c>
      <x:c r="F448" s="10" t="n">
        <x:v>1</x:v>
      </x:c>
      <x:c r="G448" s="10" t="n">
        <x:f>MIN(E448,3)</x:f>
        <x:v>2</x:v>
      </x:c>
      <x:c r="H448" s="10" t="n">
        <x:v>8</x:v>
      </x:c>
      <x:c r="I448" s="19" t="n">
        <x:v>0.4</x:v>
      </x:c>
      <x:c r="J448" s="19" t="n">
        <x:v>0.2</x:v>
      </x:c>
      <x:c r="K448" s="19" t="n">
        <x:v>0.5</x:v>
      </x:c>
    </x:row>
    <x:row r="449" ht="23" customHeight="1">
      <x:c r="A449" s="2" t="str">
        <x:v>D040_T02_C020_G050</x:v>
      </x:c>
      <x:c r="B449" s="2" t="str">
        <x:v>A0024</x:v>
      </x:c>
      <x:c r="C449" s="10" t="n">
        <x:v>2</x:v>
      </x:c>
      <x:c r="D449" s="10" t="n">
        <x:v>4</x:v>
      </x:c>
      <x:c r="E449" s="10" t="n">
        <x:v>2</x:v>
      </x:c>
      <x:c r="F449" s="10" t="n">
        <x:v>1</x:v>
      </x:c>
      <x:c r="G449" s="10" t="n">
        <x:f>MIN(E449,3)</x:f>
        <x:v>2</x:v>
      </x:c>
      <x:c r="H449" s="10" t="n">
        <x:v>8</x:v>
      </x:c>
      <x:c r="I449" s="19" t="n">
        <x:v>0.4</x:v>
      </x:c>
      <x:c r="J449" s="19" t="n">
        <x:v>0.2</x:v>
      </x:c>
      <x:c r="K449" s="19" t="n">
        <x:v>0.5</x:v>
      </x:c>
    </x:row>
    <x:row r="450" ht="23" customHeight="1">
      <x:c r="A450" s="2" t="str">
        <x:v>D040_T02_C020_G050</x:v>
      </x:c>
      <x:c r="B450" s="2" t="str">
        <x:v>A0025</x:v>
      </x:c>
      <x:c r="C450" s="10" t="n">
        <x:v>2</x:v>
      </x:c>
      <x:c r="D450" s="10" t="n">
        <x:v>2</x:v>
      </x:c>
      <x:c r="E450" s="10" t="n">
        <x:v>0</x:v>
      </x:c>
      <x:c r="F450" s="10" t="n">
        <x:v>1</x:v>
      </x:c>
      <x:c r="G450" s="10" t="n">
        <x:f>MIN(E450,3)</x:f>
        <x:v>0</x:v>
      </x:c>
      <x:c r="H450" s="10" t="n">
        <x:v>8</x:v>
      </x:c>
      <x:c r="I450" s="19" t="n">
        <x:v>0.4</x:v>
      </x:c>
      <x:c r="J450" s="19" t="n">
        <x:v>0.2</x:v>
      </x:c>
      <x:c r="K450" s="19" t="n">
        <x:v>0.5</x:v>
      </x:c>
    </x:row>
    <x:row r="451" ht="23" customHeight="1">
      <x:c r="A451" s="2" t="str">
        <x:v>D040_T02_C020_G050</x:v>
      </x:c>
      <x:c r="B451" s="2" t="str">
        <x:v>A0026</x:v>
      </x:c>
      <x:c r="C451" s="10" t="n">
        <x:v>2</x:v>
      </x:c>
      <x:c r="D451" s="10" t="n">
        <x:v>2</x:v>
      </x:c>
      <x:c r="E451" s="10" t="n">
        <x:v>0</x:v>
      </x:c>
      <x:c r="F451" s="10" t="n">
        <x:v>1</x:v>
      </x:c>
      <x:c r="G451" s="10" t="n">
        <x:f>MIN(E451,3)</x:f>
        <x:v>0</x:v>
      </x:c>
      <x:c r="H451" s="10" t="n">
        <x:v>8</x:v>
      </x:c>
      <x:c r="I451" s="19" t="n">
        <x:v>0.4</x:v>
      </x:c>
      <x:c r="J451" s="19" t="n">
        <x:v>0.2</x:v>
      </x:c>
      <x:c r="K451" s="19" t="n">
        <x:v>0.5</x:v>
      </x:c>
    </x:row>
    <x:row r="452" ht="23" customHeight="1">
      <x:c r="A452" s="2" t="str">
        <x:v>D040_T02_C020_G050</x:v>
      </x:c>
      <x:c r="B452" s="2" t="str">
        <x:v>A0027</x:v>
      </x:c>
      <x:c r="C452" s="10" t="n">
        <x:v>2</x:v>
      </x:c>
      <x:c r="D452" s="10" t="n">
        <x:v>4</x:v>
      </x:c>
      <x:c r="E452" s="10" t="n">
        <x:v>2</x:v>
      </x:c>
      <x:c r="F452" s="10" t="n">
        <x:v>1</x:v>
      </x:c>
      <x:c r="G452" s="10" t="n">
        <x:f>MIN(E452,3)</x:f>
        <x:v>2</x:v>
      </x:c>
      <x:c r="H452" s="10" t="n">
        <x:v>8</x:v>
      </x:c>
      <x:c r="I452" s="19" t="n">
        <x:v>0.4</x:v>
      </x:c>
      <x:c r="J452" s="19" t="n">
        <x:v>0.2</x:v>
      </x:c>
      <x:c r="K452" s="19" t="n">
        <x:v>0.5</x:v>
      </x:c>
    </x:row>
    <x:row r="453" ht="23" customHeight="1">
      <x:c r="A453" s="2" t="str">
        <x:v>D040_T02_C020_G050</x:v>
      </x:c>
      <x:c r="B453" s="2" t="str">
        <x:v>A0029</x:v>
      </x:c>
      <x:c r="C453" s="10" t="n">
        <x:v>2</x:v>
      </x:c>
      <x:c r="D453" s="10" t="n">
        <x:v>4</x:v>
      </x:c>
      <x:c r="E453" s="10" t="n">
        <x:v>2</x:v>
      </x:c>
      <x:c r="F453" s="10" t="n">
        <x:v>1</x:v>
      </x:c>
      <x:c r="G453" s="10" t="n">
        <x:f>MIN(E453,3)</x:f>
        <x:v>2</x:v>
      </x:c>
      <x:c r="H453" s="10" t="n">
        <x:v>8</x:v>
      </x:c>
      <x:c r="I453" s="19" t="n">
        <x:v>0.4</x:v>
      </x:c>
      <x:c r="J453" s="19" t="n">
        <x:v>0.2</x:v>
      </x:c>
      <x:c r="K453" s="19" t="n">
        <x:v>0.5</x:v>
      </x:c>
    </x:row>
    <x:row r="454" ht="23" customHeight="1">
      <x:c r="A454" s="2" t="str">
        <x:v>D040_T02_C020_G050</x:v>
      </x:c>
      <x:c r="B454" s="2" t="str">
        <x:v>A0030</x:v>
      </x:c>
      <x:c r="C454" s="10" t="n">
        <x:v>2</x:v>
      </x:c>
      <x:c r="D454" s="10" t="n">
        <x:v>4</x:v>
      </x:c>
      <x:c r="E454" s="10" t="n">
        <x:v>2</x:v>
      </x:c>
      <x:c r="F454" s="10" t="n">
        <x:v>1</x:v>
      </x:c>
      <x:c r="G454" s="10" t="n">
        <x:f>MIN(E454,3)</x:f>
        <x:v>2</x:v>
      </x:c>
      <x:c r="H454" s="10" t="n">
        <x:v>8</x:v>
      </x:c>
      <x:c r="I454" s="19" t="n">
        <x:v>0.4</x:v>
      </x:c>
      <x:c r="J454" s="19" t="n">
        <x:v>0.2</x:v>
      </x:c>
      <x:c r="K454" s="19" t="n">
        <x:v>0.5</x:v>
      </x:c>
    </x:row>
    <x:row r="455" ht="23" customHeight="1">
      <x:c r="A455" s="2" t="str">
        <x:v>D040_T02_C020_G050</x:v>
      </x:c>
      <x:c r="B455" s="2" t="str">
        <x:v>A0032</x:v>
      </x:c>
      <x:c r="C455" s="10" t="n">
        <x:v>2</x:v>
      </x:c>
      <x:c r="D455" s="10" t="n">
        <x:v>2</x:v>
      </x:c>
      <x:c r="E455" s="10" t="n">
        <x:v>0</x:v>
      </x:c>
      <x:c r="F455" s="10" t="n">
        <x:v>1</x:v>
      </x:c>
      <x:c r="G455" s="10" t="n">
        <x:f>MIN(E455,3)</x:f>
        <x:v>0</x:v>
      </x:c>
      <x:c r="H455" s="10" t="n">
        <x:v>8</x:v>
      </x:c>
      <x:c r="I455" s="19" t="n">
        <x:v>0.4</x:v>
      </x:c>
      <x:c r="J455" s="19" t="n">
        <x:v>0.2</x:v>
      </x:c>
      <x:c r="K455" s="19" t="n">
        <x:v>0.5</x:v>
      </x:c>
    </x:row>
    <x:row r="456" ht="23" customHeight="1">
      <x:c r="A456" s="2" t="str">
        <x:v>D040_T02_C020_G050</x:v>
      </x:c>
      <x:c r="B456" s="2" t="str">
        <x:v>A0033</x:v>
      </x:c>
      <x:c r="C456" s="10" t="n">
        <x:v>2</x:v>
      </x:c>
      <x:c r="D456" s="10" t="n">
        <x:v>3</x:v>
      </x:c>
      <x:c r="E456" s="10" t="n">
        <x:v>1</x:v>
      </x:c>
      <x:c r="F456" s="10" t="n">
        <x:v>1</x:v>
      </x:c>
      <x:c r="G456" s="10" t="n">
        <x:f>MIN(E456,3)</x:f>
        <x:v>1</x:v>
      </x:c>
      <x:c r="H456" s="10" t="n">
        <x:v>8</x:v>
      </x:c>
      <x:c r="I456" s="19" t="n">
        <x:v>0.4</x:v>
      </x:c>
      <x:c r="J456" s="19" t="n">
        <x:v>0.2</x:v>
      </x:c>
      <x:c r="K456" s="19" t="n">
        <x:v>0.5</x:v>
      </x:c>
    </x:row>
    <x:row r="457" ht="23" customHeight="1">
      <x:c r="A457" s="2" t="str">
        <x:v>D040_T02_C020_G050</x:v>
      </x:c>
      <x:c r="B457" s="2" t="str">
        <x:v>A0035</x:v>
      </x:c>
      <x:c r="C457" s="10" t="n">
        <x:v>2</x:v>
      </x:c>
      <x:c r="D457" s="10" t="n">
        <x:v>3</x:v>
      </x:c>
      <x:c r="E457" s="10" t="n">
        <x:v>1</x:v>
      </x:c>
      <x:c r="F457" s="10" t="n">
        <x:v>1</x:v>
      </x:c>
      <x:c r="G457" s="10" t="n">
        <x:f>MIN(E457,3)</x:f>
        <x:v>1</x:v>
      </x:c>
      <x:c r="H457" s="10" t="n">
        <x:v>8</x:v>
      </x:c>
      <x:c r="I457" s="19" t="n">
        <x:v>0.4</x:v>
      </x:c>
      <x:c r="J457" s="19" t="n">
        <x:v>0.2</x:v>
      </x:c>
      <x:c r="K457" s="19" t="n">
        <x:v>0.5</x:v>
      </x:c>
    </x:row>
    <x:row r="458" ht="23" customHeight="1">
      <x:c r="A458" s="2" t="str">
        <x:v>D040_T02_C020_G050</x:v>
      </x:c>
      <x:c r="B458" s="2" t="str">
        <x:v>A0036</x:v>
      </x:c>
      <x:c r="C458" s="10" t="n">
        <x:v>2</x:v>
      </x:c>
      <x:c r="D458" s="10" t="n">
        <x:v>3</x:v>
      </x:c>
      <x:c r="E458" s="10" t="n">
        <x:v>1</x:v>
      </x:c>
      <x:c r="F458" s="10" t="n">
        <x:v>1</x:v>
      </x:c>
      <x:c r="G458" s="10" t="n">
        <x:f>MIN(E458,3)</x:f>
        <x:v>1</x:v>
      </x:c>
      <x:c r="H458" s="10" t="n">
        <x:v>8</x:v>
      </x:c>
      <x:c r="I458" s="19" t="n">
        <x:v>0.4</x:v>
      </x:c>
      <x:c r="J458" s="19" t="n">
        <x:v>0.2</x:v>
      </x:c>
      <x:c r="K458" s="19" t="n">
        <x:v>0.5</x:v>
      </x:c>
    </x:row>
    <x:row r="459" ht="23" customHeight="1">
      <x:c r="A459" s="2" t="str">
        <x:v>D040_T02_C020_G050</x:v>
      </x:c>
      <x:c r="B459" s="2" t="str">
        <x:v>A0037</x:v>
      </x:c>
      <x:c r="C459" s="10" t="n">
        <x:v>2</x:v>
      </x:c>
      <x:c r="D459" s="10" t="n">
        <x:v>4</x:v>
      </x:c>
      <x:c r="E459" s="10" t="n">
        <x:v>2</x:v>
      </x:c>
      <x:c r="F459" s="10" t="n">
        <x:v>1</x:v>
      </x:c>
      <x:c r="G459" s="10" t="n">
        <x:f>MIN(E459,3)</x:f>
        <x:v>2</x:v>
      </x:c>
      <x:c r="H459" s="10" t="n">
        <x:v>8</x:v>
      </x:c>
      <x:c r="I459" s="19" t="n">
        <x:v>0.4</x:v>
      </x:c>
      <x:c r="J459" s="19" t="n">
        <x:v>0.2</x:v>
      </x:c>
      <x:c r="K459" s="19" t="n">
        <x:v>0.5</x:v>
      </x:c>
    </x:row>
    <x:row r="460" ht="23" customHeight="1">
      <x:c r="A460" s="2" t="str">
        <x:v>D040_T02_C020_G050</x:v>
      </x:c>
      <x:c r="B460" s="2" t="str">
        <x:v>A0040</x:v>
      </x:c>
      <x:c r="C460" s="10" t="n">
        <x:v>2</x:v>
      </x:c>
      <x:c r="D460" s="10" t="n">
        <x:v>4</x:v>
      </x:c>
      <x:c r="E460" s="10" t="n">
        <x:v>2</x:v>
      </x:c>
      <x:c r="F460" s="10" t="n">
        <x:v>1</x:v>
      </x:c>
      <x:c r="G460" s="10" t="n">
        <x:f>MIN(E460,3)</x:f>
        <x:v>2</x:v>
      </x:c>
      <x:c r="H460" s="10" t="n">
        <x:v>8</x:v>
      </x:c>
      <x:c r="I460" s="19" t="n">
        <x:v>0.4</x:v>
      </x:c>
      <x:c r="J460" s="19" t="n">
        <x:v>0.2</x:v>
      </x:c>
      <x:c r="K460" s="19" t="n">
        <x:v>0.5</x:v>
      </x:c>
    </x:row>
    <x:row r="461" ht="23" customHeight="1">
      <x:c r="A461" s="2" t="str">
        <x:v>D040_T02_C020_G050</x:v>
      </x:c>
      <x:c r="B461" s="2" t="str">
        <x:v>A0041</x:v>
      </x:c>
      <x:c r="C461" s="10" t="n">
        <x:v>2</x:v>
      </x:c>
      <x:c r="D461" s="10" t="n">
        <x:v>5</x:v>
      </x:c>
      <x:c r="E461" s="10" t="n">
        <x:v>3</x:v>
      </x:c>
      <x:c r="F461" s="10" t="n">
        <x:v>1</x:v>
      </x:c>
      <x:c r="G461" s="10" t="n">
        <x:f>MIN(E461,3)</x:f>
        <x:v>3</x:v>
      </x:c>
      <x:c r="H461" s="10" t="n">
        <x:v>8</x:v>
      </x:c>
      <x:c r="I461" s="19" t="n">
        <x:v>0.4</x:v>
      </x:c>
      <x:c r="J461" s="19" t="n">
        <x:v>0.2</x:v>
      </x:c>
      <x:c r="K461" s="19" t="n">
        <x:v>0.5</x:v>
      </x:c>
    </x:row>
    <x:row r="462" ht="23" customHeight="1">
      <x:c r="A462" s="2" t="str">
        <x:v>D040_T02_C020_G050</x:v>
      </x:c>
      <x:c r="B462" s="2" t="str">
        <x:v>A0071</x:v>
      </x:c>
      <x:c r="C462" s="10" t="n">
        <x:v>2</x:v>
      </x:c>
      <x:c r="D462" s="10" t="n">
        <x:v>4</x:v>
      </x:c>
      <x:c r="E462" s="10" t="n">
        <x:v>2</x:v>
      </x:c>
      <x:c r="F462" s="10" t="n">
        <x:v>1</x:v>
      </x:c>
      <x:c r="G462" s="10" t="n">
        <x:f>MIN(E462,3)</x:f>
        <x:v>2</x:v>
      </x:c>
      <x:c r="H462" s="10" t="n">
        <x:v>8</x:v>
      </x:c>
      <x:c r="I462" s="19" t="n">
        <x:v>0.4</x:v>
      </x:c>
      <x:c r="J462" s="19" t="n">
        <x:v>0.2</x:v>
      </x:c>
      <x:c r="K462" s="19" t="n">
        <x:v>0.5</x:v>
      </x:c>
    </x:row>
    <x:row r="463" ht="23" customHeight="1">
      <x:c r="A463" s="2" t="str">
        <x:v>D040_T02_C020_G050</x:v>
      </x:c>
      <x:c r="B463" s="2" t="str">
        <x:v>A0090</x:v>
      </x:c>
      <x:c r="C463" s="10" t="n">
        <x:v>2</x:v>
      </x:c>
      <x:c r="D463" s="10" t="n">
        <x:v>3</x:v>
      </x:c>
      <x:c r="E463" s="10" t="n">
        <x:v>1</x:v>
      </x:c>
      <x:c r="F463" s="10" t="n">
        <x:v>1</x:v>
      </x:c>
      <x:c r="G463" s="10" t="n">
        <x:f>MIN(E463,3)</x:f>
        <x:v>1</x:v>
      </x:c>
      <x:c r="H463" s="10" t="n">
        <x:v>8</x:v>
      </x:c>
      <x:c r="I463" s="19" t="n">
        <x:v>0.4</x:v>
      </x:c>
      <x:c r="J463" s="19" t="n">
        <x:v>0.2</x:v>
      </x:c>
      <x:c r="K463" s="19" t="n">
        <x:v>0.5</x:v>
      </x:c>
    </x:row>
    <x:row r="464" ht="23" customHeight="1">
      <x:c r="A464" s="2" t="str">
        <x:v>D040_T02_C020_G050</x:v>
      </x:c>
      <x:c r="B464" s="2" t="str">
        <x:v>A0189</x:v>
      </x:c>
      <x:c r="C464" s="10" t="n">
        <x:v>2</x:v>
      </x:c>
      <x:c r="D464" s="10" t="n">
        <x:v>5</x:v>
      </x:c>
      <x:c r="E464" s="10" t="n">
        <x:v>3</x:v>
      </x:c>
      <x:c r="F464" s="10" t="n">
        <x:v>1</x:v>
      </x:c>
      <x:c r="G464" s="10" t="n">
        <x:f>MIN(E464,3)</x:f>
        <x:v>3</x:v>
      </x:c>
      <x:c r="H464" s="10" t="n">
        <x:v>8</x:v>
      </x:c>
      <x:c r="I464" s="19" t="n">
        <x:v>0.4</x:v>
      </x:c>
      <x:c r="J464" s="19" t="n">
        <x:v>0.2</x:v>
      </x:c>
      <x:c r="K464" s="19" t="n">
        <x:v>0.5</x:v>
      </x:c>
    </x:row>
    <x:row r="465" ht="23" customHeight="1">
      <x:c r="A465" s="2" t="str">
        <x:v>D040_T02_C020_G050</x:v>
      </x:c>
      <x:c r="B465" s="2" t="str">
        <x:v>A0206</x:v>
      </x:c>
      <x:c r="C465" s="10" t="n">
        <x:v>2</x:v>
      </x:c>
      <x:c r="D465" s="10" t="n">
        <x:v>2</x:v>
      </x:c>
      <x:c r="E465" s="10" t="n">
        <x:v>0</x:v>
      </x:c>
      <x:c r="F465" s="10" t="n">
        <x:v>1</x:v>
      </x:c>
      <x:c r="G465" s="10" t="n">
        <x:f>MIN(E465,3)</x:f>
        <x:v>0</x:v>
      </x:c>
      <x:c r="H465" s="10" t="n">
        <x:v>8</x:v>
      </x:c>
      <x:c r="I465" s="19" t="n">
        <x:v>0.4</x:v>
      </x:c>
      <x:c r="J465" s="19" t="n">
        <x:v>0.2</x:v>
      </x:c>
      <x:c r="K465" s="19" t="n">
        <x:v>0.5</x:v>
      </x:c>
    </x:row>
    <x:row r="466" ht="23" customHeight="1">
      <x:c r="A466" s="2" t="str">
        <x:v>D040_T02_C020_G075</x:v>
      </x:c>
      <x:c r="B466" s="2" t="str">
        <x:v>A0005</x:v>
      </x:c>
      <x:c r="C466" s="10" t="n">
        <x:v>2</x:v>
      </x:c>
      <x:c r="D466" s="10" t="n">
        <x:v>4</x:v>
      </x:c>
      <x:c r="E466" s="10" t="n">
        <x:v>2</x:v>
      </x:c>
      <x:c r="F466" s="10" t="n">
        <x:v>1</x:v>
      </x:c>
      <x:c r="G466" s="10" t="n">
        <x:f>MIN(E466,3)</x:f>
        <x:v>2</x:v>
      </x:c>
      <x:c r="H466" s="10" t="n">
        <x:v>8</x:v>
      </x:c>
      <x:c r="I466" s="19" t="n">
        <x:v>0.4</x:v>
      </x:c>
      <x:c r="J466" s="19" t="n">
        <x:v>0.2</x:v>
      </x:c>
      <x:c r="K466" s="19" t="n">
        <x:v>0.75</x:v>
      </x:c>
    </x:row>
    <x:row r="467" ht="23" customHeight="1">
      <x:c r="A467" s="2" t="str">
        <x:v>D040_T02_C020_G075</x:v>
      </x:c>
      <x:c r="B467" s="2" t="str">
        <x:v>A0008</x:v>
      </x:c>
      <x:c r="C467" s="10" t="n">
        <x:v>2</x:v>
      </x:c>
      <x:c r="D467" s="10" t="n">
        <x:v>4</x:v>
      </x:c>
      <x:c r="E467" s="10" t="n">
        <x:v>2</x:v>
      </x:c>
      <x:c r="F467" s="10" t="n">
        <x:v>1</x:v>
      </x:c>
      <x:c r="G467" s="10" t="n">
        <x:f>MIN(E467,3)</x:f>
        <x:v>2</x:v>
      </x:c>
      <x:c r="H467" s="10" t="n">
        <x:v>8</x:v>
      </x:c>
      <x:c r="I467" s="19" t="n">
        <x:v>0.4</x:v>
      </x:c>
      <x:c r="J467" s="19" t="n">
        <x:v>0.2</x:v>
      </x:c>
      <x:c r="K467" s="19" t="n">
        <x:v>0.75</x:v>
      </x:c>
    </x:row>
    <x:row r="468" ht="23" customHeight="1">
      <x:c r="A468" s="2" t="str">
        <x:v>D040_T02_C020_G075</x:v>
      </x:c>
      <x:c r="B468" s="2" t="str">
        <x:v>A0011</x:v>
      </x:c>
      <x:c r="C468" s="10" t="n">
        <x:v>2</x:v>
      </x:c>
      <x:c r="D468" s="10" t="n">
        <x:v>2</x:v>
      </x:c>
      <x:c r="E468" s="10" t="n">
        <x:v>0</x:v>
      </x:c>
      <x:c r="F468" s="10" t="n">
        <x:v>1</x:v>
      </x:c>
      <x:c r="G468" s="10" t="n">
        <x:f>MIN(E468,3)</x:f>
        <x:v>0</x:v>
      </x:c>
      <x:c r="H468" s="10" t="n">
        <x:v>8</x:v>
      </x:c>
      <x:c r="I468" s="19" t="n">
        <x:v>0.4</x:v>
      </x:c>
      <x:c r="J468" s="19" t="n">
        <x:v>0.2</x:v>
      </x:c>
      <x:c r="K468" s="19" t="n">
        <x:v>0.75</x:v>
      </x:c>
    </x:row>
    <x:row r="469" ht="23" customHeight="1">
      <x:c r="A469" s="2" t="str">
        <x:v>D040_T02_C020_G075</x:v>
      </x:c>
      <x:c r="B469" s="2" t="str">
        <x:v>A0012</x:v>
      </x:c>
      <x:c r="C469" s="10" t="n">
        <x:v>2</x:v>
      </x:c>
      <x:c r="D469" s="10" t="n">
        <x:v>4</x:v>
      </x:c>
      <x:c r="E469" s="10" t="n">
        <x:v>2</x:v>
      </x:c>
      <x:c r="F469" s="10" t="n">
        <x:v>1</x:v>
      </x:c>
      <x:c r="G469" s="10" t="n">
        <x:f>MIN(E469,3)</x:f>
        <x:v>2</x:v>
      </x:c>
      <x:c r="H469" s="10" t="n">
        <x:v>8</x:v>
      </x:c>
      <x:c r="I469" s="19" t="n">
        <x:v>0.4</x:v>
      </x:c>
      <x:c r="J469" s="19" t="n">
        <x:v>0.2</x:v>
      </x:c>
      <x:c r="K469" s="19" t="n">
        <x:v>0.75</x:v>
      </x:c>
    </x:row>
    <x:row r="470" ht="23" customHeight="1">
      <x:c r="A470" s="2" t="str">
        <x:v>D040_T02_C020_G075</x:v>
      </x:c>
      <x:c r="B470" s="2" t="str">
        <x:v>A0014</x:v>
      </x:c>
      <x:c r="C470" s="10" t="n">
        <x:v>2</x:v>
      </x:c>
      <x:c r="D470" s="10" t="n">
        <x:v>2</x:v>
      </x:c>
      <x:c r="E470" s="10" t="n">
        <x:v>0</x:v>
      </x:c>
      <x:c r="F470" s="10" t="n">
        <x:v>1</x:v>
      </x:c>
      <x:c r="G470" s="10" t="n">
        <x:f>MIN(E470,3)</x:f>
        <x:v>0</x:v>
      </x:c>
      <x:c r="H470" s="10" t="n">
        <x:v>8</x:v>
      </x:c>
      <x:c r="I470" s="19" t="n">
        <x:v>0.4</x:v>
      </x:c>
      <x:c r="J470" s="19" t="n">
        <x:v>0.2</x:v>
      </x:c>
      <x:c r="K470" s="19" t="n">
        <x:v>0.75</x:v>
      </x:c>
    </x:row>
    <x:row r="471" ht="23" customHeight="1">
      <x:c r="A471" s="2" t="str">
        <x:v>D040_T02_C020_G075</x:v>
      </x:c>
      <x:c r="B471" s="2" t="str">
        <x:v>A0015</x:v>
      </x:c>
      <x:c r="C471" s="10" t="n">
        <x:v>2</x:v>
      </x:c>
      <x:c r="D471" s="10" t="n">
        <x:v>5</x:v>
      </x:c>
      <x:c r="E471" s="10" t="n">
        <x:v>3</x:v>
      </x:c>
      <x:c r="F471" s="10" t="n">
        <x:v>1</x:v>
      </x:c>
      <x:c r="G471" s="10" t="n">
        <x:f>MIN(E471,3)</x:f>
        <x:v>3</x:v>
      </x:c>
      <x:c r="H471" s="10" t="n">
        <x:v>8</x:v>
      </x:c>
      <x:c r="I471" s="19" t="n">
        <x:v>0.4</x:v>
      </x:c>
      <x:c r="J471" s="19" t="n">
        <x:v>0.2</x:v>
      </x:c>
      <x:c r="K471" s="19" t="n">
        <x:v>0.75</x:v>
      </x:c>
    </x:row>
    <x:row r="472" ht="23" customHeight="1">
      <x:c r="A472" s="2" t="str">
        <x:v>D040_T02_C020_G075</x:v>
      </x:c>
      <x:c r="B472" s="2" t="str">
        <x:v>A0016</x:v>
      </x:c>
      <x:c r="C472" s="10" t="n">
        <x:v>2</x:v>
      </x:c>
      <x:c r="D472" s="10" t="n">
        <x:v>3</x:v>
      </x:c>
      <x:c r="E472" s="10" t="n">
        <x:v>1</x:v>
      </x:c>
      <x:c r="F472" s="10" t="n">
        <x:v>1</x:v>
      </x:c>
      <x:c r="G472" s="10" t="n">
        <x:f>MIN(E472,3)</x:f>
        <x:v>1</x:v>
      </x:c>
      <x:c r="H472" s="10" t="n">
        <x:v>8</x:v>
      </x:c>
      <x:c r="I472" s="19" t="n">
        <x:v>0.4</x:v>
      </x:c>
      <x:c r="J472" s="19" t="n">
        <x:v>0.2</x:v>
      </x:c>
      <x:c r="K472" s="19" t="n">
        <x:v>0.75</x:v>
      </x:c>
    </x:row>
    <x:row r="473" ht="23" customHeight="1">
      <x:c r="A473" s="2" t="str">
        <x:v>D040_T02_C020_G075</x:v>
      </x:c>
      <x:c r="B473" s="2" t="str">
        <x:v>A0017</x:v>
      </x:c>
      <x:c r="C473" s="10" t="n">
        <x:v>2</x:v>
      </x:c>
      <x:c r="D473" s="10" t="n">
        <x:v>4</x:v>
      </x:c>
      <x:c r="E473" s="10" t="n">
        <x:v>2</x:v>
      </x:c>
      <x:c r="F473" s="10" t="n">
        <x:v>1</x:v>
      </x:c>
      <x:c r="G473" s="10" t="n">
        <x:f>MIN(E473,3)</x:f>
        <x:v>2</x:v>
      </x:c>
      <x:c r="H473" s="10" t="n">
        <x:v>8</x:v>
      </x:c>
      <x:c r="I473" s="19" t="n">
        <x:v>0.4</x:v>
      </x:c>
      <x:c r="J473" s="19" t="n">
        <x:v>0.2</x:v>
      </x:c>
      <x:c r="K473" s="19" t="n">
        <x:v>0.75</x:v>
      </x:c>
    </x:row>
    <x:row r="474" ht="23" customHeight="1">
      <x:c r="A474" s="2" t="str">
        <x:v>D040_T02_C020_G075</x:v>
      </x:c>
      <x:c r="B474" s="2" t="str">
        <x:v>A0018</x:v>
      </x:c>
      <x:c r="C474" s="10" t="n">
        <x:v>2</x:v>
      </x:c>
      <x:c r="D474" s="10" t="n">
        <x:v>4</x:v>
      </x:c>
      <x:c r="E474" s="10" t="n">
        <x:v>2</x:v>
      </x:c>
      <x:c r="F474" s="10" t="n">
        <x:v>1</x:v>
      </x:c>
      <x:c r="G474" s="10" t="n">
        <x:f>MIN(E474,3)</x:f>
        <x:v>2</x:v>
      </x:c>
      <x:c r="H474" s="10" t="n">
        <x:v>8</x:v>
      </x:c>
      <x:c r="I474" s="19" t="n">
        <x:v>0.4</x:v>
      </x:c>
      <x:c r="J474" s="19" t="n">
        <x:v>0.2</x:v>
      </x:c>
      <x:c r="K474" s="19" t="n">
        <x:v>0.75</x:v>
      </x:c>
    </x:row>
    <x:row r="475" ht="23" customHeight="1">
      <x:c r="A475" s="2" t="str">
        <x:v>D040_T02_C020_G075</x:v>
      </x:c>
      <x:c r="B475" s="2" t="str">
        <x:v>A0019</x:v>
      </x:c>
      <x:c r="C475" s="10" t="n">
        <x:v>2</x:v>
      </x:c>
      <x:c r="D475" s="10" t="n">
        <x:v>4</x:v>
      </x:c>
      <x:c r="E475" s="10" t="n">
        <x:v>2</x:v>
      </x:c>
      <x:c r="F475" s="10" t="n">
        <x:v>1</x:v>
      </x:c>
      <x:c r="G475" s="10" t="n">
        <x:f>MIN(E475,3)</x:f>
        <x:v>2</x:v>
      </x:c>
      <x:c r="H475" s="10" t="n">
        <x:v>8</x:v>
      </x:c>
      <x:c r="I475" s="19" t="n">
        <x:v>0.4</x:v>
      </x:c>
      <x:c r="J475" s="19" t="n">
        <x:v>0.2</x:v>
      </x:c>
      <x:c r="K475" s="19" t="n">
        <x:v>0.75</x:v>
      </x:c>
    </x:row>
    <x:row r="476" ht="23" customHeight="1">
      <x:c r="A476" s="2" t="str">
        <x:v>D040_T02_C020_G075</x:v>
      </x:c>
      <x:c r="B476" s="2" t="str">
        <x:v>A0020</x:v>
      </x:c>
      <x:c r="C476" s="10" t="n">
        <x:v>2</x:v>
      </x:c>
      <x:c r="D476" s="10" t="n">
        <x:v>2</x:v>
      </x:c>
      <x:c r="E476" s="10" t="n">
        <x:v>0</x:v>
      </x:c>
      <x:c r="F476" s="10" t="n">
        <x:v>1</x:v>
      </x:c>
      <x:c r="G476" s="10" t="n">
        <x:f>MIN(E476,3)</x:f>
        <x:v>0</x:v>
      </x:c>
      <x:c r="H476" s="10" t="n">
        <x:v>8</x:v>
      </x:c>
      <x:c r="I476" s="19" t="n">
        <x:v>0.4</x:v>
      </x:c>
      <x:c r="J476" s="19" t="n">
        <x:v>0.2</x:v>
      </x:c>
      <x:c r="K476" s="19" t="n">
        <x:v>0.75</x:v>
      </x:c>
    </x:row>
    <x:row r="477" ht="23" customHeight="1">
      <x:c r="A477" s="2" t="str">
        <x:v>D040_T02_C020_G075</x:v>
      </x:c>
      <x:c r="B477" s="2" t="str">
        <x:v>A0023</x:v>
      </x:c>
      <x:c r="C477" s="10" t="n">
        <x:v>2</x:v>
      </x:c>
      <x:c r="D477" s="10" t="n">
        <x:v>4</x:v>
      </x:c>
      <x:c r="E477" s="10" t="n">
        <x:v>2</x:v>
      </x:c>
      <x:c r="F477" s="10" t="n">
        <x:v>1</x:v>
      </x:c>
      <x:c r="G477" s="10" t="n">
        <x:f>MIN(E477,3)</x:f>
        <x:v>2</x:v>
      </x:c>
      <x:c r="H477" s="10" t="n">
        <x:v>8</x:v>
      </x:c>
      <x:c r="I477" s="19" t="n">
        <x:v>0.4</x:v>
      </x:c>
      <x:c r="J477" s="19" t="n">
        <x:v>0.2</x:v>
      </x:c>
      <x:c r="K477" s="19" t="n">
        <x:v>0.75</x:v>
      </x:c>
    </x:row>
    <x:row r="478" ht="23" customHeight="1">
      <x:c r="A478" s="2" t="str">
        <x:v>D040_T02_C020_G075</x:v>
      </x:c>
      <x:c r="B478" s="2" t="str">
        <x:v>A0024</x:v>
      </x:c>
      <x:c r="C478" s="10" t="n">
        <x:v>2</x:v>
      </x:c>
      <x:c r="D478" s="10" t="n">
        <x:v>5</x:v>
      </x:c>
      <x:c r="E478" s="10" t="n">
        <x:v>3</x:v>
      </x:c>
      <x:c r="F478" s="10" t="n">
        <x:v>1</x:v>
      </x:c>
      <x:c r="G478" s="10" t="n">
        <x:f>MIN(E478,3)</x:f>
        <x:v>3</x:v>
      </x:c>
      <x:c r="H478" s="10" t="n">
        <x:v>8</x:v>
      </x:c>
      <x:c r="I478" s="19" t="n">
        <x:v>0.4</x:v>
      </x:c>
      <x:c r="J478" s="19" t="n">
        <x:v>0.2</x:v>
      </x:c>
      <x:c r="K478" s="19" t="n">
        <x:v>0.75</x:v>
      </x:c>
    </x:row>
    <x:row r="479" ht="23" customHeight="1">
      <x:c r="A479" s="2" t="str">
        <x:v>D040_T02_C020_G075</x:v>
      </x:c>
      <x:c r="B479" s="2" t="str">
        <x:v>A0025</x:v>
      </x:c>
      <x:c r="C479" s="10" t="n">
        <x:v>2</x:v>
      </x:c>
      <x:c r="D479" s="10" t="n">
        <x:v>2</x:v>
      </x:c>
      <x:c r="E479" s="10" t="n">
        <x:v>0</x:v>
      </x:c>
      <x:c r="F479" s="10" t="n">
        <x:v>1</x:v>
      </x:c>
      <x:c r="G479" s="10" t="n">
        <x:f>MIN(E479,3)</x:f>
        <x:v>0</x:v>
      </x:c>
      <x:c r="H479" s="10" t="n">
        <x:v>8</x:v>
      </x:c>
      <x:c r="I479" s="19" t="n">
        <x:v>0.4</x:v>
      </x:c>
      <x:c r="J479" s="19" t="n">
        <x:v>0.2</x:v>
      </x:c>
      <x:c r="K479" s="19" t="n">
        <x:v>0.75</x:v>
      </x:c>
    </x:row>
    <x:row r="480" ht="23" customHeight="1">
      <x:c r="A480" s="2" t="str">
        <x:v>D040_T02_C020_G075</x:v>
      </x:c>
      <x:c r="B480" s="2" t="str">
        <x:v>A0027</x:v>
      </x:c>
      <x:c r="C480" s="10" t="n">
        <x:v>2</x:v>
      </x:c>
      <x:c r="D480" s="10" t="n">
        <x:v>3</x:v>
      </x:c>
      <x:c r="E480" s="10" t="n">
        <x:v>1</x:v>
      </x:c>
      <x:c r="F480" s="10" t="n">
        <x:v>1</x:v>
      </x:c>
      <x:c r="G480" s="10" t="n">
        <x:f>MIN(E480,3)</x:f>
        <x:v>1</x:v>
      </x:c>
      <x:c r="H480" s="10" t="n">
        <x:v>8</x:v>
      </x:c>
      <x:c r="I480" s="19" t="n">
        <x:v>0.4</x:v>
      </x:c>
      <x:c r="J480" s="19" t="n">
        <x:v>0.2</x:v>
      </x:c>
      <x:c r="K480" s="19" t="n">
        <x:v>0.75</x:v>
      </x:c>
    </x:row>
    <x:row r="481" ht="23" customHeight="1">
      <x:c r="A481" s="2" t="str">
        <x:v>D040_T02_C020_G075</x:v>
      </x:c>
      <x:c r="B481" s="2" t="str">
        <x:v>A0029</x:v>
      </x:c>
      <x:c r="C481" s="10" t="n">
        <x:v>2</x:v>
      </x:c>
      <x:c r="D481" s="10" t="n">
        <x:v>3</x:v>
      </x:c>
      <x:c r="E481" s="10" t="n">
        <x:v>1</x:v>
      </x:c>
      <x:c r="F481" s="10" t="n">
        <x:v>1</x:v>
      </x:c>
      <x:c r="G481" s="10" t="n">
        <x:f>MIN(E481,3)</x:f>
        <x:v>1</x:v>
      </x:c>
      <x:c r="H481" s="10" t="n">
        <x:v>8</x:v>
      </x:c>
      <x:c r="I481" s="19" t="n">
        <x:v>0.4</x:v>
      </x:c>
      <x:c r="J481" s="19" t="n">
        <x:v>0.2</x:v>
      </x:c>
      <x:c r="K481" s="19" t="n">
        <x:v>0.75</x:v>
      </x:c>
    </x:row>
    <x:row r="482" ht="23" customHeight="1">
      <x:c r="A482" s="2" t="str">
        <x:v>D040_T02_C020_G075</x:v>
      </x:c>
      <x:c r="B482" s="2" t="str">
        <x:v>A0030</x:v>
      </x:c>
      <x:c r="C482" s="10" t="n">
        <x:v>2</x:v>
      </x:c>
      <x:c r="D482" s="10" t="n">
        <x:v>4</x:v>
      </x:c>
      <x:c r="E482" s="10" t="n">
        <x:v>2</x:v>
      </x:c>
      <x:c r="F482" s="10" t="n">
        <x:v>1</x:v>
      </x:c>
      <x:c r="G482" s="10" t="n">
        <x:f>MIN(E482,3)</x:f>
        <x:v>2</x:v>
      </x:c>
      <x:c r="H482" s="10" t="n">
        <x:v>8</x:v>
      </x:c>
      <x:c r="I482" s="19" t="n">
        <x:v>0.4</x:v>
      </x:c>
      <x:c r="J482" s="19" t="n">
        <x:v>0.2</x:v>
      </x:c>
      <x:c r="K482" s="19" t="n">
        <x:v>0.75</x:v>
      </x:c>
    </x:row>
    <x:row r="483" ht="23" customHeight="1">
      <x:c r="A483" s="2" t="str">
        <x:v>D040_T02_C020_G075</x:v>
      </x:c>
      <x:c r="B483" s="2" t="str">
        <x:v>A0031</x:v>
      </x:c>
      <x:c r="C483" s="10" t="n">
        <x:v>2</x:v>
      </x:c>
      <x:c r="D483" s="10" t="n">
        <x:v>3</x:v>
      </x:c>
      <x:c r="E483" s="10" t="n">
        <x:v>1</x:v>
      </x:c>
      <x:c r="F483" s="10" t="n">
        <x:v>1</x:v>
      </x:c>
      <x:c r="G483" s="10" t="n">
        <x:f>MIN(E483,3)</x:f>
        <x:v>1</x:v>
      </x:c>
      <x:c r="H483" s="10" t="n">
        <x:v>8</x:v>
      </x:c>
      <x:c r="I483" s="19" t="n">
        <x:v>0.4</x:v>
      </x:c>
      <x:c r="J483" s="19" t="n">
        <x:v>0.2</x:v>
      </x:c>
      <x:c r="K483" s="19" t="n">
        <x:v>0.75</x:v>
      </x:c>
    </x:row>
    <x:row r="484" ht="23" customHeight="1">
      <x:c r="A484" s="2" t="str">
        <x:v>D040_T02_C020_G075</x:v>
      </x:c>
      <x:c r="B484" s="2" t="str">
        <x:v>A0032</x:v>
      </x:c>
      <x:c r="C484" s="10" t="n">
        <x:v>2</x:v>
      </x:c>
      <x:c r="D484" s="10" t="n">
        <x:v>2</x:v>
      </x:c>
      <x:c r="E484" s="10" t="n">
        <x:v>0</x:v>
      </x:c>
      <x:c r="F484" s="10" t="n">
        <x:v>1</x:v>
      </x:c>
      <x:c r="G484" s="10" t="n">
        <x:f>MIN(E484,3)</x:f>
        <x:v>0</x:v>
      </x:c>
      <x:c r="H484" s="10" t="n">
        <x:v>8</x:v>
      </x:c>
      <x:c r="I484" s="19" t="n">
        <x:v>0.4</x:v>
      </x:c>
      <x:c r="J484" s="19" t="n">
        <x:v>0.2</x:v>
      </x:c>
      <x:c r="K484" s="19" t="n">
        <x:v>0.75</x:v>
      </x:c>
    </x:row>
    <x:row r="485" ht="23" customHeight="1">
      <x:c r="A485" s="2" t="str">
        <x:v>D040_T02_C020_G075</x:v>
      </x:c>
      <x:c r="B485" s="2" t="str">
        <x:v>A0033</x:v>
      </x:c>
      <x:c r="C485" s="10" t="n">
        <x:v>2</x:v>
      </x:c>
      <x:c r="D485" s="10" t="n">
        <x:v>3</x:v>
      </x:c>
      <x:c r="E485" s="10" t="n">
        <x:v>1</x:v>
      </x:c>
      <x:c r="F485" s="10" t="n">
        <x:v>1</x:v>
      </x:c>
      <x:c r="G485" s="10" t="n">
        <x:f>MIN(E485,3)</x:f>
        <x:v>1</x:v>
      </x:c>
      <x:c r="H485" s="10" t="n">
        <x:v>8</x:v>
      </x:c>
      <x:c r="I485" s="19" t="n">
        <x:v>0.4</x:v>
      </x:c>
      <x:c r="J485" s="19" t="n">
        <x:v>0.2</x:v>
      </x:c>
      <x:c r="K485" s="19" t="n">
        <x:v>0.75</x:v>
      </x:c>
    </x:row>
    <x:row r="486" ht="23" customHeight="1">
      <x:c r="A486" s="2" t="str">
        <x:v>D040_T02_C020_G075</x:v>
      </x:c>
      <x:c r="B486" s="2" t="str">
        <x:v>A0034</x:v>
      </x:c>
      <x:c r="C486" s="10" t="n">
        <x:v>2</x:v>
      </x:c>
      <x:c r="D486" s="10" t="n">
        <x:v>5</x:v>
      </x:c>
      <x:c r="E486" s="10" t="n">
        <x:v>3</x:v>
      </x:c>
      <x:c r="F486" s="10" t="n">
        <x:v>1</x:v>
      </x:c>
      <x:c r="G486" s="10" t="n">
        <x:f>MIN(E486,3)</x:f>
        <x:v>3</x:v>
      </x:c>
      <x:c r="H486" s="10" t="n">
        <x:v>8</x:v>
      </x:c>
      <x:c r="I486" s="19" t="n">
        <x:v>0.4</x:v>
      </x:c>
      <x:c r="J486" s="19" t="n">
        <x:v>0.2</x:v>
      </x:c>
      <x:c r="K486" s="19" t="n">
        <x:v>0.75</x:v>
      </x:c>
    </x:row>
    <x:row r="487" ht="23" customHeight="1">
      <x:c r="A487" s="2" t="str">
        <x:v>D040_T02_C020_G075</x:v>
      </x:c>
      <x:c r="B487" s="2" t="str">
        <x:v>A0035</x:v>
      </x:c>
      <x:c r="C487" s="10" t="n">
        <x:v>2</x:v>
      </x:c>
      <x:c r="D487" s="10" t="n">
        <x:v>4</x:v>
      </x:c>
      <x:c r="E487" s="10" t="n">
        <x:v>2</x:v>
      </x:c>
      <x:c r="F487" s="10" t="n">
        <x:v>1</x:v>
      </x:c>
      <x:c r="G487" s="10" t="n">
        <x:f>MIN(E487,3)</x:f>
        <x:v>2</x:v>
      </x:c>
      <x:c r="H487" s="10" t="n">
        <x:v>8</x:v>
      </x:c>
      <x:c r="I487" s="19" t="n">
        <x:v>0.4</x:v>
      </x:c>
      <x:c r="J487" s="19" t="n">
        <x:v>0.2</x:v>
      </x:c>
      <x:c r="K487" s="19" t="n">
        <x:v>0.75</x:v>
      </x:c>
    </x:row>
    <x:row r="488" ht="23" customHeight="1">
      <x:c r="A488" s="2" t="str">
        <x:v>D040_T02_C020_G075</x:v>
      </x:c>
      <x:c r="B488" s="2" t="str">
        <x:v>A0036</x:v>
      </x:c>
      <x:c r="C488" s="10" t="n">
        <x:v>2</x:v>
      </x:c>
      <x:c r="D488" s="10" t="n">
        <x:v>3</x:v>
      </x:c>
      <x:c r="E488" s="10" t="n">
        <x:v>1</x:v>
      </x:c>
      <x:c r="F488" s="10" t="n">
        <x:v>1</x:v>
      </x:c>
      <x:c r="G488" s="10" t="n">
        <x:f>MIN(E488,3)</x:f>
        <x:v>1</x:v>
      </x:c>
      <x:c r="H488" s="10" t="n">
        <x:v>8</x:v>
      </x:c>
      <x:c r="I488" s="19" t="n">
        <x:v>0.4</x:v>
      </x:c>
      <x:c r="J488" s="19" t="n">
        <x:v>0.2</x:v>
      </x:c>
      <x:c r="K488" s="19" t="n">
        <x:v>0.75</x:v>
      </x:c>
    </x:row>
    <x:row r="489" ht="23" customHeight="1">
      <x:c r="A489" s="2" t="str">
        <x:v>D040_T02_C020_G075</x:v>
      </x:c>
      <x:c r="B489" s="2" t="str">
        <x:v>A0037</x:v>
      </x:c>
      <x:c r="C489" s="10" t="n">
        <x:v>2</x:v>
      </x:c>
      <x:c r="D489" s="10" t="n">
        <x:v>3</x:v>
      </x:c>
      <x:c r="E489" s="10" t="n">
        <x:v>1</x:v>
      </x:c>
      <x:c r="F489" s="10" t="n">
        <x:v>1</x:v>
      </x:c>
      <x:c r="G489" s="10" t="n">
        <x:f>MIN(E489,3)</x:f>
        <x:v>1</x:v>
      </x:c>
      <x:c r="H489" s="10" t="n">
        <x:v>8</x:v>
      </x:c>
      <x:c r="I489" s="19" t="n">
        <x:v>0.4</x:v>
      </x:c>
      <x:c r="J489" s="19" t="n">
        <x:v>0.2</x:v>
      </x:c>
      <x:c r="K489" s="19" t="n">
        <x:v>0.75</x:v>
      </x:c>
    </x:row>
    <x:row r="490" ht="23" customHeight="1">
      <x:c r="A490" s="2" t="str">
        <x:v>D040_T02_C020_G075</x:v>
      </x:c>
      <x:c r="B490" s="2" t="str">
        <x:v>A0038</x:v>
      </x:c>
      <x:c r="C490" s="10" t="n">
        <x:v>2</x:v>
      </x:c>
      <x:c r="D490" s="10" t="n">
        <x:v>4</x:v>
      </x:c>
      <x:c r="E490" s="10" t="n">
        <x:v>2</x:v>
      </x:c>
      <x:c r="F490" s="10" t="n">
        <x:v>1</x:v>
      </x:c>
      <x:c r="G490" s="10" t="n">
        <x:f>MIN(E490,3)</x:f>
        <x:v>2</x:v>
      </x:c>
      <x:c r="H490" s="10" t="n">
        <x:v>8</x:v>
      </x:c>
      <x:c r="I490" s="19" t="n">
        <x:v>0.4</x:v>
      </x:c>
      <x:c r="J490" s="19" t="n">
        <x:v>0.2</x:v>
      </x:c>
      <x:c r="K490" s="19" t="n">
        <x:v>0.75</x:v>
      </x:c>
    </x:row>
    <x:row r="491" ht="23" customHeight="1">
      <x:c r="A491" s="2" t="str">
        <x:v>D040_T02_C020_G075</x:v>
      </x:c>
      <x:c r="B491" s="2" t="str">
        <x:v>A0040</x:v>
      </x:c>
      <x:c r="C491" s="10" t="n">
        <x:v>2</x:v>
      </x:c>
      <x:c r="D491" s="10" t="n">
        <x:v>4</x:v>
      </x:c>
      <x:c r="E491" s="10" t="n">
        <x:v>2</x:v>
      </x:c>
      <x:c r="F491" s="10" t="n">
        <x:v>1</x:v>
      </x:c>
      <x:c r="G491" s="10" t="n">
        <x:f>MIN(E491,3)</x:f>
        <x:v>2</x:v>
      </x:c>
      <x:c r="H491" s="10" t="n">
        <x:v>8</x:v>
      </x:c>
      <x:c r="I491" s="19" t="n">
        <x:v>0.4</x:v>
      </x:c>
      <x:c r="J491" s="19" t="n">
        <x:v>0.2</x:v>
      </x:c>
      <x:c r="K491" s="19" t="n">
        <x:v>0.75</x:v>
      </x:c>
    </x:row>
    <x:row r="492" ht="23" customHeight="1">
      <x:c r="A492" s="2" t="str">
        <x:v>D040_T02_C020_G075</x:v>
      </x:c>
      <x:c r="B492" s="2" t="str">
        <x:v>A0041</x:v>
      </x:c>
      <x:c r="C492" s="10" t="n">
        <x:v>2</x:v>
      </x:c>
      <x:c r="D492" s="10" t="n">
        <x:v>3</x:v>
      </x:c>
      <x:c r="E492" s="10" t="n">
        <x:v>1</x:v>
      </x:c>
      <x:c r="F492" s="10" t="n">
        <x:v>1</x:v>
      </x:c>
      <x:c r="G492" s="10" t="n">
        <x:f>MIN(E492,3)</x:f>
        <x:v>1</x:v>
      </x:c>
      <x:c r="H492" s="10" t="n">
        <x:v>8</x:v>
      </x:c>
      <x:c r="I492" s="19" t="n">
        <x:v>0.4</x:v>
      </x:c>
      <x:c r="J492" s="19" t="n">
        <x:v>0.2</x:v>
      </x:c>
      <x:c r="K492" s="19" t="n">
        <x:v>0.75</x:v>
      </x:c>
    </x:row>
    <x:row r="493" ht="23" customHeight="1">
      <x:c r="A493" s="2" t="str">
        <x:v>D040_T02_C020_G075</x:v>
      </x:c>
      <x:c r="B493" s="2" t="str">
        <x:v>A0042</x:v>
      </x:c>
      <x:c r="C493" s="10" t="n">
        <x:v>2</x:v>
      </x:c>
      <x:c r="D493" s="10" t="n">
        <x:v>3</x:v>
      </x:c>
      <x:c r="E493" s="10" t="n">
        <x:v>1</x:v>
      </x:c>
      <x:c r="F493" s="10" t="n">
        <x:v>1</x:v>
      </x:c>
      <x:c r="G493" s="10" t="n">
        <x:f>MIN(E493,3)</x:f>
        <x:v>1</x:v>
      </x:c>
      <x:c r="H493" s="10" t="n">
        <x:v>8</x:v>
      </x:c>
      <x:c r="I493" s="19" t="n">
        <x:v>0.4</x:v>
      </x:c>
      <x:c r="J493" s="19" t="n">
        <x:v>0.2</x:v>
      </x:c>
      <x:c r="K493" s="19" t="n">
        <x:v>0.75</x:v>
      </x:c>
    </x:row>
    <x:row r="494" ht="23" customHeight="1">
      <x:c r="A494" s="2" t="str">
        <x:v>D040_T02_C020_G075</x:v>
      </x:c>
      <x:c r="B494" s="2" t="str">
        <x:v>A0071</x:v>
      </x:c>
      <x:c r="C494" s="10" t="n">
        <x:v>2</x:v>
      </x:c>
      <x:c r="D494" s="10" t="n">
        <x:v>3</x:v>
      </x:c>
      <x:c r="E494" s="10" t="n">
        <x:v>1</x:v>
      </x:c>
      <x:c r="F494" s="10" t="n">
        <x:v>1</x:v>
      </x:c>
      <x:c r="G494" s="10" t="n">
        <x:f>MIN(E494,3)</x:f>
        <x:v>1</x:v>
      </x:c>
      <x:c r="H494" s="10" t="n">
        <x:v>8</x:v>
      </x:c>
      <x:c r="I494" s="19" t="n">
        <x:v>0.4</x:v>
      </x:c>
      <x:c r="J494" s="19" t="n">
        <x:v>0.2</x:v>
      </x:c>
      <x:c r="K494" s="19" t="n">
        <x:v>0.75</x:v>
      </x:c>
    </x:row>
    <x:row r="495" ht="23" customHeight="1">
      <x:c r="A495" s="2" t="str">
        <x:v>D040_T02_C020_G075</x:v>
      </x:c>
      <x:c r="B495" s="2" t="str">
        <x:v>A0189</x:v>
      </x:c>
      <x:c r="C495" s="10" t="n">
        <x:v>2</x:v>
      </x:c>
      <x:c r="D495" s="10" t="n">
        <x:v>3</x:v>
      </x:c>
      <x:c r="E495" s="10" t="n">
        <x:v>1</x:v>
      </x:c>
      <x:c r="F495" s="10" t="n">
        <x:v>1</x:v>
      </x:c>
      <x:c r="G495" s="10" t="n">
        <x:f>MIN(E495,3)</x:f>
        <x:v>1</x:v>
      </x:c>
      <x:c r="H495" s="10" t="n">
        <x:v>8</x:v>
      </x:c>
      <x:c r="I495" s="19" t="n">
        <x:v>0.4</x:v>
      </x:c>
      <x:c r="J495" s="19" t="n">
        <x:v>0.2</x:v>
      </x:c>
      <x:c r="K495" s="19" t="n">
        <x:v>0.75</x:v>
      </x:c>
    </x:row>
    <x:row r="496" ht="23" customHeight="1">
      <x:c r="A496" s="2" t="str">
        <x:v>D040_T02_C020_G075</x:v>
      </x:c>
      <x:c r="B496" s="2" t="str">
        <x:v>A0206</x:v>
      </x:c>
      <x:c r="C496" s="10" t="n">
        <x:v>2</x:v>
      </x:c>
      <x:c r="D496" s="10" t="n">
        <x:v>2</x:v>
      </x:c>
      <x:c r="E496" s="10" t="n">
        <x:v>0</x:v>
      </x:c>
      <x:c r="F496" s="10" t="n">
        <x:v>1</x:v>
      </x:c>
      <x:c r="G496" s="10" t="n">
        <x:f>MIN(E496,3)</x:f>
        <x:v>0</x:v>
      </x:c>
      <x:c r="H496" s="10" t="n">
        <x:v>8</x:v>
      </x:c>
      <x:c r="I496" s="19" t="n">
        <x:v>0.4</x:v>
      </x:c>
      <x:c r="J496" s="19" t="n">
        <x:v>0.2</x:v>
      </x:c>
      <x:c r="K496" s="19" t="n">
        <x:v>0.75</x:v>
      </x:c>
    </x:row>
    <x:row r="497" ht="23" customHeight="1">
      <x:c r="A497" s="2" t="str">
        <x:v>D040_T02_C080_G025</x:v>
      </x:c>
      <x:c r="B497" s="2" t="str">
        <x:v>A0001</x:v>
      </x:c>
      <x:c r="C497" s="10" t="n">
        <x:v>2</x:v>
      </x:c>
      <x:c r="D497" s="10" t="n">
        <x:v>2</x:v>
      </x:c>
      <x:c r="E497" s="10" t="n">
        <x:v>0</x:v>
      </x:c>
      <x:c r="F497" s="10" t="n">
        <x:v>1</x:v>
      </x:c>
      <x:c r="G497" s="10" t="n">
        <x:f>MIN(E497,3)</x:f>
        <x:v>0</x:v>
      </x:c>
      <x:c r="H497" s="10" t="n">
        <x:v>8</x:v>
      </x:c>
      <x:c r="I497" s="19" t="n">
        <x:v>0.4</x:v>
      </x:c>
      <x:c r="J497" s="19" t="n">
        <x:v>0.8</x:v>
      </x:c>
      <x:c r="K497" s="19" t="n">
        <x:v>0.25</x:v>
      </x:c>
    </x:row>
    <x:row r="498" ht="23" customHeight="1">
      <x:c r="A498" s="2" t="str">
        <x:v>D040_T02_C080_G025</x:v>
      </x:c>
      <x:c r="B498" s="2" t="str">
        <x:v>A0002</x:v>
      </x:c>
      <x:c r="C498" s="10" t="n">
        <x:v>2</x:v>
      </x:c>
      <x:c r="D498" s="10" t="n">
        <x:v>5</x:v>
      </x:c>
      <x:c r="E498" s="10" t="n">
        <x:v>3</x:v>
      </x:c>
      <x:c r="F498" s="10" t="n">
        <x:v>1</x:v>
      </x:c>
      <x:c r="G498" s="10" t="n">
        <x:f>MIN(E498,3)</x:f>
        <x:v>3</x:v>
      </x:c>
      <x:c r="H498" s="10" t="n">
        <x:v>8</x:v>
      </x:c>
      <x:c r="I498" s="19" t="n">
        <x:v>0.4</x:v>
      </x:c>
      <x:c r="J498" s="19" t="n">
        <x:v>0.8</x:v>
      </x:c>
      <x:c r="K498" s="19" t="n">
        <x:v>0.25</x:v>
      </x:c>
    </x:row>
    <x:row r="499" ht="23" customHeight="1">
      <x:c r="A499" s="2" t="str">
        <x:v>D040_T02_C080_G025</x:v>
      </x:c>
      <x:c r="B499" s="2" t="str">
        <x:v>A0003</x:v>
      </x:c>
      <x:c r="C499" s="10" t="n">
        <x:v>2</x:v>
      </x:c>
      <x:c r="D499" s="10" t="n">
        <x:v>2</x:v>
      </x:c>
      <x:c r="E499" s="10" t="n">
        <x:v>0</x:v>
      </x:c>
      <x:c r="F499" s="10" t="n">
        <x:v>1</x:v>
      </x:c>
      <x:c r="G499" s="10" t="n">
        <x:f>MIN(E499,3)</x:f>
        <x:v>0</x:v>
      </x:c>
      <x:c r="H499" s="10" t="n">
        <x:v>8</x:v>
      </x:c>
      <x:c r="I499" s="19" t="n">
        <x:v>0.4</x:v>
      </x:c>
      <x:c r="J499" s="19" t="n">
        <x:v>0.8</x:v>
      </x:c>
      <x:c r="K499" s="19" t="n">
        <x:v>0.25</x:v>
      </x:c>
    </x:row>
    <x:row r="500" ht="23" customHeight="1">
      <x:c r="A500" s="2" t="str">
        <x:v>D040_T02_C080_G025</x:v>
      </x:c>
      <x:c r="B500" s="2" t="str">
        <x:v>A0005</x:v>
      </x:c>
      <x:c r="C500" s="10" t="n">
        <x:v>2</x:v>
      </x:c>
      <x:c r="D500" s="10"/>
      <x:c r="E500" s="10" t="n">
        <x:v>8</x:v>
      </x:c>
      <x:c r="F500" s="10" t="n">
        <x:v>0</x:v>
      </x:c>
      <x:c r="G500" s="10" t="n">
        <x:f>MIN(E500,3)</x:f>
        <x:v>3</x:v>
      </x:c>
      <x:c r="H500" s="10" t="n">
        <x:v>8</x:v>
      </x:c>
      <x:c r="I500" s="19" t="n">
        <x:v>0.4</x:v>
      </x:c>
      <x:c r="J500" s="19" t="n">
        <x:v>0.8</x:v>
      </x:c>
      <x:c r="K500" s="19" t="n">
        <x:v>0.25</x:v>
      </x:c>
    </x:row>
    <x:row r="501" ht="23" customHeight="1">
      <x:c r="A501" s="2" t="str">
        <x:v>D040_T02_C080_G025</x:v>
      </x:c>
      <x:c r="B501" s="2" t="str">
        <x:v>A0009</x:v>
      </x:c>
      <x:c r="C501" s="10" t="n">
        <x:v>2</x:v>
      </x:c>
      <x:c r="D501" s="10" t="n">
        <x:v>3</x:v>
      </x:c>
      <x:c r="E501" s="10" t="n">
        <x:v>1</x:v>
      </x:c>
      <x:c r="F501" s="10" t="n">
        <x:v>1</x:v>
      </x:c>
      <x:c r="G501" s="10" t="n">
        <x:f>MIN(E501,3)</x:f>
        <x:v>1</x:v>
      </x:c>
      <x:c r="H501" s="10" t="n">
        <x:v>8</x:v>
      </x:c>
      <x:c r="I501" s="19" t="n">
        <x:v>0.4</x:v>
      </x:c>
      <x:c r="J501" s="19" t="n">
        <x:v>0.8</x:v>
      </x:c>
      <x:c r="K501" s="19" t="n">
        <x:v>0.25</x:v>
      </x:c>
    </x:row>
    <x:row r="502" ht="23" customHeight="1">
      <x:c r="A502" s="2" t="str">
        <x:v>D040_T02_C080_G025</x:v>
      </x:c>
      <x:c r="B502" s="2" t="str">
        <x:v>A0011</x:v>
      </x:c>
      <x:c r="C502" s="10" t="n">
        <x:v>2</x:v>
      </x:c>
      <x:c r="D502" s="10" t="n">
        <x:v>5</x:v>
      </x:c>
      <x:c r="E502" s="10" t="n">
        <x:v>3</x:v>
      </x:c>
      <x:c r="F502" s="10" t="n">
        <x:v>1</x:v>
      </x:c>
      <x:c r="G502" s="10" t="n">
        <x:f>MIN(E502,3)</x:f>
        <x:v>3</x:v>
      </x:c>
      <x:c r="H502" s="10" t="n">
        <x:v>8</x:v>
      </x:c>
      <x:c r="I502" s="19" t="n">
        <x:v>0.4</x:v>
      </x:c>
      <x:c r="J502" s="19" t="n">
        <x:v>0.8</x:v>
      </x:c>
      <x:c r="K502" s="19" t="n">
        <x:v>0.25</x:v>
      </x:c>
    </x:row>
    <x:row r="503" ht="23" customHeight="1">
      <x:c r="A503" s="2" t="str">
        <x:v>D040_T02_C080_G025</x:v>
      </x:c>
      <x:c r="B503" s="2" t="str">
        <x:v>A0012</x:v>
      </x:c>
      <x:c r="C503" s="10" t="n">
        <x:v>2</x:v>
      </x:c>
      <x:c r="D503" s="10"/>
      <x:c r="E503" s="10" t="n">
        <x:v>8</x:v>
      </x:c>
      <x:c r="F503" s="10" t="n">
        <x:v>0</x:v>
      </x:c>
      <x:c r="G503" s="10" t="n">
        <x:f>MIN(E503,3)</x:f>
        <x:v>3</x:v>
      </x:c>
      <x:c r="H503" s="10" t="n">
        <x:v>8</x:v>
      </x:c>
      <x:c r="I503" s="19" t="n">
        <x:v>0.4</x:v>
      </x:c>
      <x:c r="J503" s="19" t="n">
        <x:v>0.8</x:v>
      </x:c>
      <x:c r="K503" s="19" t="n">
        <x:v>0.25</x:v>
      </x:c>
    </x:row>
    <x:row r="504" ht="23" customHeight="1">
      <x:c r="A504" s="2" t="str">
        <x:v>D040_T02_C080_G025</x:v>
      </x:c>
      <x:c r="B504" s="2" t="str">
        <x:v>A0014</x:v>
      </x:c>
      <x:c r="C504" s="10" t="n">
        <x:v>2</x:v>
      </x:c>
      <x:c r="D504" s="10" t="n">
        <x:v>3</x:v>
      </x:c>
      <x:c r="E504" s="10" t="n">
        <x:v>1</x:v>
      </x:c>
      <x:c r="F504" s="10" t="n">
        <x:v>1</x:v>
      </x:c>
      <x:c r="G504" s="10" t="n">
        <x:f>MIN(E504,3)</x:f>
        <x:v>1</x:v>
      </x:c>
      <x:c r="H504" s="10" t="n">
        <x:v>8</x:v>
      </x:c>
      <x:c r="I504" s="19" t="n">
        <x:v>0.4</x:v>
      </x:c>
      <x:c r="J504" s="19" t="n">
        <x:v>0.8</x:v>
      </x:c>
      <x:c r="K504" s="19" t="n">
        <x:v>0.25</x:v>
      </x:c>
    </x:row>
    <x:row r="505" ht="23" customHeight="1">
      <x:c r="A505" s="2" t="str">
        <x:v>D040_T02_C080_G025</x:v>
      </x:c>
      <x:c r="B505" s="2" t="str">
        <x:v>A0015</x:v>
      </x:c>
      <x:c r="C505" s="10" t="n">
        <x:v>2</x:v>
      </x:c>
      <x:c r="D505" s="10" t="n">
        <x:v>7</x:v>
      </x:c>
      <x:c r="E505" s="10" t="n">
        <x:v>5</x:v>
      </x:c>
      <x:c r="F505" s="10" t="n">
        <x:v>1</x:v>
      </x:c>
      <x:c r="G505" s="10" t="n">
        <x:f>MIN(E505,3)</x:f>
        <x:v>3</x:v>
      </x:c>
      <x:c r="H505" s="10" t="n">
        <x:v>8</x:v>
      </x:c>
      <x:c r="I505" s="19" t="n">
        <x:v>0.4</x:v>
      </x:c>
      <x:c r="J505" s="19" t="n">
        <x:v>0.8</x:v>
      </x:c>
      <x:c r="K505" s="19" t="n">
        <x:v>0.25</x:v>
      </x:c>
    </x:row>
    <x:row r="506" ht="23" customHeight="1">
      <x:c r="A506" s="2" t="str">
        <x:v>D040_T02_C080_G025</x:v>
      </x:c>
      <x:c r="B506" s="2" t="str">
        <x:v>A0016</x:v>
      </x:c>
      <x:c r="C506" s="10" t="n">
        <x:v>2</x:v>
      </x:c>
      <x:c r="D506" s="10" t="n">
        <x:v>2</x:v>
      </x:c>
      <x:c r="E506" s="10" t="n">
        <x:v>0</x:v>
      </x:c>
      <x:c r="F506" s="10" t="n">
        <x:v>1</x:v>
      </x:c>
      <x:c r="G506" s="10" t="n">
        <x:f>MIN(E506,3)</x:f>
        <x:v>0</x:v>
      </x:c>
      <x:c r="H506" s="10" t="n">
        <x:v>8</x:v>
      </x:c>
      <x:c r="I506" s="19" t="n">
        <x:v>0.4</x:v>
      </x:c>
      <x:c r="J506" s="19" t="n">
        <x:v>0.8</x:v>
      </x:c>
      <x:c r="K506" s="19" t="n">
        <x:v>0.25</x:v>
      </x:c>
    </x:row>
    <x:row r="507" ht="23" customHeight="1">
      <x:c r="A507" s="2" t="str">
        <x:v>D040_T02_C080_G025</x:v>
      </x:c>
      <x:c r="B507" s="2" t="str">
        <x:v>A0017</x:v>
      </x:c>
      <x:c r="C507" s="10" t="n">
        <x:v>2</x:v>
      </x:c>
      <x:c r="D507" s="10"/>
      <x:c r="E507" s="10" t="n">
        <x:v>8</x:v>
      </x:c>
      <x:c r="F507" s="10" t="n">
        <x:v>0</x:v>
      </x:c>
      <x:c r="G507" s="10" t="n">
        <x:f>MIN(E507,3)</x:f>
        <x:v>3</x:v>
      </x:c>
      <x:c r="H507" s="10" t="n">
        <x:v>8</x:v>
      </x:c>
      <x:c r="I507" s="19" t="n">
        <x:v>0.4</x:v>
      </x:c>
      <x:c r="J507" s="19" t="n">
        <x:v>0.8</x:v>
      </x:c>
      <x:c r="K507" s="19" t="n">
        <x:v>0.25</x:v>
      </x:c>
    </x:row>
    <x:row r="508" ht="23" customHeight="1">
      <x:c r="A508" s="2" t="str">
        <x:v>D040_T02_C080_G025</x:v>
      </x:c>
      <x:c r="B508" s="2" t="str">
        <x:v>A0018</x:v>
      </x:c>
      <x:c r="C508" s="10" t="n">
        <x:v>2</x:v>
      </x:c>
      <x:c r="D508" s="10" t="n">
        <x:v>8</x:v>
      </x:c>
      <x:c r="E508" s="10" t="n">
        <x:v>6</x:v>
      </x:c>
      <x:c r="F508" s="10" t="n">
        <x:v>1</x:v>
      </x:c>
      <x:c r="G508" s="10" t="n">
        <x:f>MIN(E508,3)</x:f>
        <x:v>3</x:v>
      </x:c>
      <x:c r="H508" s="10" t="n">
        <x:v>8</x:v>
      </x:c>
      <x:c r="I508" s="19" t="n">
        <x:v>0.4</x:v>
      </x:c>
      <x:c r="J508" s="19" t="n">
        <x:v>0.8</x:v>
      </x:c>
      <x:c r="K508" s="19" t="n">
        <x:v>0.25</x:v>
      </x:c>
    </x:row>
    <x:row r="509" ht="23" customHeight="1">
      <x:c r="A509" s="2" t="str">
        <x:v>D040_T02_C080_G025</x:v>
      </x:c>
      <x:c r="B509" s="2" t="str">
        <x:v>A0019</x:v>
      </x:c>
      <x:c r="C509" s="10" t="n">
        <x:v>2</x:v>
      </x:c>
      <x:c r="D509" s="10" t="n">
        <x:v>3</x:v>
      </x:c>
      <x:c r="E509" s="10" t="n">
        <x:v>1</x:v>
      </x:c>
      <x:c r="F509" s="10" t="n">
        <x:v>1</x:v>
      </x:c>
      <x:c r="G509" s="10" t="n">
        <x:f>MIN(E509,3)</x:f>
        <x:v>1</x:v>
      </x:c>
      <x:c r="H509" s="10" t="n">
        <x:v>8</x:v>
      </x:c>
      <x:c r="I509" s="19" t="n">
        <x:v>0.4</x:v>
      </x:c>
      <x:c r="J509" s="19" t="n">
        <x:v>0.8</x:v>
      </x:c>
      <x:c r="K509" s="19" t="n">
        <x:v>0.25</x:v>
      </x:c>
    </x:row>
    <x:row r="510" ht="23" customHeight="1">
      <x:c r="A510" s="2" t="str">
        <x:v>D040_T02_C080_G025</x:v>
      </x:c>
      <x:c r="B510" s="2" t="str">
        <x:v>A0020</x:v>
      </x:c>
      <x:c r="C510" s="10" t="n">
        <x:v>2</x:v>
      </x:c>
      <x:c r="D510" s="10" t="n">
        <x:v>9</x:v>
      </x:c>
      <x:c r="E510" s="10" t="n">
        <x:v>7</x:v>
      </x:c>
      <x:c r="F510" s="10" t="n">
        <x:v>1</x:v>
      </x:c>
      <x:c r="G510" s="10" t="n">
        <x:f>MIN(E510,3)</x:f>
        <x:v>3</x:v>
      </x:c>
      <x:c r="H510" s="10" t="n">
        <x:v>8</x:v>
      </x:c>
      <x:c r="I510" s="19" t="n">
        <x:v>0.4</x:v>
      </x:c>
      <x:c r="J510" s="19" t="n">
        <x:v>0.8</x:v>
      </x:c>
      <x:c r="K510" s="19" t="n">
        <x:v>0.25</x:v>
      </x:c>
    </x:row>
    <x:row r="511" ht="23" customHeight="1">
      <x:c r="A511" s="2" t="str">
        <x:v>D040_T02_C080_G025</x:v>
      </x:c>
      <x:c r="B511" s="2" t="str">
        <x:v>A0023</x:v>
      </x:c>
      <x:c r="C511" s="10" t="n">
        <x:v>2</x:v>
      </x:c>
      <x:c r="D511" s="10" t="n">
        <x:v>3</x:v>
      </x:c>
      <x:c r="E511" s="10" t="n">
        <x:v>1</x:v>
      </x:c>
      <x:c r="F511" s="10" t="n">
        <x:v>1</x:v>
      </x:c>
      <x:c r="G511" s="10" t="n">
        <x:f>MIN(E511,3)</x:f>
        <x:v>1</x:v>
      </x:c>
      <x:c r="H511" s="10" t="n">
        <x:v>8</x:v>
      </x:c>
      <x:c r="I511" s="19" t="n">
        <x:v>0.4</x:v>
      </x:c>
      <x:c r="J511" s="19" t="n">
        <x:v>0.8</x:v>
      </x:c>
      <x:c r="K511" s="19" t="n">
        <x:v>0.25</x:v>
      </x:c>
    </x:row>
    <x:row r="512" ht="23" customHeight="1">
      <x:c r="A512" s="2" t="str">
        <x:v>D040_T02_C080_G025</x:v>
      </x:c>
      <x:c r="B512" s="2" t="str">
        <x:v>A0024</x:v>
      </x:c>
      <x:c r="C512" s="10" t="n">
        <x:v>2</x:v>
      </x:c>
      <x:c r="D512" s="10" t="n">
        <x:v>8</x:v>
      </x:c>
      <x:c r="E512" s="10" t="n">
        <x:v>6</x:v>
      </x:c>
      <x:c r="F512" s="10" t="n">
        <x:v>1</x:v>
      </x:c>
      <x:c r="G512" s="10" t="n">
        <x:f>MIN(E512,3)</x:f>
        <x:v>3</x:v>
      </x:c>
      <x:c r="H512" s="10" t="n">
        <x:v>8</x:v>
      </x:c>
      <x:c r="I512" s="19" t="n">
        <x:v>0.4</x:v>
      </x:c>
      <x:c r="J512" s="19" t="n">
        <x:v>0.8</x:v>
      </x:c>
      <x:c r="K512" s="19" t="n">
        <x:v>0.25</x:v>
      </x:c>
    </x:row>
    <x:row r="513" ht="23" customHeight="1">
      <x:c r="A513" s="2" t="str">
        <x:v>D040_T02_C080_G025</x:v>
      </x:c>
      <x:c r="B513" s="2" t="str">
        <x:v>A0025</x:v>
      </x:c>
      <x:c r="C513" s="10" t="n">
        <x:v>2</x:v>
      </x:c>
      <x:c r="D513" s="10" t="n">
        <x:v>5</x:v>
      </x:c>
      <x:c r="E513" s="10" t="n">
        <x:v>3</x:v>
      </x:c>
      <x:c r="F513" s="10" t="n">
        <x:v>1</x:v>
      </x:c>
      <x:c r="G513" s="10" t="n">
        <x:f>MIN(E513,3)</x:f>
        <x:v>3</x:v>
      </x:c>
      <x:c r="H513" s="10" t="n">
        <x:v>8</x:v>
      </x:c>
      <x:c r="I513" s="19" t="n">
        <x:v>0.4</x:v>
      </x:c>
      <x:c r="J513" s="19" t="n">
        <x:v>0.8</x:v>
      </x:c>
      <x:c r="K513" s="19" t="n">
        <x:v>0.25</x:v>
      </x:c>
    </x:row>
    <x:row r="514" ht="23" customHeight="1">
      <x:c r="A514" s="2" t="str">
        <x:v>D040_T02_C080_G025</x:v>
      </x:c>
      <x:c r="B514" s="2" t="str">
        <x:v>A0027</x:v>
      </x:c>
      <x:c r="C514" s="10" t="n">
        <x:v>2</x:v>
      </x:c>
      <x:c r="D514" s="10" t="n">
        <x:v>10</x:v>
      </x:c>
      <x:c r="E514" s="10" t="n">
        <x:v>8</x:v>
      </x:c>
      <x:c r="F514" s="10" t="n">
        <x:v>1</x:v>
      </x:c>
      <x:c r="G514" s="10" t="n">
        <x:f>MIN(E514,3)</x:f>
        <x:v>3</x:v>
      </x:c>
      <x:c r="H514" s="10" t="n">
        <x:v>8</x:v>
      </x:c>
      <x:c r="I514" s="19" t="n">
        <x:v>0.4</x:v>
      </x:c>
      <x:c r="J514" s="19" t="n">
        <x:v>0.8</x:v>
      </x:c>
      <x:c r="K514" s="19" t="n">
        <x:v>0.25</x:v>
      </x:c>
    </x:row>
    <x:row r="515" ht="23" customHeight="1">
      <x:c r="A515" s="2" t="str">
        <x:v>D040_T02_C080_G025</x:v>
      </x:c>
      <x:c r="B515" s="2" t="str">
        <x:v>A0030</x:v>
      </x:c>
      <x:c r="C515" s="10" t="n">
        <x:v>2</x:v>
      </x:c>
      <x:c r="D515" s="10" t="n">
        <x:v>8</x:v>
      </x:c>
      <x:c r="E515" s="10" t="n">
        <x:v>6</x:v>
      </x:c>
      <x:c r="F515" s="10" t="n">
        <x:v>1</x:v>
      </x:c>
      <x:c r="G515" s="10" t="n">
        <x:f>MIN(E515,3)</x:f>
        <x:v>3</x:v>
      </x:c>
      <x:c r="H515" s="10" t="n">
        <x:v>8</x:v>
      </x:c>
      <x:c r="I515" s="19" t="n">
        <x:v>0.4</x:v>
      </x:c>
      <x:c r="J515" s="19" t="n">
        <x:v>0.8</x:v>
      </x:c>
      <x:c r="K515" s="19" t="n">
        <x:v>0.25</x:v>
      </x:c>
    </x:row>
    <x:row r="516" ht="23" customHeight="1">
      <x:c r="A516" s="2" t="str">
        <x:v>D040_T02_C080_G025</x:v>
      </x:c>
      <x:c r="B516" s="2" t="str">
        <x:v>A0032</x:v>
      </x:c>
      <x:c r="C516" s="10" t="n">
        <x:v>2</x:v>
      </x:c>
      <x:c r="D516" s="10"/>
      <x:c r="E516" s="10" t="n">
        <x:v>8</x:v>
      </x:c>
      <x:c r="F516" s="10" t="n">
        <x:v>0</x:v>
      </x:c>
      <x:c r="G516" s="10" t="n">
        <x:f>MIN(E516,3)</x:f>
        <x:v>3</x:v>
      </x:c>
      <x:c r="H516" s="10" t="n">
        <x:v>8</x:v>
      </x:c>
      <x:c r="I516" s="19" t="n">
        <x:v>0.4</x:v>
      </x:c>
      <x:c r="J516" s="19" t="n">
        <x:v>0.8</x:v>
      </x:c>
      <x:c r="K516" s="19" t="n">
        <x:v>0.25</x:v>
      </x:c>
    </x:row>
    <x:row r="517" ht="23" customHeight="1">
      <x:c r="A517" s="2" t="str">
        <x:v>D040_T02_C080_G025</x:v>
      </x:c>
      <x:c r="B517" s="2" t="str">
        <x:v>A0033</x:v>
      </x:c>
      <x:c r="C517" s="10" t="n">
        <x:v>2</x:v>
      </x:c>
      <x:c r="D517" s="10" t="n">
        <x:v>2</x:v>
      </x:c>
      <x:c r="E517" s="10" t="n">
        <x:v>0</x:v>
      </x:c>
      <x:c r="F517" s="10" t="n">
        <x:v>1</x:v>
      </x:c>
      <x:c r="G517" s="10" t="n">
        <x:f>MIN(E517,3)</x:f>
        <x:v>0</x:v>
      </x:c>
      <x:c r="H517" s="10" t="n">
        <x:v>8</x:v>
      </x:c>
      <x:c r="I517" s="19" t="n">
        <x:v>0.4</x:v>
      </x:c>
      <x:c r="J517" s="19" t="n">
        <x:v>0.8</x:v>
      </x:c>
      <x:c r="K517" s="19" t="n">
        <x:v>0.25</x:v>
      </x:c>
    </x:row>
    <x:row r="518" ht="23" customHeight="1">
      <x:c r="A518" s="2" t="str">
        <x:v>D040_T02_C080_G025</x:v>
      </x:c>
      <x:c r="B518" s="2" t="str">
        <x:v>A0034</x:v>
      </x:c>
      <x:c r="C518" s="10" t="n">
        <x:v>2</x:v>
      </x:c>
      <x:c r="D518" s="10" t="n">
        <x:v>2</x:v>
      </x:c>
      <x:c r="E518" s="10" t="n">
        <x:v>0</x:v>
      </x:c>
      <x:c r="F518" s="10" t="n">
        <x:v>1</x:v>
      </x:c>
      <x:c r="G518" s="10" t="n">
        <x:f>MIN(E518,3)</x:f>
        <x:v>0</x:v>
      </x:c>
      <x:c r="H518" s="10" t="n">
        <x:v>8</x:v>
      </x:c>
      <x:c r="I518" s="19" t="n">
        <x:v>0.4</x:v>
      </x:c>
      <x:c r="J518" s="19" t="n">
        <x:v>0.8</x:v>
      </x:c>
      <x:c r="K518" s="19" t="n">
        <x:v>0.25</x:v>
      </x:c>
    </x:row>
    <x:row r="519" ht="23" customHeight="1">
      <x:c r="A519" s="2" t="str">
        <x:v>D040_T02_C080_G025</x:v>
      </x:c>
      <x:c r="B519" s="2" t="str">
        <x:v>A0035</x:v>
      </x:c>
      <x:c r="C519" s="10" t="n">
        <x:v>2</x:v>
      </x:c>
      <x:c r="D519" s="10" t="n">
        <x:v>8</x:v>
      </x:c>
      <x:c r="E519" s="10" t="n">
        <x:v>6</x:v>
      </x:c>
      <x:c r="F519" s="10" t="n">
        <x:v>1</x:v>
      </x:c>
      <x:c r="G519" s="10" t="n">
        <x:f>MIN(E519,3)</x:f>
        <x:v>3</x:v>
      </x:c>
      <x:c r="H519" s="10" t="n">
        <x:v>8</x:v>
      </x:c>
      <x:c r="I519" s="19" t="n">
        <x:v>0.4</x:v>
      </x:c>
      <x:c r="J519" s="19" t="n">
        <x:v>0.8</x:v>
      </x:c>
      <x:c r="K519" s="19" t="n">
        <x:v>0.25</x:v>
      </x:c>
    </x:row>
    <x:row r="520" ht="23" customHeight="1">
      <x:c r="A520" s="2" t="str">
        <x:v>D040_T02_C080_G025</x:v>
      </x:c>
      <x:c r="B520" s="2" t="str">
        <x:v>A0036</x:v>
      </x:c>
      <x:c r="C520" s="10" t="n">
        <x:v>2</x:v>
      </x:c>
      <x:c r="D520" s="10" t="n">
        <x:v>9</x:v>
      </x:c>
      <x:c r="E520" s="10" t="n">
        <x:v>7</x:v>
      </x:c>
      <x:c r="F520" s="10" t="n">
        <x:v>1</x:v>
      </x:c>
      <x:c r="G520" s="10" t="n">
        <x:f>MIN(E520,3)</x:f>
        <x:v>3</x:v>
      </x:c>
      <x:c r="H520" s="10" t="n">
        <x:v>8</x:v>
      </x:c>
      <x:c r="I520" s="19" t="n">
        <x:v>0.4</x:v>
      </x:c>
      <x:c r="J520" s="19" t="n">
        <x:v>0.8</x:v>
      </x:c>
      <x:c r="K520" s="19" t="n">
        <x:v>0.25</x:v>
      </x:c>
    </x:row>
    <x:row r="521" ht="23" customHeight="1">
      <x:c r="A521" s="2" t="str">
        <x:v>D040_T02_C080_G025</x:v>
      </x:c>
      <x:c r="B521" s="2" t="str">
        <x:v>A0037</x:v>
      </x:c>
      <x:c r="C521" s="10" t="n">
        <x:v>2</x:v>
      </x:c>
      <x:c r="D521" s="10" t="n">
        <x:v>3</x:v>
      </x:c>
      <x:c r="E521" s="10" t="n">
        <x:v>1</x:v>
      </x:c>
      <x:c r="F521" s="10" t="n">
        <x:v>1</x:v>
      </x:c>
      <x:c r="G521" s="10" t="n">
        <x:f>MIN(E521,3)</x:f>
        <x:v>1</x:v>
      </x:c>
      <x:c r="H521" s="10" t="n">
        <x:v>8</x:v>
      </x:c>
      <x:c r="I521" s="19" t="n">
        <x:v>0.4</x:v>
      </x:c>
      <x:c r="J521" s="19" t="n">
        <x:v>0.8</x:v>
      </x:c>
      <x:c r="K521" s="19" t="n">
        <x:v>0.25</x:v>
      </x:c>
    </x:row>
    <x:row r="522" ht="23" customHeight="1">
      <x:c r="A522" s="2" t="str">
        <x:v>D040_T02_C080_G025</x:v>
      </x:c>
      <x:c r="B522" s="2" t="str">
        <x:v>A0040</x:v>
      </x:c>
      <x:c r="C522" s="10" t="n">
        <x:v>2</x:v>
      </x:c>
      <x:c r="D522" s="10" t="n">
        <x:v>4</x:v>
      </x:c>
      <x:c r="E522" s="10" t="n">
        <x:v>2</x:v>
      </x:c>
      <x:c r="F522" s="10" t="n">
        <x:v>1</x:v>
      </x:c>
      <x:c r="G522" s="10" t="n">
        <x:f>MIN(E522,3)</x:f>
        <x:v>2</x:v>
      </x:c>
      <x:c r="H522" s="10" t="n">
        <x:v>8</x:v>
      </x:c>
      <x:c r="I522" s="19" t="n">
        <x:v>0.4</x:v>
      </x:c>
      <x:c r="J522" s="19" t="n">
        <x:v>0.8</x:v>
      </x:c>
      <x:c r="K522" s="19" t="n">
        <x:v>0.25</x:v>
      </x:c>
    </x:row>
    <x:row r="523" ht="23" customHeight="1">
      <x:c r="A523" s="2" t="str">
        <x:v>D040_T02_C080_G025</x:v>
      </x:c>
      <x:c r="B523" s="2" t="str">
        <x:v>A0041</x:v>
      </x:c>
      <x:c r="C523" s="10" t="n">
        <x:v>2</x:v>
      </x:c>
      <x:c r="D523" s="10" t="n">
        <x:v>4</x:v>
      </x:c>
      <x:c r="E523" s="10" t="n">
        <x:v>2</x:v>
      </x:c>
      <x:c r="F523" s="10" t="n">
        <x:v>1</x:v>
      </x:c>
      <x:c r="G523" s="10" t="n">
        <x:f>MIN(E523,3)</x:f>
        <x:v>2</x:v>
      </x:c>
      <x:c r="H523" s="10" t="n">
        <x:v>8</x:v>
      </x:c>
      <x:c r="I523" s="19" t="n">
        <x:v>0.4</x:v>
      </x:c>
      <x:c r="J523" s="19" t="n">
        <x:v>0.8</x:v>
      </x:c>
      <x:c r="K523" s="19" t="n">
        <x:v>0.25</x:v>
      </x:c>
    </x:row>
    <x:row r="524" ht="23" customHeight="1">
      <x:c r="A524" s="2" t="str">
        <x:v>D040_T02_C080_G025</x:v>
      </x:c>
      <x:c r="B524" s="2" t="str">
        <x:v>A0042</x:v>
      </x:c>
      <x:c r="C524" s="10" t="n">
        <x:v>2</x:v>
      </x:c>
      <x:c r="D524" s="10" t="n">
        <x:v>5</x:v>
      </x:c>
      <x:c r="E524" s="10" t="n">
        <x:v>3</x:v>
      </x:c>
      <x:c r="F524" s="10" t="n">
        <x:v>1</x:v>
      </x:c>
      <x:c r="G524" s="10" t="n">
        <x:f>MIN(E524,3)</x:f>
        <x:v>3</x:v>
      </x:c>
      <x:c r="H524" s="10" t="n">
        <x:v>8</x:v>
      </x:c>
      <x:c r="I524" s="19" t="n">
        <x:v>0.4</x:v>
      </x:c>
      <x:c r="J524" s="19" t="n">
        <x:v>0.8</x:v>
      </x:c>
      <x:c r="K524" s="19" t="n">
        <x:v>0.25</x:v>
      </x:c>
    </x:row>
    <x:row r="525" ht="23" customHeight="1">
      <x:c r="A525" s="2" t="str">
        <x:v>D040_T02_C080_G025</x:v>
      </x:c>
      <x:c r="B525" s="2" t="str">
        <x:v>A0071</x:v>
      </x:c>
      <x:c r="C525" s="10" t="n">
        <x:v>2</x:v>
      </x:c>
      <x:c r="D525" s="10" t="n">
        <x:v>4</x:v>
      </x:c>
      <x:c r="E525" s="10" t="n">
        <x:v>2</x:v>
      </x:c>
      <x:c r="F525" s="10" t="n">
        <x:v>1</x:v>
      </x:c>
      <x:c r="G525" s="10" t="n">
        <x:f>MIN(E525,3)</x:f>
        <x:v>2</x:v>
      </x:c>
      <x:c r="H525" s="10" t="n">
        <x:v>8</x:v>
      </x:c>
      <x:c r="I525" s="19" t="n">
        <x:v>0.4</x:v>
      </x:c>
      <x:c r="J525" s="19" t="n">
        <x:v>0.8</x:v>
      </x:c>
      <x:c r="K525" s="19" t="n">
        <x:v>0.25</x:v>
      </x:c>
    </x:row>
    <x:row r="526" ht="23" customHeight="1">
      <x:c r="A526" s="2" t="str">
        <x:v>D040_T02_C080_G025</x:v>
      </x:c>
      <x:c r="B526" s="2" t="str">
        <x:v>A0090</x:v>
      </x:c>
      <x:c r="C526" s="10" t="n">
        <x:v>2</x:v>
      </x:c>
      <x:c r="D526" s="10" t="n">
        <x:v>5</x:v>
      </x:c>
      <x:c r="E526" s="10" t="n">
        <x:v>3</x:v>
      </x:c>
      <x:c r="F526" s="10" t="n">
        <x:v>1</x:v>
      </x:c>
      <x:c r="G526" s="10" t="n">
        <x:f>MIN(E526,3)</x:f>
        <x:v>3</x:v>
      </x:c>
      <x:c r="H526" s="10" t="n">
        <x:v>8</x:v>
      </x:c>
      <x:c r="I526" s="19" t="n">
        <x:v>0.4</x:v>
      </x:c>
      <x:c r="J526" s="19" t="n">
        <x:v>0.8</x:v>
      </x:c>
      <x:c r="K526" s="19" t="n">
        <x:v>0.25</x:v>
      </x:c>
    </x:row>
    <x:row r="527" ht="23" customHeight="1">
      <x:c r="A527" s="2" t="str">
        <x:v>D040_T02_C080_G025</x:v>
      </x:c>
      <x:c r="B527" s="2" t="str">
        <x:v>A0189</x:v>
      </x:c>
      <x:c r="C527" s="10" t="n">
        <x:v>2</x:v>
      </x:c>
      <x:c r="D527" s="10" t="n">
        <x:v>8</x:v>
      </x:c>
      <x:c r="E527" s="10" t="n">
        <x:v>6</x:v>
      </x:c>
      <x:c r="F527" s="10" t="n">
        <x:v>1</x:v>
      </x:c>
      <x:c r="G527" s="10" t="n">
        <x:f>MIN(E527,3)</x:f>
        <x:v>3</x:v>
      </x:c>
      <x:c r="H527" s="10" t="n">
        <x:v>8</x:v>
      </x:c>
      <x:c r="I527" s="19" t="n">
        <x:v>0.4</x:v>
      </x:c>
      <x:c r="J527" s="19" t="n">
        <x:v>0.8</x:v>
      </x:c>
      <x:c r="K527" s="19" t="n">
        <x:v>0.25</x:v>
      </x:c>
    </x:row>
    <x:row r="528" ht="23" customHeight="1">
      <x:c r="A528" s="2" t="str">
        <x:v>D040_T02_C080_G025</x:v>
      </x:c>
      <x:c r="B528" s="2" t="str">
        <x:v>A0206</x:v>
      </x:c>
      <x:c r="C528" s="10" t="n">
        <x:v>2</x:v>
      </x:c>
      <x:c r="D528" s="10" t="n">
        <x:v>4</x:v>
      </x:c>
      <x:c r="E528" s="10" t="n">
        <x:v>2</x:v>
      </x:c>
      <x:c r="F528" s="10" t="n">
        <x:v>1</x:v>
      </x:c>
      <x:c r="G528" s="10" t="n">
        <x:f>MIN(E528,3)</x:f>
        <x:v>2</x:v>
      </x:c>
      <x:c r="H528" s="10" t="n">
        <x:v>8</x:v>
      </x:c>
      <x:c r="I528" s="19" t="n">
        <x:v>0.4</x:v>
      </x:c>
      <x:c r="J528" s="19" t="n">
        <x:v>0.8</x:v>
      </x:c>
      <x:c r="K528" s="19" t="n">
        <x:v>0.25</x:v>
      </x:c>
    </x:row>
    <x:row r="529" ht="23" customHeight="1">
      <x:c r="A529" s="2" t="str">
        <x:v>D040_T02_C080_G050</x:v>
      </x:c>
      <x:c r="B529" s="2" t="str">
        <x:v>A0003</x:v>
      </x:c>
      <x:c r="C529" s="10" t="n">
        <x:v>2</x:v>
      </x:c>
      <x:c r="D529" s="10" t="n">
        <x:v>2</x:v>
      </x:c>
      <x:c r="E529" s="10" t="n">
        <x:v>0</x:v>
      </x:c>
      <x:c r="F529" s="10" t="n">
        <x:v>1</x:v>
      </x:c>
      <x:c r="G529" s="10" t="n">
        <x:f>MIN(E529,3)</x:f>
        <x:v>0</x:v>
      </x:c>
      <x:c r="H529" s="10" t="n">
        <x:v>8</x:v>
      </x:c>
      <x:c r="I529" s="19" t="n">
        <x:v>0.4</x:v>
      </x:c>
      <x:c r="J529" s="19" t="n">
        <x:v>0.8</x:v>
      </x:c>
      <x:c r="K529" s="19" t="n">
        <x:v>0.5</x:v>
      </x:c>
    </x:row>
    <x:row r="530" ht="23" customHeight="1">
      <x:c r="A530" s="2" t="str">
        <x:v>D040_T02_C080_G050</x:v>
      </x:c>
      <x:c r="B530" s="2" t="str">
        <x:v>A0005</x:v>
      </x:c>
      <x:c r="C530" s="10" t="n">
        <x:v>2</x:v>
      </x:c>
      <x:c r="D530" s="10" t="n">
        <x:v>2</x:v>
      </x:c>
      <x:c r="E530" s="10" t="n">
        <x:v>0</x:v>
      </x:c>
      <x:c r="F530" s="10" t="n">
        <x:v>1</x:v>
      </x:c>
      <x:c r="G530" s="10" t="n">
        <x:f>MIN(E530,3)</x:f>
        <x:v>0</x:v>
      </x:c>
      <x:c r="H530" s="10" t="n">
        <x:v>8</x:v>
      </x:c>
      <x:c r="I530" s="19" t="n">
        <x:v>0.4</x:v>
      </x:c>
      <x:c r="J530" s="19" t="n">
        <x:v>0.8</x:v>
      </x:c>
      <x:c r="K530" s="19" t="n">
        <x:v>0.5</x:v>
      </x:c>
    </x:row>
    <x:row r="531" ht="23" customHeight="1">
      <x:c r="A531" s="2" t="str">
        <x:v>D040_T02_C080_G050</x:v>
      </x:c>
      <x:c r="B531" s="2" t="str">
        <x:v>A0008</x:v>
      </x:c>
      <x:c r="C531" s="10" t="n">
        <x:v>2</x:v>
      </x:c>
      <x:c r="D531" s="10" t="n">
        <x:v>2</x:v>
      </x:c>
      <x:c r="E531" s="10" t="n">
        <x:v>0</x:v>
      </x:c>
      <x:c r="F531" s="10" t="n">
        <x:v>1</x:v>
      </x:c>
      <x:c r="G531" s="10" t="n">
        <x:f>MIN(E531,3)</x:f>
        <x:v>0</x:v>
      </x:c>
      <x:c r="H531" s="10" t="n">
        <x:v>8</x:v>
      </x:c>
      <x:c r="I531" s="19" t="n">
        <x:v>0.4</x:v>
      </x:c>
      <x:c r="J531" s="19" t="n">
        <x:v>0.8</x:v>
      </x:c>
      <x:c r="K531" s="19" t="n">
        <x:v>0.5</x:v>
      </x:c>
    </x:row>
    <x:row r="532" ht="23" customHeight="1">
      <x:c r="A532" s="2" t="str">
        <x:v>D040_T02_C080_G050</x:v>
      </x:c>
      <x:c r="B532" s="2" t="str">
        <x:v>A0011</x:v>
      </x:c>
      <x:c r="C532" s="10" t="n">
        <x:v>2</x:v>
      </x:c>
      <x:c r="D532" s="10" t="n">
        <x:v>4</x:v>
      </x:c>
      <x:c r="E532" s="10" t="n">
        <x:v>2</x:v>
      </x:c>
      <x:c r="F532" s="10" t="n">
        <x:v>1</x:v>
      </x:c>
      <x:c r="G532" s="10" t="n">
        <x:f>MIN(E532,3)</x:f>
        <x:v>2</x:v>
      </x:c>
      <x:c r="H532" s="10" t="n">
        <x:v>8</x:v>
      </x:c>
      <x:c r="I532" s="19" t="n">
        <x:v>0.4</x:v>
      </x:c>
      <x:c r="J532" s="19" t="n">
        <x:v>0.8</x:v>
      </x:c>
      <x:c r="K532" s="19" t="n">
        <x:v>0.5</x:v>
      </x:c>
    </x:row>
    <x:row r="533" ht="23" customHeight="1">
      <x:c r="A533" s="2" t="str">
        <x:v>D040_T02_C080_G050</x:v>
      </x:c>
      <x:c r="B533" s="2" t="str">
        <x:v>A0012</x:v>
      </x:c>
      <x:c r="C533" s="10" t="n">
        <x:v>2</x:v>
      </x:c>
      <x:c r="D533" s="10" t="n">
        <x:v>8</x:v>
      </x:c>
      <x:c r="E533" s="10" t="n">
        <x:v>6</x:v>
      </x:c>
      <x:c r="F533" s="10" t="n">
        <x:v>1</x:v>
      </x:c>
      <x:c r="G533" s="10" t="n">
        <x:f>MIN(E533,3)</x:f>
        <x:v>3</x:v>
      </x:c>
      <x:c r="H533" s="10" t="n">
        <x:v>8</x:v>
      </x:c>
      <x:c r="I533" s="19" t="n">
        <x:v>0.4</x:v>
      </x:c>
      <x:c r="J533" s="19" t="n">
        <x:v>0.8</x:v>
      </x:c>
      <x:c r="K533" s="19" t="n">
        <x:v>0.5</x:v>
      </x:c>
    </x:row>
    <x:row r="534" ht="23" customHeight="1">
      <x:c r="A534" s="2" t="str">
        <x:v>D040_T02_C080_G050</x:v>
      </x:c>
      <x:c r="B534" s="2" t="str">
        <x:v>A0014</x:v>
      </x:c>
      <x:c r="C534" s="10" t="n">
        <x:v>2</x:v>
      </x:c>
      <x:c r="D534" s="10" t="n">
        <x:v>3</x:v>
      </x:c>
      <x:c r="E534" s="10" t="n">
        <x:v>1</x:v>
      </x:c>
      <x:c r="F534" s="10" t="n">
        <x:v>1</x:v>
      </x:c>
      <x:c r="G534" s="10" t="n">
        <x:f>MIN(E534,3)</x:f>
        <x:v>1</x:v>
      </x:c>
      <x:c r="H534" s="10" t="n">
        <x:v>8</x:v>
      </x:c>
      <x:c r="I534" s="19" t="n">
        <x:v>0.4</x:v>
      </x:c>
      <x:c r="J534" s="19" t="n">
        <x:v>0.8</x:v>
      </x:c>
      <x:c r="K534" s="19" t="n">
        <x:v>0.5</x:v>
      </x:c>
    </x:row>
    <x:row r="535" ht="23" customHeight="1">
      <x:c r="A535" s="2" t="str">
        <x:v>D040_T02_C080_G050</x:v>
      </x:c>
      <x:c r="B535" s="2" t="str">
        <x:v>A0015</x:v>
      </x:c>
      <x:c r="C535" s="10" t="n">
        <x:v>2</x:v>
      </x:c>
      <x:c r="D535" s="10" t="n">
        <x:v>2</x:v>
      </x:c>
      <x:c r="E535" s="10" t="n">
        <x:v>0</x:v>
      </x:c>
      <x:c r="F535" s="10" t="n">
        <x:v>1</x:v>
      </x:c>
      <x:c r="G535" s="10" t="n">
        <x:f>MIN(E535,3)</x:f>
        <x:v>0</x:v>
      </x:c>
      <x:c r="H535" s="10" t="n">
        <x:v>8</x:v>
      </x:c>
      <x:c r="I535" s="19" t="n">
        <x:v>0.4</x:v>
      </x:c>
      <x:c r="J535" s="19" t="n">
        <x:v>0.8</x:v>
      </x:c>
      <x:c r="K535" s="19" t="n">
        <x:v>0.5</x:v>
      </x:c>
    </x:row>
    <x:row r="536" ht="23" customHeight="1">
      <x:c r="A536" s="2" t="str">
        <x:v>D040_T02_C080_G050</x:v>
      </x:c>
      <x:c r="B536" s="2" t="str">
        <x:v>A0017</x:v>
      </x:c>
      <x:c r="C536" s="10" t="n">
        <x:v>2</x:v>
      </x:c>
      <x:c r="D536" s="10" t="n">
        <x:v>5</x:v>
      </x:c>
      <x:c r="E536" s="10" t="n">
        <x:v>3</x:v>
      </x:c>
      <x:c r="F536" s="10" t="n">
        <x:v>1</x:v>
      </x:c>
      <x:c r="G536" s="10" t="n">
        <x:f>MIN(E536,3)</x:f>
        <x:v>3</x:v>
      </x:c>
      <x:c r="H536" s="10" t="n">
        <x:v>8</x:v>
      </x:c>
      <x:c r="I536" s="19" t="n">
        <x:v>0.4</x:v>
      </x:c>
      <x:c r="J536" s="19" t="n">
        <x:v>0.8</x:v>
      </x:c>
      <x:c r="K536" s="19" t="n">
        <x:v>0.5</x:v>
      </x:c>
    </x:row>
    <x:row r="537" ht="23" customHeight="1">
      <x:c r="A537" s="2" t="str">
        <x:v>D040_T02_C080_G050</x:v>
      </x:c>
      <x:c r="B537" s="2" t="str">
        <x:v>A0018</x:v>
      </x:c>
      <x:c r="C537" s="10" t="n">
        <x:v>2</x:v>
      </x:c>
      <x:c r="D537" s="10" t="n">
        <x:v>3</x:v>
      </x:c>
      <x:c r="E537" s="10" t="n">
        <x:v>1</x:v>
      </x:c>
      <x:c r="F537" s="10" t="n">
        <x:v>1</x:v>
      </x:c>
      <x:c r="G537" s="10" t="n">
        <x:f>MIN(E537,3)</x:f>
        <x:v>1</x:v>
      </x:c>
      <x:c r="H537" s="10" t="n">
        <x:v>8</x:v>
      </x:c>
      <x:c r="I537" s="19" t="n">
        <x:v>0.4</x:v>
      </x:c>
      <x:c r="J537" s="19" t="n">
        <x:v>0.8</x:v>
      </x:c>
      <x:c r="K537" s="19" t="n">
        <x:v>0.5</x:v>
      </x:c>
    </x:row>
    <x:row r="538" ht="23" customHeight="1">
      <x:c r="A538" s="2" t="str">
        <x:v>D040_T02_C080_G050</x:v>
      </x:c>
      <x:c r="B538" s="2" t="str">
        <x:v>A0020</x:v>
      </x:c>
      <x:c r="C538" s="10" t="n">
        <x:v>2</x:v>
      </x:c>
      <x:c r="D538" s="10" t="n">
        <x:v>2</x:v>
      </x:c>
      <x:c r="E538" s="10" t="n">
        <x:v>0</x:v>
      </x:c>
      <x:c r="F538" s="10" t="n">
        <x:v>1</x:v>
      </x:c>
      <x:c r="G538" s="10" t="n">
        <x:f>MIN(E538,3)</x:f>
        <x:v>0</x:v>
      </x:c>
      <x:c r="H538" s="10" t="n">
        <x:v>8</x:v>
      </x:c>
      <x:c r="I538" s="19" t="n">
        <x:v>0.4</x:v>
      </x:c>
      <x:c r="J538" s="19" t="n">
        <x:v>0.8</x:v>
      </x:c>
      <x:c r="K538" s="19" t="n">
        <x:v>0.5</x:v>
      </x:c>
    </x:row>
    <x:row r="539" ht="23" customHeight="1">
      <x:c r="A539" s="2" t="str">
        <x:v>D040_T02_C080_G050</x:v>
      </x:c>
      <x:c r="B539" s="2" t="str">
        <x:v>A0022</x:v>
      </x:c>
      <x:c r="C539" s="10" t="n">
        <x:v>2</x:v>
      </x:c>
      <x:c r="D539" s="10" t="n">
        <x:v>2</x:v>
      </x:c>
      <x:c r="E539" s="10" t="n">
        <x:v>0</x:v>
      </x:c>
      <x:c r="F539" s="10" t="n">
        <x:v>1</x:v>
      </x:c>
      <x:c r="G539" s="10" t="n">
        <x:f>MIN(E539,3)</x:f>
        <x:v>0</x:v>
      </x:c>
      <x:c r="H539" s="10" t="n">
        <x:v>8</x:v>
      </x:c>
      <x:c r="I539" s="19" t="n">
        <x:v>0.4</x:v>
      </x:c>
      <x:c r="J539" s="19" t="n">
        <x:v>0.8</x:v>
      </x:c>
      <x:c r="K539" s="19" t="n">
        <x:v>0.5</x:v>
      </x:c>
    </x:row>
    <x:row r="540" ht="23" customHeight="1">
      <x:c r="A540" s="2" t="str">
        <x:v>D040_T02_C080_G050</x:v>
      </x:c>
      <x:c r="B540" s="2" t="str">
        <x:v>A0024</x:v>
      </x:c>
      <x:c r="C540" s="10" t="n">
        <x:v>2</x:v>
      </x:c>
      <x:c r="D540" s="10" t="n">
        <x:v>4</x:v>
      </x:c>
      <x:c r="E540" s="10" t="n">
        <x:v>2</x:v>
      </x:c>
      <x:c r="F540" s="10" t="n">
        <x:v>1</x:v>
      </x:c>
      <x:c r="G540" s="10" t="n">
        <x:f>MIN(E540,3)</x:f>
        <x:v>2</x:v>
      </x:c>
      <x:c r="H540" s="10" t="n">
        <x:v>8</x:v>
      </x:c>
      <x:c r="I540" s="19" t="n">
        <x:v>0.4</x:v>
      </x:c>
      <x:c r="J540" s="19" t="n">
        <x:v>0.8</x:v>
      </x:c>
      <x:c r="K540" s="19" t="n">
        <x:v>0.5</x:v>
      </x:c>
    </x:row>
    <x:row r="541" ht="23" customHeight="1">
      <x:c r="A541" s="2" t="str">
        <x:v>D040_T02_C080_G050</x:v>
      </x:c>
      <x:c r="B541" s="2" t="str">
        <x:v>A0025</x:v>
      </x:c>
      <x:c r="C541" s="10" t="n">
        <x:v>2</x:v>
      </x:c>
      <x:c r="D541" s="10" t="n">
        <x:v>2</x:v>
      </x:c>
      <x:c r="E541" s="10" t="n">
        <x:v>0</x:v>
      </x:c>
      <x:c r="F541" s="10" t="n">
        <x:v>1</x:v>
      </x:c>
      <x:c r="G541" s="10" t="n">
        <x:f>MIN(E541,3)</x:f>
        <x:v>0</x:v>
      </x:c>
      <x:c r="H541" s="10" t="n">
        <x:v>8</x:v>
      </x:c>
      <x:c r="I541" s="19" t="n">
        <x:v>0.4</x:v>
      </x:c>
      <x:c r="J541" s="19" t="n">
        <x:v>0.8</x:v>
      </x:c>
      <x:c r="K541" s="19" t="n">
        <x:v>0.5</x:v>
      </x:c>
    </x:row>
    <x:row r="542" ht="23" customHeight="1">
      <x:c r="A542" s="2" t="str">
        <x:v>D040_T02_C080_G050</x:v>
      </x:c>
      <x:c r="B542" s="2" t="str">
        <x:v>A0026</x:v>
      </x:c>
      <x:c r="C542" s="10" t="n">
        <x:v>2</x:v>
      </x:c>
      <x:c r="D542" s="10" t="n">
        <x:v>2</x:v>
      </x:c>
      <x:c r="E542" s="10" t="n">
        <x:v>0</x:v>
      </x:c>
      <x:c r="F542" s="10" t="n">
        <x:v>1</x:v>
      </x:c>
      <x:c r="G542" s="10" t="n">
        <x:f>MIN(E542,3)</x:f>
        <x:v>0</x:v>
      </x:c>
      <x:c r="H542" s="10" t="n">
        <x:v>8</x:v>
      </x:c>
      <x:c r="I542" s="19" t="n">
        <x:v>0.4</x:v>
      </x:c>
      <x:c r="J542" s="19" t="n">
        <x:v>0.8</x:v>
      </x:c>
      <x:c r="K542" s="19" t="n">
        <x:v>0.5</x:v>
      </x:c>
    </x:row>
    <x:row r="543" ht="23" customHeight="1">
      <x:c r="A543" s="2" t="str">
        <x:v>D040_T02_C080_G050</x:v>
      </x:c>
      <x:c r="B543" s="2" t="str">
        <x:v>A0027</x:v>
      </x:c>
      <x:c r="C543" s="10" t="n">
        <x:v>2</x:v>
      </x:c>
      <x:c r="D543" s="10" t="n">
        <x:v>2</x:v>
      </x:c>
      <x:c r="E543" s="10" t="n">
        <x:v>0</x:v>
      </x:c>
      <x:c r="F543" s="10" t="n">
        <x:v>1</x:v>
      </x:c>
      <x:c r="G543" s="10" t="n">
        <x:f>MIN(E543,3)</x:f>
        <x:v>0</x:v>
      </x:c>
      <x:c r="H543" s="10" t="n">
        <x:v>8</x:v>
      </x:c>
      <x:c r="I543" s="19" t="n">
        <x:v>0.4</x:v>
      </x:c>
      <x:c r="J543" s="19" t="n">
        <x:v>0.8</x:v>
      </x:c>
      <x:c r="K543" s="19" t="n">
        <x:v>0.5</x:v>
      </x:c>
    </x:row>
    <x:row r="544" ht="23" customHeight="1">
      <x:c r="A544" s="2" t="str">
        <x:v>D040_T02_C080_G050</x:v>
      </x:c>
      <x:c r="B544" s="2" t="str">
        <x:v>A0029</x:v>
      </x:c>
      <x:c r="C544" s="10" t="n">
        <x:v>2</x:v>
      </x:c>
      <x:c r="D544" s="10" t="n">
        <x:v>2</x:v>
      </x:c>
      <x:c r="E544" s="10" t="n">
        <x:v>0</x:v>
      </x:c>
      <x:c r="F544" s="10" t="n">
        <x:v>1</x:v>
      </x:c>
      <x:c r="G544" s="10" t="n">
        <x:f>MIN(E544,3)</x:f>
        <x:v>0</x:v>
      </x:c>
      <x:c r="H544" s="10" t="n">
        <x:v>8</x:v>
      </x:c>
      <x:c r="I544" s="19" t="n">
        <x:v>0.4</x:v>
      </x:c>
      <x:c r="J544" s="19" t="n">
        <x:v>0.8</x:v>
      </x:c>
      <x:c r="K544" s="19" t="n">
        <x:v>0.5</x:v>
      </x:c>
    </x:row>
    <x:row r="545" ht="23" customHeight="1">
      <x:c r="A545" s="2" t="str">
        <x:v>D040_T02_C080_G050</x:v>
      </x:c>
      <x:c r="B545" s="2" t="str">
        <x:v>A0030</x:v>
      </x:c>
      <x:c r="C545" s="10" t="n">
        <x:v>2</x:v>
      </x:c>
      <x:c r="D545" s="10" t="n">
        <x:v>3</x:v>
      </x:c>
      <x:c r="E545" s="10" t="n">
        <x:v>1</x:v>
      </x:c>
      <x:c r="F545" s="10" t="n">
        <x:v>1</x:v>
      </x:c>
      <x:c r="G545" s="10" t="n">
        <x:f>MIN(E545,3)</x:f>
        <x:v>1</x:v>
      </x:c>
      <x:c r="H545" s="10" t="n">
        <x:v>8</x:v>
      </x:c>
      <x:c r="I545" s="19" t="n">
        <x:v>0.4</x:v>
      </x:c>
      <x:c r="J545" s="19" t="n">
        <x:v>0.8</x:v>
      </x:c>
      <x:c r="K545" s="19" t="n">
        <x:v>0.5</x:v>
      </x:c>
    </x:row>
    <x:row r="546" ht="23" customHeight="1">
      <x:c r="A546" s="2" t="str">
        <x:v>D040_T02_C080_G050</x:v>
      </x:c>
      <x:c r="B546" s="2" t="str">
        <x:v>A0031</x:v>
      </x:c>
      <x:c r="C546" s="10" t="n">
        <x:v>2</x:v>
      </x:c>
      <x:c r="D546" s="10" t="n">
        <x:v>2</x:v>
      </x:c>
      <x:c r="E546" s="10" t="n">
        <x:v>0</x:v>
      </x:c>
      <x:c r="F546" s="10" t="n">
        <x:v>1</x:v>
      </x:c>
      <x:c r="G546" s="10" t="n">
        <x:f>MIN(E546,3)</x:f>
        <x:v>0</x:v>
      </x:c>
      <x:c r="H546" s="10" t="n">
        <x:v>8</x:v>
      </x:c>
      <x:c r="I546" s="19" t="n">
        <x:v>0.4</x:v>
      </x:c>
      <x:c r="J546" s="19" t="n">
        <x:v>0.8</x:v>
      </x:c>
      <x:c r="K546" s="19" t="n">
        <x:v>0.5</x:v>
      </x:c>
    </x:row>
    <x:row r="547" ht="23" customHeight="1">
      <x:c r="A547" s="2" t="str">
        <x:v>D040_T02_C080_G050</x:v>
      </x:c>
      <x:c r="B547" s="2" t="str">
        <x:v>A0032</x:v>
      </x:c>
      <x:c r="C547" s="10" t="n">
        <x:v>2</x:v>
      </x:c>
      <x:c r="D547" s="10" t="n">
        <x:v>2</x:v>
      </x:c>
      <x:c r="E547" s="10" t="n">
        <x:v>0</x:v>
      </x:c>
      <x:c r="F547" s="10" t="n">
        <x:v>1</x:v>
      </x:c>
      <x:c r="G547" s="10" t="n">
        <x:f>MIN(E547,3)</x:f>
        <x:v>0</x:v>
      </x:c>
      <x:c r="H547" s="10" t="n">
        <x:v>8</x:v>
      </x:c>
      <x:c r="I547" s="19" t="n">
        <x:v>0.4</x:v>
      </x:c>
      <x:c r="J547" s="19" t="n">
        <x:v>0.8</x:v>
      </x:c>
      <x:c r="K547" s="19" t="n">
        <x:v>0.5</x:v>
      </x:c>
    </x:row>
    <x:row r="548" ht="23" customHeight="1">
      <x:c r="A548" s="2" t="str">
        <x:v>D040_T02_C080_G050</x:v>
      </x:c>
      <x:c r="B548" s="2" t="str">
        <x:v>A0033</x:v>
      </x:c>
      <x:c r="C548" s="10" t="n">
        <x:v>2</x:v>
      </x:c>
      <x:c r="D548" s="10" t="n">
        <x:v>2</x:v>
      </x:c>
      <x:c r="E548" s="10" t="n">
        <x:v>0</x:v>
      </x:c>
      <x:c r="F548" s="10" t="n">
        <x:v>1</x:v>
      </x:c>
      <x:c r="G548" s="10" t="n">
        <x:f>MIN(E548,3)</x:f>
        <x:v>0</x:v>
      </x:c>
      <x:c r="H548" s="10" t="n">
        <x:v>8</x:v>
      </x:c>
      <x:c r="I548" s="19" t="n">
        <x:v>0.4</x:v>
      </x:c>
      <x:c r="J548" s="19" t="n">
        <x:v>0.8</x:v>
      </x:c>
      <x:c r="K548" s="19" t="n">
        <x:v>0.5</x:v>
      </x:c>
    </x:row>
    <x:row r="549" ht="23" customHeight="1">
      <x:c r="A549" s="2" t="str">
        <x:v>D040_T02_C080_G050</x:v>
      </x:c>
      <x:c r="B549" s="2" t="str">
        <x:v>A0035</x:v>
      </x:c>
      <x:c r="C549" s="10" t="n">
        <x:v>2</x:v>
      </x:c>
      <x:c r="D549" s="10" t="n">
        <x:v>2</x:v>
      </x:c>
      <x:c r="E549" s="10" t="n">
        <x:v>0</x:v>
      </x:c>
      <x:c r="F549" s="10" t="n">
        <x:v>1</x:v>
      </x:c>
      <x:c r="G549" s="10" t="n">
        <x:f>MIN(E549,3)</x:f>
        <x:v>0</x:v>
      </x:c>
      <x:c r="H549" s="10" t="n">
        <x:v>8</x:v>
      </x:c>
      <x:c r="I549" s="19" t="n">
        <x:v>0.4</x:v>
      </x:c>
      <x:c r="J549" s="19" t="n">
        <x:v>0.8</x:v>
      </x:c>
      <x:c r="K549" s="19" t="n">
        <x:v>0.5</x:v>
      </x:c>
    </x:row>
    <x:row r="550" ht="23" customHeight="1">
      <x:c r="A550" s="2" t="str">
        <x:v>D040_T02_C080_G050</x:v>
      </x:c>
      <x:c r="B550" s="2" t="str">
        <x:v>A0036</x:v>
      </x:c>
      <x:c r="C550" s="10" t="n">
        <x:v>2</x:v>
      </x:c>
      <x:c r="D550" s="10" t="n">
        <x:v>2</x:v>
      </x:c>
      <x:c r="E550" s="10" t="n">
        <x:v>0</x:v>
      </x:c>
      <x:c r="F550" s="10" t="n">
        <x:v>1</x:v>
      </x:c>
      <x:c r="G550" s="10" t="n">
        <x:f>MIN(E550,3)</x:f>
        <x:v>0</x:v>
      </x:c>
      <x:c r="H550" s="10" t="n">
        <x:v>8</x:v>
      </x:c>
      <x:c r="I550" s="19" t="n">
        <x:v>0.4</x:v>
      </x:c>
      <x:c r="J550" s="19" t="n">
        <x:v>0.8</x:v>
      </x:c>
      <x:c r="K550" s="19" t="n">
        <x:v>0.5</x:v>
      </x:c>
    </x:row>
    <x:row r="551" ht="23" customHeight="1">
      <x:c r="A551" s="2" t="str">
        <x:v>D040_T02_C080_G050</x:v>
      </x:c>
      <x:c r="B551" s="2" t="str">
        <x:v>A0037</x:v>
      </x:c>
      <x:c r="C551" s="10" t="n">
        <x:v>2</x:v>
      </x:c>
      <x:c r="D551" s="10" t="n">
        <x:v>2</x:v>
      </x:c>
      <x:c r="E551" s="10" t="n">
        <x:v>0</x:v>
      </x:c>
      <x:c r="F551" s="10" t="n">
        <x:v>1</x:v>
      </x:c>
      <x:c r="G551" s="10" t="n">
        <x:f>MIN(E551,3)</x:f>
        <x:v>0</x:v>
      </x:c>
      <x:c r="H551" s="10" t="n">
        <x:v>8</x:v>
      </x:c>
      <x:c r="I551" s="19" t="n">
        <x:v>0.4</x:v>
      </x:c>
      <x:c r="J551" s="19" t="n">
        <x:v>0.8</x:v>
      </x:c>
      <x:c r="K551" s="19" t="n">
        <x:v>0.5</x:v>
      </x:c>
    </x:row>
    <x:row r="552" ht="23" customHeight="1">
      <x:c r="A552" s="2" t="str">
        <x:v>D040_T02_C080_G050</x:v>
      </x:c>
      <x:c r="B552" s="2" t="str">
        <x:v>A0038</x:v>
      </x:c>
      <x:c r="C552" s="10" t="n">
        <x:v>2</x:v>
      </x:c>
      <x:c r="D552" s="10" t="n">
        <x:v>5</x:v>
      </x:c>
      <x:c r="E552" s="10" t="n">
        <x:v>3</x:v>
      </x:c>
      <x:c r="F552" s="10" t="n">
        <x:v>1</x:v>
      </x:c>
      <x:c r="G552" s="10" t="n">
        <x:f>MIN(E552,3)</x:f>
        <x:v>3</x:v>
      </x:c>
      <x:c r="H552" s="10" t="n">
        <x:v>8</x:v>
      </x:c>
      <x:c r="I552" s="19" t="n">
        <x:v>0.4</x:v>
      </x:c>
      <x:c r="J552" s="19" t="n">
        <x:v>0.8</x:v>
      </x:c>
      <x:c r="K552" s="19" t="n">
        <x:v>0.5</x:v>
      </x:c>
    </x:row>
    <x:row r="553" ht="23" customHeight="1">
      <x:c r="A553" s="2" t="str">
        <x:v>D040_T02_C080_G050</x:v>
      </x:c>
      <x:c r="B553" s="2" t="str">
        <x:v>A0040</x:v>
      </x:c>
      <x:c r="C553" s="10" t="n">
        <x:v>2</x:v>
      </x:c>
      <x:c r="D553" s="10" t="n">
        <x:v>3</x:v>
      </x:c>
      <x:c r="E553" s="10" t="n">
        <x:v>1</x:v>
      </x:c>
      <x:c r="F553" s="10" t="n">
        <x:v>1</x:v>
      </x:c>
      <x:c r="G553" s="10" t="n">
        <x:f>MIN(E553,3)</x:f>
        <x:v>1</x:v>
      </x:c>
      <x:c r="H553" s="10" t="n">
        <x:v>8</x:v>
      </x:c>
      <x:c r="I553" s="19" t="n">
        <x:v>0.4</x:v>
      </x:c>
      <x:c r="J553" s="19" t="n">
        <x:v>0.8</x:v>
      </x:c>
      <x:c r="K553" s="19" t="n">
        <x:v>0.5</x:v>
      </x:c>
    </x:row>
    <x:row r="554" ht="23" customHeight="1">
      <x:c r="A554" s="2" t="str">
        <x:v>D040_T02_C080_G050</x:v>
      </x:c>
      <x:c r="B554" s="2" t="str">
        <x:v>A0043</x:v>
      </x:c>
      <x:c r="C554" s="10" t="n">
        <x:v>2</x:v>
      </x:c>
      <x:c r="D554" s="10" t="n">
        <x:v>2</x:v>
      </x:c>
      <x:c r="E554" s="10" t="n">
        <x:v>0</x:v>
      </x:c>
      <x:c r="F554" s="10" t="n">
        <x:v>1</x:v>
      </x:c>
      <x:c r="G554" s="10" t="n">
        <x:f>MIN(E554,3)</x:f>
        <x:v>0</x:v>
      </x:c>
      <x:c r="H554" s="10" t="n">
        <x:v>8</x:v>
      </x:c>
      <x:c r="I554" s="19" t="n">
        <x:v>0.4</x:v>
      </x:c>
      <x:c r="J554" s="19" t="n">
        <x:v>0.8</x:v>
      </x:c>
      <x:c r="K554" s="19" t="n">
        <x:v>0.5</x:v>
      </x:c>
    </x:row>
    <x:row r="555" ht="23" customHeight="1">
      <x:c r="A555" s="2" t="str">
        <x:v>D040_T02_C080_G050</x:v>
      </x:c>
      <x:c r="B555" s="2" t="str">
        <x:v>A0071</x:v>
      </x:c>
      <x:c r="C555" s="10" t="n">
        <x:v>2</x:v>
      </x:c>
      <x:c r="D555" s="10" t="n">
        <x:v>3</x:v>
      </x:c>
      <x:c r="E555" s="10" t="n">
        <x:v>1</x:v>
      </x:c>
      <x:c r="F555" s="10" t="n">
        <x:v>1</x:v>
      </x:c>
      <x:c r="G555" s="10" t="n">
        <x:f>MIN(E555,3)</x:f>
        <x:v>1</x:v>
      </x:c>
      <x:c r="H555" s="10" t="n">
        <x:v>8</x:v>
      </x:c>
      <x:c r="I555" s="19" t="n">
        <x:v>0.4</x:v>
      </x:c>
      <x:c r="J555" s="19" t="n">
        <x:v>0.8</x:v>
      </x:c>
      <x:c r="K555" s="19" t="n">
        <x:v>0.5</x:v>
      </x:c>
    </x:row>
    <x:row r="556" ht="23" customHeight="1">
      <x:c r="A556" s="2" t="str">
        <x:v>D040_T02_C080_G050</x:v>
      </x:c>
      <x:c r="B556" s="2" t="str">
        <x:v>A0090</x:v>
      </x:c>
      <x:c r="C556" s="10" t="n">
        <x:v>2</x:v>
      </x:c>
      <x:c r="D556" s="10" t="n">
        <x:v>3</x:v>
      </x:c>
      <x:c r="E556" s="10" t="n">
        <x:v>1</x:v>
      </x:c>
      <x:c r="F556" s="10" t="n">
        <x:v>1</x:v>
      </x:c>
      <x:c r="G556" s="10" t="n">
        <x:f>MIN(E556,3)</x:f>
        <x:v>1</x:v>
      </x:c>
      <x:c r="H556" s="10" t="n">
        <x:v>8</x:v>
      </x:c>
      <x:c r="I556" s="19" t="n">
        <x:v>0.4</x:v>
      </x:c>
      <x:c r="J556" s="19" t="n">
        <x:v>0.8</x:v>
      </x:c>
      <x:c r="K556" s="19" t="n">
        <x:v>0.5</x:v>
      </x:c>
    </x:row>
    <x:row r="557" ht="23" customHeight="1">
      <x:c r="A557" s="2" t="str">
        <x:v>D040_T02_C080_G050</x:v>
      </x:c>
      <x:c r="B557" s="2" t="str">
        <x:v>A0189</x:v>
      </x:c>
      <x:c r="C557" s="10" t="n">
        <x:v>2</x:v>
      </x:c>
      <x:c r="D557" s="10" t="n">
        <x:v>6</x:v>
      </x:c>
      <x:c r="E557" s="10" t="n">
        <x:v>4</x:v>
      </x:c>
      <x:c r="F557" s="10" t="n">
        <x:v>1</x:v>
      </x:c>
      <x:c r="G557" s="10" t="n">
        <x:f>MIN(E557,3)</x:f>
        <x:v>3</x:v>
      </x:c>
      <x:c r="H557" s="10" t="n">
        <x:v>8</x:v>
      </x:c>
      <x:c r="I557" s="19" t="n">
        <x:v>0.4</x:v>
      </x:c>
      <x:c r="J557" s="19" t="n">
        <x:v>0.8</x:v>
      </x:c>
      <x:c r="K557" s="19" t="n">
        <x:v>0.5</x:v>
      </x:c>
    </x:row>
    <x:row r="558" ht="23" customHeight="1">
      <x:c r="A558" s="2" t="str">
        <x:v>D040_T02_C080_G050</x:v>
      </x:c>
      <x:c r="B558" s="2" t="str">
        <x:v>A0206</x:v>
      </x:c>
      <x:c r="C558" s="10" t="n">
        <x:v>2</x:v>
      </x:c>
      <x:c r="D558" s="10" t="n">
        <x:v>2</x:v>
      </x:c>
      <x:c r="E558" s="10" t="n">
        <x:v>0</x:v>
      </x:c>
      <x:c r="F558" s="10" t="n">
        <x:v>1</x:v>
      </x:c>
      <x:c r="G558" s="10" t="n">
        <x:f>MIN(E558,3)</x:f>
        <x:v>0</x:v>
      </x:c>
      <x:c r="H558" s="10" t="n">
        <x:v>8</x:v>
      </x:c>
      <x:c r="I558" s="19" t="n">
        <x:v>0.4</x:v>
      </x:c>
      <x:c r="J558" s="19" t="n">
        <x:v>0.8</x:v>
      </x:c>
      <x:c r="K558" s="19" t="n">
        <x:v>0.5</x:v>
      </x:c>
    </x:row>
    <x:row r="559" ht="23" customHeight="1">
      <x:c r="A559" s="2" t="str">
        <x:v>D040_T02_C080_G075</x:v>
      </x:c>
      <x:c r="B559" s="2" t="str">
        <x:v>A0001</x:v>
      </x:c>
      <x:c r="C559" s="10" t="n">
        <x:v>2</x:v>
      </x:c>
      <x:c r="D559" s="10" t="n">
        <x:v>2</x:v>
      </x:c>
      <x:c r="E559" s="10" t="n">
        <x:v>0</x:v>
      </x:c>
      <x:c r="F559" s="10" t="n">
        <x:v>1</x:v>
      </x:c>
      <x:c r="G559" s="10" t="n">
        <x:f>MIN(E559,3)</x:f>
        <x:v>0</x:v>
      </x:c>
      <x:c r="H559" s="10" t="n">
        <x:v>8</x:v>
      </x:c>
      <x:c r="I559" s="19" t="n">
        <x:v>0.4</x:v>
      </x:c>
      <x:c r="J559" s="19" t="n">
        <x:v>0.8</x:v>
      </x:c>
      <x:c r="K559" s="19" t="n">
        <x:v>0.75</x:v>
      </x:c>
    </x:row>
    <x:row r="560" ht="23" customHeight="1">
      <x:c r="A560" s="2" t="str">
        <x:v>D040_T02_C080_G075</x:v>
      </x:c>
      <x:c r="B560" s="2" t="str">
        <x:v>A0002</x:v>
      </x:c>
      <x:c r="C560" s="10" t="n">
        <x:v>2</x:v>
      </x:c>
      <x:c r="D560" s="10" t="n">
        <x:v>4</x:v>
      </x:c>
      <x:c r="E560" s="10" t="n">
        <x:v>2</x:v>
      </x:c>
      <x:c r="F560" s="10" t="n">
        <x:v>1</x:v>
      </x:c>
      <x:c r="G560" s="10" t="n">
        <x:f>MIN(E560,3)</x:f>
        <x:v>2</x:v>
      </x:c>
      <x:c r="H560" s="10" t="n">
        <x:v>8</x:v>
      </x:c>
      <x:c r="I560" s="19" t="n">
        <x:v>0.4</x:v>
      </x:c>
      <x:c r="J560" s="19" t="n">
        <x:v>0.8</x:v>
      </x:c>
      <x:c r="K560" s="19" t="n">
        <x:v>0.75</x:v>
      </x:c>
    </x:row>
    <x:row r="561" ht="23" customHeight="1">
      <x:c r="A561" s="2" t="str">
        <x:v>D040_T02_C080_G075</x:v>
      </x:c>
      <x:c r="B561" s="2" t="str">
        <x:v>A0003</x:v>
      </x:c>
      <x:c r="C561" s="10" t="n">
        <x:v>2</x:v>
      </x:c>
      <x:c r="D561" s="10" t="n">
        <x:v>2</x:v>
      </x:c>
      <x:c r="E561" s="10" t="n">
        <x:v>0</x:v>
      </x:c>
      <x:c r="F561" s="10" t="n">
        <x:v>1</x:v>
      </x:c>
      <x:c r="G561" s="10" t="n">
        <x:f>MIN(E561,3)</x:f>
        <x:v>0</x:v>
      </x:c>
      <x:c r="H561" s="10" t="n">
        <x:v>8</x:v>
      </x:c>
      <x:c r="I561" s="19" t="n">
        <x:v>0.4</x:v>
      </x:c>
      <x:c r="J561" s="19" t="n">
        <x:v>0.8</x:v>
      </x:c>
      <x:c r="K561" s="19" t="n">
        <x:v>0.75</x:v>
      </x:c>
    </x:row>
    <x:row r="562" ht="23" customHeight="1">
      <x:c r="A562" s="2" t="str">
        <x:v>D040_T02_C080_G075</x:v>
      </x:c>
      <x:c r="B562" s="2" t="str">
        <x:v>A0005</x:v>
      </x:c>
      <x:c r="C562" s="10" t="n">
        <x:v>2</x:v>
      </x:c>
      <x:c r="D562" s="10" t="n">
        <x:v>2</x:v>
      </x:c>
      <x:c r="E562" s="10" t="n">
        <x:v>0</x:v>
      </x:c>
      <x:c r="F562" s="10" t="n">
        <x:v>1</x:v>
      </x:c>
      <x:c r="G562" s="10" t="n">
        <x:f>MIN(E562,3)</x:f>
        <x:v>0</x:v>
      </x:c>
      <x:c r="H562" s="10" t="n">
        <x:v>8</x:v>
      </x:c>
      <x:c r="I562" s="19" t="n">
        <x:v>0.4</x:v>
      </x:c>
      <x:c r="J562" s="19" t="n">
        <x:v>0.8</x:v>
      </x:c>
      <x:c r="K562" s="19" t="n">
        <x:v>0.75</x:v>
      </x:c>
    </x:row>
    <x:row r="563" ht="23" customHeight="1">
      <x:c r="A563" s="2" t="str">
        <x:v>D040_T02_C080_G075</x:v>
      </x:c>
      <x:c r="B563" s="2" t="str">
        <x:v>A0011</x:v>
      </x:c>
      <x:c r="C563" s="10" t="n">
        <x:v>2</x:v>
      </x:c>
      <x:c r="D563" s="10" t="n">
        <x:v>3</x:v>
      </x:c>
      <x:c r="E563" s="10" t="n">
        <x:v>1</x:v>
      </x:c>
      <x:c r="F563" s="10" t="n">
        <x:v>1</x:v>
      </x:c>
      <x:c r="G563" s="10" t="n">
        <x:f>MIN(E563,3)</x:f>
        <x:v>1</x:v>
      </x:c>
      <x:c r="H563" s="10" t="n">
        <x:v>8</x:v>
      </x:c>
      <x:c r="I563" s="19" t="n">
        <x:v>0.4</x:v>
      </x:c>
      <x:c r="J563" s="19" t="n">
        <x:v>0.8</x:v>
      </x:c>
      <x:c r="K563" s="19" t="n">
        <x:v>0.75</x:v>
      </x:c>
    </x:row>
    <x:row r="564" ht="23" customHeight="1">
      <x:c r="A564" s="2" t="str">
        <x:v>D040_T02_C080_G075</x:v>
      </x:c>
      <x:c r="B564" s="2" t="str">
        <x:v>A0012</x:v>
      </x:c>
      <x:c r="C564" s="10" t="n">
        <x:v>2</x:v>
      </x:c>
      <x:c r="D564" s="10" t="n">
        <x:v>2</x:v>
      </x:c>
      <x:c r="E564" s="10" t="n">
        <x:v>0</x:v>
      </x:c>
      <x:c r="F564" s="10" t="n">
        <x:v>1</x:v>
      </x:c>
      <x:c r="G564" s="10" t="n">
        <x:f>MIN(E564,3)</x:f>
        <x:v>0</x:v>
      </x:c>
      <x:c r="H564" s="10" t="n">
        <x:v>8</x:v>
      </x:c>
      <x:c r="I564" s="19" t="n">
        <x:v>0.4</x:v>
      </x:c>
      <x:c r="J564" s="19" t="n">
        <x:v>0.8</x:v>
      </x:c>
      <x:c r="K564" s="19" t="n">
        <x:v>0.75</x:v>
      </x:c>
    </x:row>
    <x:row r="565" ht="23" customHeight="1">
      <x:c r="A565" s="2" t="str">
        <x:v>D040_T02_C080_G075</x:v>
      </x:c>
      <x:c r="B565" s="2" t="str">
        <x:v>A0013</x:v>
      </x:c>
      <x:c r="C565" s="10" t="n">
        <x:v>2</x:v>
      </x:c>
      <x:c r="D565" s="10" t="n">
        <x:v>2</x:v>
      </x:c>
      <x:c r="E565" s="10" t="n">
        <x:v>0</x:v>
      </x:c>
      <x:c r="F565" s="10" t="n">
        <x:v>1</x:v>
      </x:c>
      <x:c r="G565" s="10" t="n">
        <x:f>MIN(E565,3)</x:f>
        <x:v>0</x:v>
      </x:c>
      <x:c r="H565" s="10" t="n">
        <x:v>8</x:v>
      </x:c>
      <x:c r="I565" s="19" t="n">
        <x:v>0.4</x:v>
      </x:c>
      <x:c r="J565" s="19" t="n">
        <x:v>0.8</x:v>
      </x:c>
      <x:c r="K565" s="19" t="n">
        <x:v>0.75</x:v>
      </x:c>
    </x:row>
    <x:row r="566" ht="23" customHeight="1">
      <x:c r="A566" s="2" t="str">
        <x:v>D040_T02_C080_G075</x:v>
      </x:c>
      <x:c r="B566" s="2" t="str">
        <x:v>A0017</x:v>
      </x:c>
      <x:c r="C566" s="10" t="n">
        <x:v>2</x:v>
      </x:c>
      <x:c r="D566" s="10"/>
      <x:c r="E566" s="10" t="n">
        <x:v>8</x:v>
      </x:c>
      <x:c r="F566" s="10" t="n">
        <x:v>0</x:v>
      </x:c>
      <x:c r="G566" s="10" t="n">
        <x:f>MIN(E566,3)</x:f>
        <x:v>3</x:v>
      </x:c>
      <x:c r="H566" s="10" t="n">
        <x:v>8</x:v>
      </x:c>
      <x:c r="I566" s="19" t="n">
        <x:v>0.4</x:v>
      </x:c>
      <x:c r="J566" s="19" t="n">
        <x:v>0.8</x:v>
      </x:c>
      <x:c r="K566" s="19" t="n">
        <x:v>0.75</x:v>
      </x:c>
    </x:row>
    <x:row r="567" ht="23" customHeight="1">
      <x:c r="A567" s="2" t="str">
        <x:v>D040_T02_C080_G075</x:v>
      </x:c>
      <x:c r="B567" s="2" t="str">
        <x:v>A0018</x:v>
      </x:c>
      <x:c r="C567" s="10" t="n">
        <x:v>2</x:v>
      </x:c>
      <x:c r="D567" s="10" t="n">
        <x:v>2</x:v>
      </x:c>
      <x:c r="E567" s="10" t="n">
        <x:v>0</x:v>
      </x:c>
      <x:c r="F567" s="10" t="n">
        <x:v>1</x:v>
      </x:c>
      <x:c r="G567" s="10" t="n">
        <x:f>MIN(E567,3)</x:f>
        <x:v>0</x:v>
      </x:c>
      <x:c r="H567" s="10" t="n">
        <x:v>8</x:v>
      </x:c>
      <x:c r="I567" s="19" t="n">
        <x:v>0.4</x:v>
      </x:c>
      <x:c r="J567" s="19" t="n">
        <x:v>0.8</x:v>
      </x:c>
      <x:c r="K567" s="19" t="n">
        <x:v>0.75</x:v>
      </x:c>
    </x:row>
    <x:row r="568" ht="23" customHeight="1">
      <x:c r="A568" s="2" t="str">
        <x:v>D040_T02_C080_G075</x:v>
      </x:c>
      <x:c r="B568" s="2" t="str">
        <x:v>A0019</x:v>
      </x:c>
      <x:c r="C568" s="10" t="n">
        <x:v>2</x:v>
      </x:c>
      <x:c r="D568" s="10" t="n">
        <x:v>2</x:v>
      </x:c>
      <x:c r="E568" s="10" t="n">
        <x:v>0</x:v>
      </x:c>
      <x:c r="F568" s="10" t="n">
        <x:v>1</x:v>
      </x:c>
      <x:c r="G568" s="10" t="n">
        <x:f>MIN(E568,3)</x:f>
        <x:v>0</x:v>
      </x:c>
      <x:c r="H568" s="10" t="n">
        <x:v>8</x:v>
      </x:c>
      <x:c r="I568" s="19" t="n">
        <x:v>0.4</x:v>
      </x:c>
      <x:c r="J568" s="19" t="n">
        <x:v>0.8</x:v>
      </x:c>
      <x:c r="K568" s="19" t="n">
        <x:v>0.75</x:v>
      </x:c>
    </x:row>
    <x:row r="569" ht="23" customHeight="1">
      <x:c r="A569" s="2" t="str">
        <x:v>D040_T02_C080_G075</x:v>
      </x:c>
      <x:c r="B569" s="2" t="str">
        <x:v>A0020</x:v>
      </x:c>
      <x:c r="C569" s="10" t="n">
        <x:v>2</x:v>
      </x:c>
      <x:c r="D569" s="10" t="n">
        <x:v>2</x:v>
      </x:c>
      <x:c r="E569" s="10" t="n">
        <x:v>0</x:v>
      </x:c>
      <x:c r="F569" s="10" t="n">
        <x:v>1</x:v>
      </x:c>
      <x:c r="G569" s="10" t="n">
        <x:f>MIN(E569,3)</x:f>
        <x:v>0</x:v>
      </x:c>
      <x:c r="H569" s="10" t="n">
        <x:v>8</x:v>
      </x:c>
      <x:c r="I569" s="19" t="n">
        <x:v>0.4</x:v>
      </x:c>
      <x:c r="J569" s="19" t="n">
        <x:v>0.8</x:v>
      </x:c>
      <x:c r="K569" s="19" t="n">
        <x:v>0.75</x:v>
      </x:c>
    </x:row>
    <x:row r="570" ht="23" customHeight="1">
      <x:c r="A570" s="2" t="str">
        <x:v>D040_T02_C080_G075</x:v>
      </x:c>
      <x:c r="B570" s="2" t="str">
        <x:v>A0024</x:v>
      </x:c>
      <x:c r="C570" s="10" t="n">
        <x:v>2</x:v>
      </x:c>
      <x:c r="D570" s="10" t="n">
        <x:v>2</x:v>
      </x:c>
      <x:c r="E570" s="10" t="n">
        <x:v>0</x:v>
      </x:c>
      <x:c r="F570" s="10" t="n">
        <x:v>1</x:v>
      </x:c>
      <x:c r="G570" s="10" t="n">
        <x:f>MIN(E570,3)</x:f>
        <x:v>0</x:v>
      </x:c>
      <x:c r="H570" s="10" t="n">
        <x:v>8</x:v>
      </x:c>
      <x:c r="I570" s="19" t="n">
        <x:v>0.4</x:v>
      </x:c>
      <x:c r="J570" s="19" t="n">
        <x:v>0.8</x:v>
      </x:c>
      <x:c r="K570" s="19" t="n">
        <x:v>0.75</x:v>
      </x:c>
    </x:row>
    <x:row r="571" ht="23" customHeight="1">
      <x:c r="A571" s="2" t="str">
        <x:v>D040_T02_C080_G075</x:v>
      </x:c>
      <x:c r="B571" s="2" t="str">
        <x:v>A0025</x:v>
      </x:c>
      <x:c r="C571" s="10" t="n">
        <x:v>2</x:v>
      </x:c>
      <x:c r="D571" s="10" t="n">
        <x:v>2</x:v>
      </x:c>
      <x:c r="E571" s="10" t="n">
        <x:v>0</x:v>
      </x:c>
      <x:c r="F571" s="10" t="n">
        <x:v>1</x:v>
      </x:c>
      <x:c r="G571" s="10" t="n">
        <x:f>MIN(E571,3)</x:f>
        <x:v>0</x:v>
      </x:c>
      <x:c r="H571" s="10" t="n">
        <x:v>8</x:v>
      </x:c>
      <x:c r="I571" s="19" t="n">
        <x:v>0.4</x:v>
      </x:c>
      <x:c r="J571" s="19" t="n">
        <x:v>0.8</x:v>
      </x:c>
      <x:c r="K571" s="19" t="n">
        <x:v>0.75</x:v>
      </x:c>
    </x:row>
    <x:row r="572" ht="23" customHeight="1">
      <x:c r="A572" s="2" t="str">
        <x:v>D040_T02_C080_G075</x:v>
      </x:c>
      <x:c r="B572" s="2" t="str">
        <x:v>A0026</x:v>
      </x:c>
      <x:c r="C572" s="10" t="n">
        <x:v>2</x:v>
      </x:c>
      <x:c r="D572" s="10" t="n">
        <x:v>2</x:v>
      </x:c>
      <x:c r="E572" s="10" t="n">
        <x:v>0</x:v>
      </x:c>
      <x:c r="F572" s="10" t="n">
        <x:v>1</x:v>
      </x:c>
      <x:c r="G572" s="10" t="n">
        <x:f>MIN(E572,3)</x:f>
        <x:v>0</x:v>
      </x:c>
      <x:c r="H572" s="10" t="n">
        <x:v>8</x:v>
      </x:c>
      <x:c r="I572" s="19" t="n">
        <x:v>0.4</x:v>
      </x:c>
      <x:c r="J572" s="19" t="n">
        <x:v>0.8</x:v>
      </x:c>
      <x:c r="K572" s="19" t="n">
        <x:v>0.75</x:v>
      </x:c>
    </x:row>
    <x:row r="573" ht="23" customHeight="1">
      <x:c r="A573" s="2" t="str">
        <x:v>D040_T02_C080_G075</x:v>
      </x:c>
      <x:c r="B573" s="2" t="str">
        <x:v>A0027</x:v>
      </x:c>
      <x:c r="C573" s="10" t="n">
        <x:v>2</x:v>
      </x:c>
      <x:c r="D573" s="10" t="n">
        <x:v>2</x:v>
      </x:c>
      <x:c r="E573" s="10" t="n">
        <x:v>0</x:v>
      </x:c>
      <x:c r="F573" s="10" t="n">
        <x:v>1</x:v>
      </x:c>
      <x:c r="G573" s="10" t="n">
        <x:f>MIN(E573,3)</x:f>
        <x:v>0</x:v>
      </x:c>
      <x:c r="H573" s="10" t="n">
        <x:v>8</x:v>
      </x:c>
      <x:c r="I573" s="19" t="n">
        <x:v>0.4</x:v>
      </x:c>
      <x:c r="J573" s="19" t="n">
        <x:v>0.8</x:v>
      </x:c>
      <x:c r="K573" s="19" t="n">
        <x:v>0.75</x:v>
      </x:c>
    </x:row>
    <x:row r="574" ht="23" customHeight="1">
      <x:c r="A574" s="2" t="str">
        <x:v>D040_T02_C080_G075</x:v>
      </x:c>
      <x:c r="B574" s="2" t="str">
        <x:v>A0029</x:v>
      </x:c>
      <x:c r="C574" s="10" t="n">
        <x:v>2</x:v>
      </x:c>
      <x:c r="D574" s="10" t="n">
        <x:v>2</x:v>
      </x:c>
      <x:c r="E574" s="10" t="n">
        <x:v>0</x:v>
      </x:c>
      <x:c r="F574" s="10" t="n">
        <x:v>1</x:v>
      </x:c>
      <x:c r="G574" s="10" t="n">
        <x:f>MIN(E574,3)</x:f>
        <x:v>0</x:v>
      </x:c>
      <x:c r="H574" s="10" t="n">
        <x:v>8</x:v>
      </x:c>
      <x:c r="I574" s="19" t="n">
        <x:v>0.4</x:v>
      </x:c>
      <x:c r="J574" s="19" t="n">
        <x:v>0.8</x:v>
      </x:c>
      <x:c r="K574" s="19" t="n">
        <x:v>0.75</x:v>
      </x:c>
    </x:row>
    <x:row r="575" ht="23" customHeight="1">
      <x:c r="A575" s="2" t="str">
        <x:v>D040_T02_C080_G075</x:v>
      </x:c>
      <x:c r="B575" s="2" t="str">
        <x:v>A0030</x:v>
      </x:c>
      <x:c r="C575" s="10" t="n">
        <x:v>2</x:v>
      </x:c>
      <x:c r="D575" s="10" t="n">
        <x:v>2</x:v>
      </x:c>
      <x:c r="E575" s="10" t="n">
        <x:v>0</x:v>
      </x:c>
      <x:c r="F575" s="10" t="n">
        <x:v>1</x:v>
      </x:c>
      <x:c r="G575" s="10" t="n">
        <x:f>MIN(E575,3)</x:f>
        <x:v>0</x:v>
      </x:c>
      <x:c r="H575" s="10" t="n">
        <x:v>8</x:v>
      </x:c>
      <x:c r="I575" s="19" t="n">
        <x:v>0.4</x:v>
      </x:c>
      <x:c r="J575" s="19" t="n">
        <x:v>0.8</x:v>
      </x:c>
      <x:c r="K575" s="19" t="n">
        <x:v>0.75</x:v>
      </x:c>
    </x:row>
    <x:row r="576" ht="23" customHeight="1">
      <x:c r="A576" s="2" t="str">
        <x:v>D040_T02_C080_G075</x:v>
      </x:c>
      <x:c r="B576" s="2" t="str">
        <x:v>A0032</x:v>
      </x:c>
      <x:c r="C576" s="10" t="n">
        <x:v>2</x:v>
      </x:c>
      <x:c r="D576" s="10" t="n">
        <x:v>2</x:v>
      </x:c>
      <x:c r="E576" s="10" t="n">
        <x:v>0</x:v>
      </x:c>
      <x:c r="F576" s="10" t="n">
        <x:v>1</x:v>
      </x:c>
      <x:c r="G576" s="10" t="n">
        <x:f>MIN(E576,3)</x:f>
        <x:v>0</x:v>
      </x:c>
      <x:c r="H576" s="10" t="n">
        <x:v>8</x:v>
      </x:c>
      <x:c r="I576" s="19" t="n">
        <x:v>0.4</x:v>
      </x:c>
      <x:c r="J576" s="19" t="n">
        <x:v>0.8</x:v>
      </x:c>
      <x:c r="K576" s="19" t="n">
        <x:v>0.75</x:v>
      </x:c>
    </x:row>
    <x:row r="577" ht="23" customHeight="1">
      <x:c r="A577" s="2" t="str">
        <x:v>D040_T02_C080_G075</x:v>
      </x:c>
      <x:c r="B577" s="2" t="str">
        <x:v>A0033</x:v>
      </x:c>
      <x:c r="C577" s="10" t="n">
        <x:v>2</x:v>
      </x:c>
      <x:c r="D577" s="10" t="n">
        <x:v>2</x:v>
      </x:c>
      <x:c r="E577" s="10" t="n">
        <x:v>0</x:v>
      </x:c>
      <x:c r="F577" s="10" t="n">
        <x:v>1</x:v>
      </x:c>
      <x:c r="G577" s="10" t="n">
        <x:f>MIN(E577,3)</x:f>
        <x:v>0</x:v>
      </x:c>
      <x:c r="H577" s="10" t="n">
        <x:v>8</x:v>
      </x:c>
      <x:c r="I577" s="19" t="n">
        <x:v>0.4</x:v>
      </x:c>
      <x:c r="J577" s="19" t="n">
        <x:v>0.8</x:v>
      </x:c>
      <x:c r="K577" s="19" t="n">
        <x:v>0.75</x:v>
      </x:c>
    </x:row>
    <x:row r="578" ht="23" customHeight="1">
      <x:c r="A578" s="2" t="str">
        <x:v>D040_T02_C080_G075</x:v>
      </x:c>
      <x:c r="B578" s="2" t="str">
        <x:v>A0034</x:v>
      </x:c>
      <x:c r="C578" s="10" t="n">
        <x:v>2</x:v>
      </x:c>
      <x:c r="D578" s="10" t="n">
        <x:v>3</x:v>
      </x:c>
      <x:c r="E578" s="10" t="n">
        <x:v>1</x:v>
      </x:c>
      <x:c r="F578" s="10" t="n">
        <x:v>1</x:v>
      </x:c>
      <x:c r="G578" s="10" t="n">
        <x:f>MIN(E578,3)</x:f>
        <x:v>1</x:v>
      </x:c>
      <x:c r="H578" s="10" t="n">
        <x:v>8</x:v>
      </x:c>
      <x:c r="I578" s="19" t="n">
        <x:v>0.4</x:v>
      </x:c>
      <x:c r="J578" s="19" t="n">
        <x:v>0.8</x:v>
      </x:c>
      <x:c r="K578" s="19" t="n">
        <x:v>0.75</x:v>
      </x:c>
    </x:row>
    <x:row r="579" ht="23" customHeight="1">
      <x:c r="A579" s="2" t="str">
        <x:v>D040_T02_C080_G075</x:v>
      </x:c>
      <x:c r="B579" s="2" t="str">
        <x:v>A0035</x:v>
      </x:c>
      <x:c r="C579" s="10" t="n">
        <x:v>2</x:v>
      </x:c>
      <x:c r="D579" s="10" t="n">
        <x:v>2</x:v>
      </x:c>
      <x:c r="E579" s="10" t="n">
        <x:v>0</x:v>
      </x:c>
      <x:c r="F579" s="10" t="n">
        <x:v>1</x:v>
      </x:c>
      <x:c r="G579" s="10" t="n">
        <x:f>MIN(E579,3)</x:f>
        <x:v>0</x:v>
      </x:c>
      <x:c r="H579" s="10" t="n">
        <x:v>8</x:v>
      </x:c>
      <x:c r="I579" s="19" t="n">
        <x:v>0.4</x:v>
      </x:c>
      <x:c r="J579" s="19" t="n">
        <x:v>0.8</x:v>
      </x:c>
      <x:c r="K579" s="19" t="n">
        <x:v>0.75</x:v>
      </x:c>
    </x:row>
    <x:row r="580" ht="23" customHeight="1">
      <x:c r="A580" s="2" t="str">
        <x:v>D040_T02_C080_G075</x:v>
      </x:c>
      <x:c r="B580" s="2" t="str">
        <x:v>A0036</x:v>
      </x:c>
      <x:c r="C580" s="10" t="n">
        <x:v>2</x:v>
      </x:c>
      <x:c r="D580" s="10" t="n">
        <x:v>2</x:v>
      </x:c>
      <x:c r="E580" s="10" t="n">
        <x:v>0</x:v>
      </x:c>
      <x:c r="F580" s="10" t="n">
        <x:v>1</x:v>
      </x:c>
      <x:c r="G580" s="10" t="n">
        <x:f>MIN(E580,3)</x:f>
        <x:v>0</x:v>
      </x:c>
      <x:c r="H580" s="10" t="n">
        <x:v>8</x:v>
      </x:c>
      <x:c r="I580" s="19" t="n">
        <x:v>0.4</x:v>
      </x:c>
      <x:c r="J580" s="19" t="n">
        <x:v>0.8</x:v>
      </x:c>
      <x:c r="K580" s="19" t="n">
        <x:v>0.75</x:v>
      </x:c>
    </x:row>
    <x:row r="581" ht="23" customHeight="1">
      <x:c r="A581" s="2" t="str">
        <x:v>D040_T02_C080_G075</x:v>
      </x:c>
      <x:c r="B581" s="2" t="str">
        <x:v>A0037</x:v>
      </x:c>
      <x:c r="C581" s="10" t="n">
        <x:v>2</x:v>
      </x:c>
      <x:c r="D581" s="10" t="n">
        <x:v>2</x:v>
      </x:c>
      <x:c r="E581" s="10" t="n">
        <x:v>0</x:v>
      </x:c>
      <x:c r="F581" s="10" t="n">
        <x:v>1</x:v>
      </x:c>
      <x:c r="G581" s="10" t="n">
        <x:f>MIN(E581,3)</x:f>
        <x:v>0</x:v>
      </x:c>
      <x:c r="H581" s="10" t="n">
        <x:v>8</x:v>
      </x:c>
      <x:c r="I581" s="19" t="n">
        <x:v>0.4</x:v>
      </x:c>
      <x:c r="J581" s="19" t="n">
        <x:v>0.8</x:v>
      </x:c>
      <x:c r="K581" s="19" t="n">
        <x:v>0.75</x:v>
      </x:c>
    </x:row>
    <x:row r="582" ht="23" customHeight="1">
      <x:c r="A582" s="2" t="str">
        <x:v>D040_T02_C080_G075</x:v>
      </x:c>
      <x:c r="B582" s="2" t="str">
        <x:v>A0038</x:v>
      </x:c>
      <x:c r="C582" s="10" t="n">
        <x:v>2</x:v>
      </x:c>
      <x:c r="D582" s="10" t="n">
        <x:v>3</x:v>
      </x:c>
      <x:c r="E582" s="10" t="n">
        <x:v>1</x:v>
      </x:c>
      <x:c r="F582" s="10" t="n">
        <x:v>1</x:v>
      </x:c>
      <x:c r="G582" s="10" t="n">
        <x:f>MIN(E582,3)</x:f>
        <x:v>1</x:v>
      </x:c>
      <x:c r="H582" s="10" t="n">
        <x:v>8</x:v>
      </x:c>
      <x:c r="I582" s="19" t="n">
        <x:v>0.4</x:v>
      </x:c>
      <x:c r="J582" s="19" t="n">
        <x:v>0.8</x:v>
      </x:c>
      <x:c r="K582" s="19" t="n">
        <x:v>0.75</x:v>
      </x:c>
    </x:row>
    <x:row r="583" ht="23" customHeight="1">
      <x:c r="A583" s="2" t="str">
        <x:v>D040_T02_C080_G075</x:v>
      </x:c>
      <x:c r="B583" s="2" t="str">
        <x:v>A0040</x:v>
      </x:c>
      <x:c r="C583" s="10" t="n">
        <x:v>2</x:v>
      </x:c>
      <x:c r="D583" s="10" t="n">
        <x:v>2</x:v>
      </x:c>
      <x:c r="E583" s="10" t="n">
        <x:v>0</x:v>
      </x:c>
      <x:c r="F583" s="10" t="n">
        <x:v>1</x:v>
      </x:c>
      <x:c r="G583" s="10" t="n">
        <x:f>MIN(E583,3)</x:f>
        <x:v>0</x:v>
      </x:c>
      <x:c r="H583" s="10" t="n">
        <x:v>8</x:v>
      </x:c>
      <x:c r="I583" s="19" t="n">
        <x:v>0.4</x:v>
      </x:c>
      <x:c r="J583" s="19" t="n">
        <x:v>0.8</x:v>
      </x:c>
      <x:c r="K583" s="19" t="n">
        <x:v>0.75</x:v>
      </x:c>
    </x:row>
    <x:row r="584" ht="23" customHeight="1">
      <x:c r="A584" s="2" t="str">
        <x:v>D040_T02_C080_G075</x:v>
      </x:c>
      <x:c r="B584" s="2" t="str">
        <x:v>A0041</x:v>
      </x:c>
      <x:c r="C584" s="10" t="n">
        <x:v>2</x:v>
      </x:c>
      <x:c r="D584" s="10" t="n">
        <x:v>2</x:v>
      </x:c>
      <x:c r="E584" s="10" t="n">
        <x:v>0</x:v>
      </x:c>
      <x:c r="F584" s="10" t="n">
        <x:v>1</x:v>
      </x:c>
      <x:c r="G584" s="10" t="n">
        <x:f>MIN(E584,3)</x:f>
        <x:v>0</x:v>
      </x:c>
      <x:c r="H584" s="10" t="n">
        <x:v>8</x:v>
      </x:c>
      <x:c r="I584" s="19" t="n">
        <x:v>0.4</x:v>
      </x:c>
      <x:c r="J584" s="19" t="n">
        <x:v>0.8</x:v>
      </x:c>
      <x:c r="K584" s="19" t="n">
        <x:v>0.75</x:v>
      </x:c>
    </x:row>
    <x:row r="585" ht="23" customHeight="1">
      <x:c r="A585" s="2" t="str">
        <x:v>D040_T02_C080_G075</x:v>
      </x:c>
      <x:c r="B585" s="2" t="str">
        <x:v>A0043</x:v>
      </x:c>
      <x:c r="C585" s="10" t="n">
        <x:v>2</x:v>
      </x:c>
      <x:c r="D585" s="10" t="n">
        <x:v>2</x:v>
      </x:c>
      <x:c r="E585" s="10" t="n">
        <x:v>0</x:v>
      </x:c>
      <x:c r="F585" s="10" t="n">
        <x:v>1</x:v>
      </x:c>
      <x:c r="G585" s="10" t="n">
        <x:f>MIN(E585,3)</x:f>
        <x:v>0</x:v>
      </x:c>
      <x:c r="H585" s="10" t="n">
        <x:v>8</x:v>
      </x:c>
      <x:c r="I585" s="19" t="n">
        <x:v>0.4</x:v>
      </x:c>
      <x:c r="J585" s="19" t="n">
        <x:v>0.8</x:v>
      </x:c>
      <x:c r="K585" s="19" t="n">
        <x:v>0.75</x:v>
      </x:c>
    </x:row>
    <x:row r="586" ht="23" customHeight="1">
      <x:c r="A586" s="2" t="str">
        <x:v>D040_T02_C080_G075</x:v>
      </x:c>
      <x:c r="B586" s="2" t="str">
        <x:v>A0071</x:v>
      </x:c>
      <x:c r="C586" s="10" t="n">
        <x:v>2</x:v>
      </x:c>
      <x:c r="D586" s="10" t="n">
        <x:v>3</x:v>
      </x:c>
      <x:c r="E586" s="10" t="n">
        <x:v>1</x:v>
      </x:c>
      <x:c r="F586" s="10" t="n">
        <x:v>1</x:v>
      </x:c>
      <x:c r="G586" s="10" t="n">
        <x:f>MIN(E586,3)</x:f>
        <x:v>1</x:v>
      </x:c>
      <x:c r="H586" s="10" t="n">
        <x:v>8</x:v>
      </x:c>
      <x:c r="I586" s="19" t="n">
        <x:v>0.4</x:v>
      </x:c>
      <x:c r="J586" s="19" t="n">
        <x:v>0.8</x:v>
      </x:c>
      <x:c r="K586" s="19" t="n">
        <x:v>0.75</x:v>
      </x:c>
    </x:row>
    <x:row r="587" ht="23" customHeight="1">
      <x:c r="A587" s="2" t="str">
        <x:v>D040_T02_C080_G075</x:v>
      </x:c>
      <x:c r="B587" s="2" t="str">
        <x:v>A0189</x:v>
      </x:c>
      <x:c r="C587" s="10" t="n">
        <x:v>2</x:v>
      </x:c>
      <x:c r="D587" s="10" t="n">
        <x:v>3</x:v>
      </x:c>
      <x:c r="E587" s="10" t="n">
        <x:v>1</x:v>
      </x:c>
      <x:c r="F587" s="10" t="n">
        <x:v>1</x:v>
      </x:c>
      <x:c r="G587" s="10" t="n">
        <x:f>MIN(E587,3)</x:f>
        <x:v>1</x:v>
      </x:c>
      <x:c r="H587" s="10" t="n">
        <x:v>8</x:v>
      </x:c>
      <x:c r="I587" s="19" t="n">
        <x:v>0.4</x:v>
      </x:c>
      <x:c r="J587" s="19" t="n">
        <x:v>0.8</x:v>
      </x:c>
      <x:c r="K587" s="19" t="n">
        <x:v>0.75</x:v>
      </x:c>
    </x:row>
    <x:row r="588" ht="23" customHeight="1">
      <x:c r="A588" s="2" t="str">
        <x:v>D040_T02_C080_G075</x:v>
      </x:c>
      <x:c r="B588" s="2" t="str">
        <x:v>A0206</x:v>
      </x:c>
      <x:c r="C588" s="10" t="n">
        <x:v>2</x:v>
      </x:c>
      <x:c r="D588" s="10" t="n">
        <x:v>2</x:v>
      </x:c>
      <x:c r="E588" s="10" t="n">
        <x:v>0</x:v>
      </x:c>
      <x:c r="F588" s="10" t="n">
        <x:v>1</x:v>
      </x:c>
      <x:c r="G588" s="10" t="n">
        <x:f>MIN(E588,3)</x:f>
        <x:v>0</x:v>
      </x:c>
      <x:c r="H588" s="10" t="n">
        <x:v>8</x:v>
      </x:c>
      <x:c r="I588" s="19" t="n">
        <x:v>0.4</x:v>
      </x:c>
      <x:c r="J588" s="19" t="n">
        <x:v>0.8</x:v>
      </x:c>
      <x:c r="K588" s="19" t="n">
        <x:v>0.75</x:v>
      </x:c>
    </x:row>
    <x:row r="589" ht="23" customHeight="1">
      <x:c r="A589" s="2" t="str">
        <x:v>D040_T04_C020_G025</x:v>
      </x:c>
      <x:c r="B589" s="2" t="str">
        <x:v>A0001</x:v>
      </x:c>
      <x:c r="C589" s="10" t="n">
        <x:v>4</x:v>
      </x:c>
      <x:c r="D589" s="10" t="n">
        <x:v>6</x:v>
      </x:c>
      <x:c r="E589" s="10" t="n">
        <x:v>2</x:v>
      </x:c>
      <x:c r="F589" s="10" t="n">
        <x:v>1</x:v>
      </x:c>
      <x:c r="G589" s="10" t="n">
        <x:f>MIN(E589,3)</x:f>
        <x:v>2</x:v>
      </x:c>
      <x:c r="H589" s="10" t="n">
        <x:v>6</x:v>
      </x:c>
      <x:c r="I589" s="19" t="n">
        <x:v>0.4</x:v>
      </x:c>
      <x:c r="J589" s="19" t="n">
        <x:v>0.2</x:v>
      </x:c>
      <x:c r="K589" s="19" t="n">
        <x:v>0.25</x:v>
      </x:c>
    </x:row>
    <x:row r="590" ht="23" customHeight="1">
      <x:c r="A590" s="2" t="str">
        <x:v>D040_T04_C020_G025</x:v>
      </x:c>
      <x:c r="B590" s="2" t="str">
        <x:v>A0005</x:v>
      </x:c>
      <x:c r="C590" s="10" t="n">
        <x:v>4</x:v>
      </x:c>
      <x:c r="D590" s="10"/>
      <x:c r="E590" s="10" t="n">
        <x:v>6</x:v>
      </x:c>
      <x:c r="F590" s="10" t="n">
        <x:v>0</x:v>
      </x:c>
      <x:c r="G590" s="10" t="n">
        <x:f>MIN(E590,3)</x:f>
        <x:v>3</x:v>
      </x:c>
      <x:c r="H590" s="10" t="n">
        <x:v>6</x:v>
      </x:c>
      <x:c r="I590" s="19" t="n">
        <x:v>0.4</x:v>
      </x:c>
      <x:c r="J590" s="19" t="n">
        <x:v>0.2</x:v>
      </x:c>
      <x:c r="K590" s="19" t="n">
        <x:v>0.25</x:v>
      </x:c>
    </x:row>
    <x:row r="591" ht="23" customHeight="1">
      <x:c r="A591" s="2" t="str">
        <x:v>D040_T04_C020_G025</x:v>
      </x:c>
      <x:c r="B591" s="2" t="str">
        <x:v>A0006</x:v>
      </x:c>
      <x:c r="C591" s="10" t="n">
        <x:v>4</x:v>
      </x:c>
      <x:c r="D591" s="10" t="n">
        <x:v>7</x:v>
      </x:c>
      <x:c r="E591" s="10" t="n">
        <x:v>3</x:v>
      </x:c>
      <x:c r="F591" s="10" t="n">
        <x:v>1</x:v>
      </x:c>
      <x:c r="G591" s="10" t="n">
        <x:f>MIN(E591,3)</x:f>
        <x:v>3</x:v>
      </x:c>
      <x:c r="H591" s="10" t="n">
        <x:v>6</x:v>
      </x:c>
      <x:c r="I591" s="19" t="n">
        <x:v>0.4</x:v>
      </x:c>
      <x:c r="J591" s="19" t="n">
        <x:v>0.2</x:v>
      </x:c>
      <x:c r="K591" s="19" t="n">
        <x:v>0.25</x:v>
      </x:c>
    </x:row>
    <x:row r="592" ht="23" customHeight="1">
      <x:c r="A592" s="2" t="str">
        <x:v>D040_T04_C020_G025</x:v>
      </x:c>
      <x:c r="B592" s="2" t="str">
        <x:v>A0007</x:v>
      </x:c>
      <x:c r="C592" s="10" t="n">
        <x:v>4</x:v>
      </x:c>
      <x:c r="D592" s="10" t="n">
        <x:v>9</x:v>
      </x:c>
      <x:c r="E592" s="10" t="n">
        <x:v>5</x:v>
      </x:c>
      <x:c r="F592" s="10" t="n">
        <x:v>1</x:v>
      </x:c>
      <x:c r="G592" s="10" t="n">
        <x:f>MIN(E592,3)</x:f>
        <x:v>3</x:v>
      </x:c>
      <x:c r="H592" s="10" t="n">
        <x:v>6</x:v>
      </x:c>
      <x:c r="I592" s="19" t="n">
        <x:v>0.4</x:v>
      </x:c>
      <x:c r="J592" s="19" t="n">
        <x:v>0.2</x:v>
      </x:c>
      <x:c r="K592" s="19" t="n">
        <x:v>0.25</x:v>
      </x:c>
    </x:row>
    <x:row r="593" ht="23" customHeight="1">
      <x:c r="A593" s="2" t="str">
        <x:v>D040_T04_C020_G025</x:v>
      </x:c>
      <x:c r="B593" s="2" t="str">
        <x:v>A0008</x:v>
      </x:c>
      <x:c r="C593" s="10" t="n">
        <x:v>4</x:v>
      </x:c>
      <x:c r="D593" s="10"/>
      <x:c r="E593" s="10" t="n">
        <x:v>6</x:v>
      </x:c>
      <x:c r="F593" s="10" t="n">
        <x:v>0</x:v>
      </x:c>
      <x:c r="G593" s="10" t="n">
        <x:f>MIN(E593,3)</x:f>
        <x:v>3</x:v>
      </x:c>
      <x:c r="H593" s="10" t="n">
        <x:v>6</x:v>
      </x:c>
      <x:c r="I593" s="19" t="n">
        <x:v>0.4</x:v>
      </x:c>
      <x:c r="J593" s="19" t="n">
        <x:v>0.2</x:v>
      </x:c>
      <x:c r="K593" s="19" t="n">
        <x:v>0.25</x:v>
      </x:c>
    </x:row>
    <x:row r="594" ht="23" customHeight="1">
      <x:c r="A594" s="2" t="str">
        <x:v>D040_T04_C020_G025</x:v>
      </x:c>
      <x:c r="B594" s="2" t="str">
        <x:v>A0009</x:v>
      </x:c>
      <x:c r="C594" s="10" t="n">
        <x:v>4</x:v>
      </x:c>
      <x:c r="D594" s="10" t="n">
        <x:v>8</x:v>
      </x:c>
      <x:c r="E594" s="10" t="n">
        <x:v>4</x:v>
      </x:c>
      <x:c r="F594" s="10" t="n">
        <x:v>1</x:v>
      </x:c>
      <x:c r="G594" s="10" t="n">
        <x:f>MIN(E594,3)</x:f>
        <x:v>3</x:v>
      </x:c>
      <x:c r="H594" s="10" t="n">
        <x:v>6</x:v>
      </x:c>
      <x:c r="I594" s="19" t="n">
        <x:v>0.4</x:v>
      </x:c>
      <x:c r="J594" s="19" t="n">
        <x:v>0.2</x:v>
      </x:c>
      <x:c r="K594" s="19" t="n">
        <x:v>0.25</x:v>
      </x:c>
    </x:row>
    <x:row r="595" ht="23" customHeight="1">
      <x:c r="A595" s="2" t="str">
        <x:v>D040_T04_C020_G025</x:v>
      </x:c>
      <x:c r="B595" s="2" t="str">
        <x:v>A0011</x:v>
      </x:c>
      <x:c r="C595" s="10" t="n">
        <x:v>4</x:v>
      </x:c>
      <x:c r="D595" s="10" t="n">
        <x:v>7</x:v>
      </x:c>
      <x:c r="E595" s="10" t="n">
        <x:v>3</x:v>
      </x:c>
      <x:c r="F595" s="10" t="n">
        <x:v>1</x:v>
      </x:c>
      <x:c r="G595" s="10" t="n">
        <x:f>MIN(E595,3)</x:f>
        <x:v>3</x:v>
      </x:c>
      <x:c r="H595" s="10" t="n">
        <x:v>6</x:v>
      </x:c>
      <x:c r="I595" s="19" t="n">
        <x:v>0.4</x:v>
      </x:c>
      <x:c r="J595" s="19" t="n">
        <x:v>0.2</x:v>
      </x:c>
      <x:c r="K595" s="19" t="n">
        <x:v>0.25</x:v>
      </x:c>
    </x:row>
    <x:row r="596" ht="23" customHeight="1">
      <x:c r="A596" s="2" t="str">
        <x:v>D040_T04_C020_G025</x:v>
      </x:c>
      <x:c r="B596" s="2" t="str">
        <x:v>A0012</x:v>
      </x:c>
      <x:c r="C596" s="10" t="n">
        <x:v>4</x:v>
      </x:c>
      <x:c r="D596" s="10"/>
      <x:c r="E596" s="10" t="n">
        <x:v>6</x:v>
      </x:c>
      <x:c r="F596" s="10" t="n">
        <x:v>0</x:v>
      </x:c>
      <x:c r="G596" s="10" t="n">
        <x:f>MIN(E596,3)</x:f>
        <x:v>3</x:v>
      </x:c>
      <x:c r="H596" s="10" t="n">
        <x:v>6</x:v>
      </x:c>
      <x:c r="I596" s="19" t="n">
        <x:v>0.4</x:v>
      </x:c>
      <x:c r="J596" s="19" t="n">
        <x:v>0.2</x:v>
      </x:c>
      <x:c r="K596" s="19" t="n">
        <x:v>0.25</x:v>
      </x:c>
    </x:row>
    <x:row r="597" ht="23" customHeight="1">
      <x:c r="A597" s="2" t="str">
        <x:v>D040_T04_C020_G025</x:v>
      </x:c>
      <x:c r="B597" s="2" t="str">
        <x:v>A0014</x:v>
      </x:c>
      <x:c r="C597" s="10" t="n">
        <x:v>4</x:v>
      </x:c>
      <x:c r="D597" s="10" t="n">
        <x:v>4</x:v>
      </x:c>
      <x:c r="E597" s="10" t="n">
        <x:v>0</x:v>
      </x:c>
      <x:c r="F597" s="10" t="n">
        <x:v>1</x:v>
      </x:c>
      <x:c r="G597" s="10" t="n">
        <x:f>MIN(E597,3)</x:f>
        <x:v>0</x:v>
      </x:c>
      <x:c r="H597" s="10" t="n">
        <x:v>6</x:v>
      </x:c>
      <x:c r="I597" s="19" t="n">
        <x:v>0.4</x:v>
      </x:c>
      <x:c r="J597" s="19" t="n">
        <x:v>0.2</x:v>
      </x:c>
      <x:c r="K597" s="19" t="n">
        <x:v>0.25</x:v>
      </x:c>
    </x:row>
    <x:row r="598" ht="23" customHeight="1">
      <x:c r="A598" s="2" t="str">
        <x:v>D040_T04_C020_G025</x:v>
      </x:c>
      <x:c r="B598" s="2" t="str">
        <x:v>A0016</x:v>
      </x:c>
      <x:c r="C598" s="10" t="n">
        <x:v>4</x:v>
      </x:c>
      <x:c r="D598" s="10"/>
      <x:c r="E598" s="10" t="n">
        <x:v>6</x:v>
      </x:c>
      <x:c r="F598" s="10" t="n">
        <x:v>0</x:v>
      </x:c>
      <x:c r="G598" s="10" t="n">
        <x:f>MIN(E598,3)</x:f>
        <x:v>3</x:v>
      </x:c>
      <x:c r="H598" s="10" t="n">
        <x:v>6</x:v>
      </x:c>
      <x:c r="I598" s="19" t="n">
        <x:v>0.4</x:v>
      </x:c>
      <x:c r="J598" s="19" t="n">
        <x:v>0.2</x:v>
      </x:c>
      <x:c r="K598" s="19" t="n">
        <x:v>0.25</x:v>
      </x:c>
    </x:row>
    <x:row r="599" ht="23" customHeight="1">
      <x:c r="A599" s="2" t="str">
        <x:v>D040_T04_C020_G025</x:v>
      </x:c>
      <x:c r="B599" s="2" t="str">
        <x:v>A0017</x:v>
      </x:c>
      <x:c r="C599" s="10" t="n">
        <x:v>4</x:v>
      </x:c>
      <x:c r="D599" s="10"/>
      <x:c r="E599" s="10" t="n">
        <x:v>6</x:v>
      </x:c>
      <x:c r="F599" s="10" t="n">
        <x:v>0</x:v>
      </x:c>
      <x:c r="G599" s="10" t="n">
        <x:f>MIN(E599,3)</x:f>
        <x:v>3</x:v>
      </x:c>
      <x:c r="H599" s="10" t="n">
        <x:v>6</x:v>
      </x:c>
      <x:c r="I599" s="19" t="n">
        <x:v>0.4</x:v>
      </x:c>
      <x:c r="J599" s="19" t="n">
        <x:v>0.2</x:v>
      </x:c>
      <x:c r="K599" s="19" t="n">
        <x:v>0.25</x:v>
      </x:c>
    </x:row>
    <x:row r="600" ht="23" customHeight="1">
      <x:c r="A600" s="2" t="str">
        <x:v>D040_T04_C020_G025</x:v>
      </x:c>
      <x:c r="B600" s="2" t="str">
        <x:v>A0018</x:v>
      </x:c>
      <x:c r="C600" s="10" t="n">
        <x:v>4</x:v>
      </x:c>
      <x:c r="D600" s="10"/>
      <x:c r="E600" s="10" t="n">
        <x:v>6</x:v>
      </x:c>
      <x:c r="F600" s="10" t="n">
        <x:v>0</x:v>
      </x:c>
      <x:c r="G600" s="10" t="n">
        <x:f>MIN(E600,3)</x:f>
        <x:v>3</x:v>
      </x:c>
      <x:c r="H600" s="10" t="n">
        <x:v>6</x:v>
      </x:c>
      <x:c r="I600" s="19" t="n">
        <x:v>0.4</x:v>
      </x:c>
      <x:c r="J600" s="19" t="n">
        <x:v>0.2</x:v>
      </x:c>
      <x:c r="K600" s="19" t="n">
        <x:v>0.25</x:v>
      </x:c>
    </x:row>
    <x:row r="601" ht="23" customHeight="1">
      <x:c r="A601" s="2" t="str">
        <x:v>D040_T04_C020_G025</x:v>
      </x:c>
      <x:c r="B601" s="2" t="str">
        <x:v>A0019</x:v>
      </x:c>
      <x:c r="C601" s="10" t="n">
        <x:v>4</x:v>
      </x:c>
      <x:c r="D601" s="10"/>
      <x:c r="E601" s="10" t="n">
        <x:v>6</x:v>
      </x:c>
      <x:c r="F601" s="10" t="n">
        <x:v>0</x:v>
      </x:c>
      <x:c r="G601" s="10" t="n">
        <x:f>MIN(E601,3)</x:f>
        <x:v>3</x:v>
      </x:c>
      <x:c r="H601" s="10" t="n">
        <x:v>6</x:v>
      </x:c>
      <x:c r="I601" s="19" t="n">
        <x:v>0.4</x:v>
      </x:c>
      <x:c r="J601" s="19" t="n">
        <x:v>0.2</x:v>
      </x:c>
      <x:c r="K601" s="19" t="n">
        <x:v>0.25</x:v>
      </x:c>
    </x:row>
    <x:row r="602" ht="23" customHeight="1">
      <x:c r="A602" s="2" t="str">
        <x:v>D040_T04_C020_G025</x:v>
      </x:c>
      <x:c r="B602" s="2" t="str">
        <x:v>A0020</x:v>
      </x:c>
      <x:c r="C602" s="10" t="n">
        <x:v>4</x:v>
      </x:c>
      <x:c r="D602" s="10" t="n">
        <x:v>9</x:v>
      </x:c>
      <x:c r="E602" s="10" t="n">
        <x:v>5</x:v>
      </x:c>
      <x:c r="F602" s="10" t="n">
        <x:v>1</x:v>
      </x:c>
      <x:c r="G602" s="10" t="n">
        <x:f>MIN(E602,3)</x:f>
        <x:v>3</x:v>
      </x:c>
      <x:c r="H602" s="10" t="n">
        <x:v>6</x:v>
      </x:c>
      <x:c r="I602" s="19" t="n">
        <x:v>0.4</x:v>
      </x:c>
      <x:c r="J602" s="19" t="n">
        <x:v>0.2</x:v>
      </x:c>
      <x:c r="K602" s="19" t="n">
        <x:v>0.25</x:v>
      </x:c>
    </x:row>
    <x:row r="603" ht="23" customHeight="1">
      <x:c r="A603" s="2" t="str">
        <x:v>D040_T04_C020_G025</x:v>
      </x:c>
      <x:c r="B603" s="2" t="str">
        <x:v>A0022</x:v>
      </x:c>
      <x:c r="C603" s="10" t="n">
        <x:v>4</x:v>
      </x:c>
      <x:c r="D603" s="10" t="n">
        <x:v>10</x:v>
      </x:c>
      <x:c r="E603" s="10" t="n">
        <x:v>6</x:v>
      </x:c>
      <x:c r="F603" s="10" t="n">
        <x:v>1</x:v>
      </x:c>
      <x:c r="G603" s="10" t="n">
        <x:f>MIN(E603,3)</x:f>
        <x:v>3</x:v>
      </x:c>
      <x:c r="H603" s="10" t="n">
        <x:v>6</x:v>
      </x:c>
      <x:c r="I603" s="19" t="n">
        <x:v>0.4</x:v>
      </x:c>
      <x:c r="J603" s="19" t="n">
        <x:v>0.2</x:v>
      </x:c>
      <x:c r="K603" s="19" t="n">
        <x:v>0.25</x:v>
      </x:c>
    </x:row>
    <x:row r="604" ht="23" customHeight="1">
      <x:c r="A604" s="2" t="str">
        <x:v>D040_T04_C020_G025</x:v>
      </x:c>
      <x:c r="B604" s="2" t="str">
        <x:v>A0024</x:v>
      </x:c>
      <x:c r="C604" s="10" t="n">
        <x:v>4</x:v>
      </x:c>
      <x:c r="D604" s="10"/>
      <x:c r="E604" s="10" t="n">
        <x:v>6</x:v>
      </x:c>
      <x:c r="F604" s="10" t="n">
        <x:v>0</x:v>
      </x:c>
      <x:c r="G604" s="10" t="n">
        <x:f>MIN(E604,3)</x:f>
        <x:v>3</x:v>
      </x:c>
      <x:c r="H604" s="10" t="n">
        <x:v>6</x:v>
      </x:c>
      <x:c r="I604" s="19" t="n">
        <x:v>0.4</x:v>
      </x:c>
      <x:c r="J604" s="19" t="n">
        <x:v>0.2</x:v>
      </x:c>
      <x:c r="K604" s="19" t="n">
        <x:v>0.25</x:v>
      </x:c>
    </x:row>
    <x:row r="605" ht="23" customHeight="1">
      <x:c r="A605" s="2" t="str">
        <x:v>D040_T04_C020_G025</x:v>
      </x:c>
      <x:c r="B605" s="2" t="str">
        <x:v>A0025</x:v>
      </x:c>
      <x:c r="C605" s="10" t="n">
        <x:v>4</x:v>
      </x:c>
      <x:c r="D605" s="10"/>
      <x:c r="E605" s="10" t="n">
        <x:v>6</x:v>
      </x:c>
      <x:c r="F605" s="10" t="n">
        <x:v>0</x:v>
      </x:c>
      <x:c r="G605" s="10" t="n">
        <x:f>MIN(E605,3)</x:f>
        <x:v>3</x:v>
      </x:c>
      <x:c r="H605" s="10" t="n">
        <x:v>6</x:v>
      </x:c>
      <x:c r="I605" s="19" t="n">
        <x:v>0.4</x:v>
      </x:c>
      <x:c r="J605" s="19" t="n">
        <x:v>0.2</x:v>
      </x:c>
      <x:c r="K605" s="19" t="n">
        <x:v>0.25</x:v>
      </x:c>
    </x:row>
    <x:row r="606" ht="23" customHeight="1">
      <x:c r="A606" s="2" t="str">
        <x:v>D040_T04_C020_G025</x:v>
      </x:c>
      <x:c r="B606" s="2" t="str">
        <x:v>A0026</x:v>
      </x:c>
      <x:c r="C606" s="10" t="n">
        <x:v>4</x:v>
      </x:c>
      <x:c r="D606" s="10"/>
      <x:c r="E606" s="10" t="n">
        <x:v>6</x:v>
      </x:c>
      <x:c r="F606" s="10" t="n">
        <x:v>0</x:v>
      </x:c>
      <x:c r="G606" s="10" t="n">
        <x:f>MIN(E606,3)</x:f>
        <x:v>3</x:v>
      </x:c>
      <x:c r="H606" s="10" t="n">
        <x:v>6</x:v>
      </x:c>
      <x:c r="I606" s="19" t="n">
        <x:v>0.4</x:v>
      </x:c>
      <x:c r="J606" s="19" t="n">
        <x:v>0.2</x:v>
      </x:c>
      <x:c r="K606" s="19" t="n">
        <x:v>0.25</x:v>
      </x:c>
    </x:row>
    <x:row r="607" ht="23" customHeight="1">
      <x:c r="A607" s="2" t="str">
        <x:v>D040_T04_C020_G025</x:v>
      </x:c>
      <x:c r="B607" s="2" t="str">
        <x:v>A0027</x:v>
      </x:c>
      <x:c r="C607" s="10" t="n">
        <x:v>4</x:v>
      </x:c>
      <x:c r="D607" s="10"/>
      <x:c r="E607" s="10" t="n">
        <x:v>6</x:v>
      </x:c>
      <x:c r="F607" s="10" t="n">
        <x:v>0</x:v>
      </x:c>
      <x:c r="G607" s="10" t="n">
        <x:f>MIN(E607,3)</x:f>
        <x:v>3</x:v>
      </x:c>
      <x:c r="H607" s="10" t="n">
        <x:v>6</x:v>
      </x:c>
      <x:c r="I607" s="19" t="n">
        <x:v>0.4</x:v>
      </x:c>
      <x:c r="J607" s="19" t="n">
        <x:v>0.2</x:v>
      </x:c>
      <x:c r="K607" s="19" t="n">
        <x:v>0.25</x:v>
      </x:c>
    </x:row>
    <x:row r="608" ht="23" customHeight="1">
      <x:c r="A608" s="2" t="str">
        <x:v>D040_T04_C020_G025</x:v>
      </x:c>
      <x:c r="B608" s="2" t="str">
        <x:v>A0030</x:v>
      </x:c>
      <x:c r="C608" s="10" t="n">
        <x:v>4</x:v>
      </x:c>
      <x:c r="D608" s="10"/>
      <x:c r="E608" s="10" t="n">
        <x:v>6</x:v>
      </x:c>
      <x:c r="F608" s="10" t="n">
        <x:v>0</x:v>
      </x:c>
      <x:c r="G608" s="10" t="n">
        <x:f>MIN(E608,3)</x:f>
        <x:v>3</x:v>
      </x:c>
      <x:c r="H608" s="10" t="n">
        <x:v>6</x:v>
      </x:c>
      <x:c r="I608" s="19" t="n">
        <x:v>0.4</x:v>
      </x:c>
      <x:c r="J608" s="19" t="n">
        <x:v>0.2</x:v>
      </x:c>
      <x:c r="K608" s="19" t="n">
        <x:v>0.25</x:v>
      </x:c>
    </x:row>
    <x:row r="609" ht="23" customHeight="1">
      <x:c r="A609" s="2" t="str">
        <x:v>D040_T04_C020_G025</x:v>
      </x:c>
      <x:c r="B609" s="2" t="str">
        <x:v>A0031</x:v>
      </x:c>
      <x:c r="C609" s="10" t="n">
        <x:v>4</x:v>
      </x:c>
      <x:c r="D609" s="10" t="n">
        <x:v>5</x:v>
      </x:c>
      <x:c r="E609" s="10" t="n">
        <x:v>1</x:v>
      </x:c>
      <x:c r="F609" s="10" t="n">
        <x:v>1</x:v>
      </x:c>
      <x:c r="G609" s="10" t="n">
        <x:f>MIN(E609,3)</x:f>
        <x:v>1</x:v>
      </x:c>
      <x:c r="H609" s="10" t="n">
        <x:v>6</x:v>
      </x:c>
      <x:c r="I609" s="19" t="n">
        <x:v>0.4</x:v>
      </x:c>
      <x:c r="J609" s="19" t="n">
        <x:v>0.2</x:v>
      </x:c>
      <x:c r="K609" s="19" t="n">
        <x:v>0.25</x:v>
      </x:c>
    </x:row>
    <x:row r="610" ht="23" customHeight="1">
      <x:c r="A610" s="2" t="str">
        <x:v>D040_T04_C020_G025</x:v>
      </x:c>
      <x:c r="B610" s="2" t="str">
        <x:v>A0032</x:v>
      </x:c>
      <x:c r="C610" s="10" t="n">
        <x:v>4</x:v>
      </x:c>
      <x:c r="D610" s="10"/>
      <x:c r="E610" s="10" t="n">
        <x:v>6</x:v>
      </x:c>
      <x:c r="F610" s="10" t="n">
        <x:v>0</x:v>
      </x:c>
      <x:c r="G610" s="10" t="n">
        <x:f>MIN(E610,3)</x:f>
        <x:v>3</x:v>
      </x:c>
      <x:c r="H610" s="10" t="n">
        <x:v>6</x:v>
      </x:c>
      <x:c r="I610" s="19" t="n">
        <x:v>0.4</x:v>
      </x:c>
      <x:c r="J610" s="19" t="n">
        <x:v>0.2</x:v>
      </x:c>
      <x:c r="K610" s="19" t="n">
        <x:v>0.25</x:v>
      </x:c>
    </x:row>
    <x:row r="611" ht="23" customHeight="1">
      <x:c r="A611" s="2" t="str">
        <x:v>D040_T04_C020_G025</x:v>
      </x:c>
      <x:c r="B611" s="2" t="str">
        <x:v>A0033</x:v>
      </x:c>
      <x:c r="C611" s="10" t="n">
        <x:v>4</x:v>
      </x:c>
      <x:c r="D611" s="10" t="n">
        <x:v>8</x:v>
      </x:c>
      <x:c r="E611" s="10" t="n">
        <x:v>4</x:v>
      </x:c>
      <x:c r="F611" s="10" t="n">
        <x:v>1</x:v>
      </x:c>
      <x:c r="G611" s="10" t="n">
        <x:f>MIN(E611,3)</x:f>
        <x:v>3</x:v>
      </x:c>
      <x:c r="H611" s="10" t="n">
        <x:v>6</x:v>
      </x:c>
      <x:c r="I611" s="19" t="n">
        <x:v>0.4</x:v>
      </x:c>
      <x:c r="J611" s="19" t="n">
        <x:v>0.2</x:v>
      </x:c>
      <x:c r="K611" s="19" t="n">
        <x:v>0.25</x:v>
      </x:c>
    </x:row>
    <x:row r="612" ht="23" customHeight="1">
      <x:c r="A612" s="2" t="str">
        <x:v>D040_T04_C020_G025</x:v>
      </x:c>
      <x:c r="B612" s="2" t="str">
        <x:v>A0035</x:v>
      </x:c>
      <x:c r="C612" s="10" t="n">
        <x:v>4</x:v>
      </x:c>
      <x:c r="D612" s="10"/>
      <x:c r="E612" s="10" t="n">
        <x:v>6</x:v>
      </x:c>
      <x:c r="F612" s="10" t="n">
        <x:v>0</x:v>
      </x:c>
      <x:c r="G612" s="10" t="n">
        <x:f>MIN(E612,3)</x:f>
        <x:v>3</x:v>
      </x:c>
      <x:c r="H612" s="10" t="n">
        <x:v>6</x:v>
      </x:c>
      <x:c r="I612" s="19" t="n">
        <x:v>0.4</x:v>
      </x:c>
      <x:c r="J612" s="19" t="n">
        <x:v>0.2</x:v>
      </x:c>
      <x:c r="K612" s="19" t="n">
        <x:v>0.25</x:v>
      </x:c>
    </x:row>
    <x:row r="613" ht="23" customHeight="1">
      <x:c r="A613" s="2" t="str">
        <x:v>D040_T04_C020_G025</x:v>
      </x:c>
      <x:c r="B613" s="2" t="str">
        <x:v>A0036</x:v>
      </x:c>
      <x:c r="C613" s="10" t="n">
        <x:v>4</x:v>
      </x:c>
      <x:c r="D613" s="10"/>
      <x:c r="E613" s="10" t="n">
        <x:v>6</x:v>
      </x:c>
      <x:c r="F613" s="10" t="n">
        <x:v>0</x:v>
      </x:c>
      <x:c r="G613" s="10" t="n">
        <x:f>MIN(E613,3)</x:f>
        <x:v>3</x:v>
      </x:c>
      <x:c r="H613" s="10" t="n">
        <x:v>6</x:v>
      </x:c>
      <x:c r="I613" s="19" t="n">
        <x:v>0.4</x:v>
      </x:c>
      <x:c r="J613" s="19" t="n">
        <x:v>0.2</x:v>
      </x:c>
      <x:c r="K613" s="19" t="n">
        <x:v>0.25</x:v>
      </x:c>
    </x:row>
    <x:row r="614" ht="23" customHeight="1">
      <x:c r="A614" s="2" t="str">
        <x:v>D040_T04_C020_G025</x:v>
      </x:c>
      <x:c r="B614" s="2" t="str">
        <x:v>A0037</x:v>
      </x:c>
      <x:c r="C614" s="10" t="n">
        <x:v>4</x:v>
      </x:c>
      <x:c r="D614" s="10"/>
      <x:c r="E614" s="10" t="n">
        <x:v>6</x:v>
      </x:c>
      <x:c r="F614" s="10" t="n">
        <x:v>0</x:v>
      </x:c>
      <x:c r="G614" s="10" t="n">
        <x:f>MIN(E614,3)</x:f>
        <x:v>3</x:v>
      </x:c>
      <x:c r="H614" s="10" t="n">
        <x:v>6</x:v>
      </x:c>
      <x:c r="I614" s="19" t="n">
        <x:v>0.4</x:v>
      </x:c>
      <x:c r="J614" s="19" t="n">
        <x:v>0.2</x:v>
      </x:c>
      <x:c r="K614" s="19" t="n">
        <x:v>0.25</x:v>
      </x:c>
    </x:row>
    <x:row r="615" ht="23" customHeight="1">
      <x:c r="A615" s="2" t="str">
        <x:v>D040_T04_C020_G025</x:v>
      </x:c>
      <x:c r="B615" s="2" t="str">
        <x:v>A0038</x:v>
      </x:c>
      <x:c r="C615" s="10" t="n">
        <x:v>4</x:v>
      </x:c>
      <x:c r="D615" s="10" t="n">
        <x:v>10</x:v>
      </x:c>
      <x:c r="E615" s="10" t="n">
        <x:v>6</x:v>
      </x:c>
      <x:c r="F615" s="10" t="n">
        <x:v>1</x:v>
      </x:c>
      <x:c r="G615" s="10" t="n">
        <x:f>MIN(E615,3)</x:f>
        <x:v>3</x:v>
      </x:c>
      <x:c r="H615" s="10" t="n">
        <x:v>6</x:v>
      </x:c>
      <x:c r="I615" s="19" t="n">
        <x:v>0.4</x:v>
      </x:c>
      <x:c r="J615" s="19" t="n">
        <x:v>0.2</x:v>
      </x:c>
      <x:c r="K615" s="19" t="n">
        <x:v>0.25</x:v>
      </x:c>
    </x:row>
    <x:row r="616" ht="23" customHeight="1">
      <x:c r="A616" s="2" t="str">
        <x:v>D040_T04_C020_G025</x:v>
      </x:c>
      <x:c r="B616" s="2" t="str">
        <x:v>A0040</x:v>
      </x:c>
      <x:c r="C616" s="10" t="n">
        <x:v>4</x:v>
      </x:c>
      <x:c r="D616" s="10"/>
      <x:c r="E616" s="10" t="n">
        <x:v>6</x:v>
      </x:c>
      <x:c r="F616" s="10" t="n">
        <x:v>0</x:v>
      </x:c>
      <x:c r="G616" s="10" t="n">
        <x:f>MIN(E616,3)</x:f>
        <x:v>3</x:v>
      </x:c>
      <x:c r="H616" s="10" t="n">
        <x:v>6</x:v>
      </x:c>
      <x:c r="I616" s="19" t="n">
        <x:v>0.4</x:v>
      </x:c>
      <x:c r="J616" s="19" t="n">
        <x:v>0.2</x:v>
      </x:c>
      <x:c r="K616" s="19" t="n">
        <x:v>0.25</x:v>
      </x:c>
    </x:row>
    <x:row r="617" ht="23" customHeight="1">
      <x:c r="A617" s="2" t="str">
        <x:v>D040_T04_C020_G025</x:v>
      </x:c>
      <x:c r="B617" s="2" t="str">
        <x:v>A0041</x:v>
      </x:c>
      <x:c r="C617" s="10" t="n">
        <x:v>4</x:v>
      </x:c>
      <x:c r="D617" s="10"/>
      <x:c r="E617" s="10" t="n">
        <x:v>6</x:v>
      </x:c>
      <x:c r="F617" s="10" t="n">
        <x:v>0</x:v>
      </x:c>
      <x:c r="G617" s="10" t="n">
        <x:f>MIN(E617,3)</x:f>
        <x:v>3</x:v>
      </x:c>
      <x:c r="H617" s="10" t="n">
        <x:v>6</x:v>
      </x:c>
      <x:c r="I617" s="19" t="n">
        <x:v>0.4</x:v>
      </x:c>
      <x:c r="J617" s="19" t="n">
        <x:v>0.2</x:v>
      </x:c>
      <x:c r="K617" s="19" t="n">
        <x:v>0.25</x:v>
      </x:c>
    </x:row>
    <x:row r="618" ht="23" customHeight="1">
      <x:c r="A618" s="2" t="str">
        <x:v>D040_T04_C020_G025</x:v>
      </x:c>
      <x:c r="B618" s="2" t="str">
        <x:v>A0071</x:v>
      </x:c>
      <x:c r="C618" s="10" t="n">
        <x:v>4</x:v>
      </x:c>
      <x:c r="D618" s="10"/>
      <x:c r="E618" s="10" t="n">
        <x:v>6</x:v>
      </x:c>
      <x:c r="F618" s="10" t="n">
        <x:v>0</x:v>
      </x:c>
      <x:c r="G618" s="10" t="n">
        <x:f>MIN(E618,3)</x:f>
        <x:v>3</x:v>
      </x:c>
      <x:c r="H618" s="10" t="n">
        <x:v>6</x:v>
      </x:c>
      <x:c r="I618" s="19" t="n">
        <x:v>0.4</x:v>
      </x:c>
      <x:c r="J618" s="19" t="n">
        <x:v>0.2</x:v>
      </x:c>
      <x:c r="K618" s="19" t="n">
        <x:v>0.25</x:v>
      </x:c>
    </x:row>
    <x:row r="619" ht="23" customHeight="1">
      <x:c r="A619" s="2" t="str">
        <x:v>D040_T04_C020_G025</x:v>
      </x:c>
      <x:c r="B619" s="2" t="str">
        <x:v>A0206</x:v>
      </x:c>
      <x:c r="C619" s="10" t="n">
        <x:v>4</x:v>
      </x:c>
      <x:c r="D619" s="10" t="n">
        <x:v>4</x:v>
      </x:c>
      <x:c r="E619" s="10" t="n">
        <x:v>0</x:v>
      </x:c>
      <x:c r="F619" s="10" t="n">
        <x:v>1</x:v>
      </x:c>
      <x:c r="G619" s="10" t="n">
        <x:f>MIN(E619,3)</x:f>
        <x:v>0</x:v>
      </x:c>
      <x:c r="H619" s="10" t="n">
        <x:v>6</x:v>
      </x:c>
      <x:c r="I619" s="19" t="n">
        <x:v>0.4</x:v>
      </x:c>
      <x:c r="J619" s="19" t="n">
        <x:v>0.2</x:v>
      </x:c>
      <x:c r="K619" s="19" t="n">
        <x:v>0.25</x:v>
      </x:c>
    </x:row>
    <x:row r="620" ht="23" customHeight="1">
      <x:c r="A620" s="2" t="str">
        <x:v>D040_T04_C020_G050</x:v>
      </x:c>
      <x:c r="B620" s="2" t="str">
        <x:v>A0005</x:v>
      </x:c>
      <x:c r="C620" s="10" t="n">
        <x:v>4</x:v>
      </x:c>
      <x:c r="D620" s="10" t="n">
        <x:v>5</x:v>
      </x:c>
      <x:c r="E620" s="10" t="n">
        <x:v>1</x:v>
      </x:c>
      <x:c r="F620" s="10" t="n">
        <x:v>1</x:v>
      </x:c>
      <x:c r="G620" s="10" t="n">
        <x:f>MIN(E620,3)</x:f>
        <x:v>1</x:v>
      </x:c>
      <x:c r="H620" s="10" t="n">
        <x:v>6</x:v>
      </x:c>
      <x:c r="I620" s="19" t="n">
        <x:v>0.4</x:v>
      </x:c>
      <x:c r="J620" s="19" t="n">
        <x:v>0.2</x:v>
      </x:c>
      <x:c r="K620" s="19" t="n">
        <x:v>0.5</x:v>
      </x:c>
    </x:row>
    <x:row r="621" ht="23" customHeight="1">
      <x:c r="A621" s="2" t="str">
        <x:v>D040_T04_C020_G050</x:v>
      </x:c>
      <x:c r="B621" s="2" t="str">
        <x:v>A0009</x:v>
      </x:c>
      <x:c r="C621" s="10" t="n">
        <x:v>4</x:v>
      </x:c>
      <x:c r="D621" s="10" t="n">
        <x:v>6</x:v>
      </x:c>
      <x:c r="E621" s="10" t="n">
        <x:v>2</x:v>
      </x:c>
      <x:c r="F621" s="10" t="n">
        <x:v>1</x:v>
      </x:c>
      <x:c r="G621" s="10" t="n">
        <x:f>MIN(E621,3)</x:f>
        <x:v>2</x:v>
      </x:c>
      <x:c r="H621" s="10" t="n">
        <x:v>6</x:v>
      </x:c>
      <x:c r="I621" s="19" t="n">
        <x:v>0.4</x:v>
      </x:c>
      <x:c r="J621" s="19" t="n">
        <x:v>0.2</x:v>
      </x:c>
      <x:c r="K621" s="19" t="n">
        <x:v>0.5</x:v>
      </x:c>
    </x:row>
    <x:row r="622" ht="23" customHeight="1">
      <x:c r="A622" s="2" t="str">
        <x:v>D040_T04_C020_G050</x:v>
      </x:c>
      <x:c r="B622" s="2" t="str">
        <x:v>A0011</x:v>
      </x:c>
      <x:c r="C622" s="10" t="n">
        <x:v>4</x:v>
      </x:c>
      <x:c r="D622" s="10" t="n">
        <x:v>5</x:v>
      </x:c>
      <x:c r="E622" s="10" t="n">
        <x:v>1</x:v>
      </x:c>
      <x:c r="F622" s="10" t="n">
        <x:v>1</x:v>
      </x:c>
      <x:c r="G622" s="10" t="n">
        <x:f>MIN(E622,3)</x:f>
        <x:v>1</x:v>
      </x:c>
      <x:c r="H622" s="10" t="n">
        <x:v>6</x:v>
      </x:c>
      <x:c r="I622" s="19" t="n">
        <x:v>0.4</x:v>
      </x:c>
      <x:c r="J622" s="19" t="n">
        <x:v>0.2</x:v>
      </x:c>
      <x:c r="K622" s="19" t="n">
        <x:v>0.5</x:v>
      </x:c>
    </x:row>
    <x:row r="623" ht="23" customHeight="1">
      <x:c r="A623" s="2" t="str">
        <x:v>D040_T04_C020_G050</x:v>
      </x:c>
      <x:c r="B623" s="2" t="str">
        <x:v>A0012</x:v>
      </x:c>
      <x:c r="C623" s="10" t="n">
        <x:v>4</x:v>
      </x:c>
      <x:c r="D623" s="10" t="n">
        <x:v>6</x:v>
      </x:c>
      <x:c r="E623" s="10" t="n">
        <x:v>2</x:v>
      </x:c>
      <x:c r="F623" s="10" t="n">
        <x:v>1</x:v>
      </x:c>
      <x:c r="G623" s="10" t="n">
        <x:f>MIN(E623,3)</x:f>
        <x:v>2</x:v>
      </x:c>
      <x:c r="H623" s="10" t="n">
        <x:v>6</x:v>
      </x:c>
      <x:c r="I623" s="19" t="n">
        <x:v>0.4</x:v>
      </x:c>
      <x:c r="J623" s="19" t="n">
        <x:v>0.2</x:v>
      </x:c>
      <x:c r="K623" s="19" t="n">
        <x:v>0.5</x:v>
      </x:c>
    </x:row>
    <x:row r="624" ht="23" customHeight="1">
      <x:c r="A624" s="2" t="str">
        <x:v>D040_T04_C020_G050</x:v>
      </x:c>
      <x:c r="B624" s="2" t="str">
        <x:v>A0013</x:v>
      </x:c>
      <x:c r="C624" s="10" t="n">
        <x:v>4</x:v>
      </x:c>
      <x:c r="D624" s="10" t="n">
        <x:v>4</x:v>
      </x:c>
      <x:c r="E624" s="10" t="n">
        <x:v>0</x:v>
      </x:c>
      <x:c r="F624" s="10" t="n">
        <x:v>1</x:v>
      </x:c>
      <x:c r="G624" s="10" t="n">
        <x:f>MIN(E624,3)</x:f>
        <x:v>0</x:v>
      </x:c>
      <x:c r="H624" s="10" t="n">
        <x:v>6</x:v>
      </x:c>
      <x:c r="I624" s="19" t="n">
        <x:v>0.4</x:v>
      </x:c>
      <x:c r="J624" s="19" t="n">
        <x:v>0.2</x:v>
      </x:c>
      <x:c r="K624" s="19" t="n">
        <x:v>0.5</x:v>
      </x:c>
    </x:row>
    <x:row r="625" ht="23" customHeight="1">
      <x:c r="A625" s="2" t="str">
        <x:v>D040_T04_C020_G050</x:v>
      </x:c>
      <x:c r="B625" s="2" t="str">
        <x:v>A0014</x:v>
      </x:c>
      <x:c r="C625" s="10" t="n">
        <x:v>4</x:v>
      </x:c>
      <x:c r="D625" s="10" t="n">
        <x:v>4</x:v>
      </x:c>
      <x:c r="E625" s="10" t="n">
        <x:v>0</x:v>
      </x:c>
      <x:c r="F625" s="10" t="n">
        <x:v>1</x:v>
      </x:c>
      <x:c r="G625" s="10" t="n">
        <x:f>MIN(E625,3)</x:f>
        <x:v>0</x:v>
      </x:c>
      <x:c r="H625" s="10" t="n">
        <x:v>6</x:v>
      </x:c>
      <x:c r="I625" s="19" t="n">
        <x:v>0.4</x:v>
      </x:c>
      <x:c r="J625" s="19" t="n">
        <x:v>0.2</x:v>
      </x:c>
      <x:c r="K625" s="19" t="n">
        <x:v>0.5</x:v>
      </x:c>
    </x:row>
    <x:row r="626" ht="23" customHeight="1">
      <x:c r="A626" s="2" t="str">
        <x:v>D040_T04_C020_G050</x:v>
      </x:c>
      <x:c r="B626" s="2" t="str">
        <x:v>A0015</x:v>
      </x:c>
      <x:c r="C626" s="10" t="n">
        <x:v>4</x:v>
      </x:c>
      <x:c r="D626" s="10" t="n">
        <x:v>7</x:v>
      </x:c>
      <x:c r="E626" s="10" t="n">
        <x:v>3</x:v>
      </x:c>
      <x:c r="F626" s="10" t="n">
        <x:v>1</x:v>
      </x:c>
      <x:c r="G626" s="10" t="n">
        <x:f>MIN(E626,3)</x:f>
        <x:v>3</x:v>
      </x:c>
      <x:c r="H626" s="10" t="n">
        <x:v>6</x:v>
      </x:c>
      <x:c r="I626" s="19" t="n">
        <x:v>0.4</x:v>
      </x:c>
      <x:c r="J626" s="19" t="n">
        <x:v>0.2</x:v>
      </x:c>
      <x:c r="K626" s="19" t="n">
        <x:v>0.5</x:v>
      </x:c>
    </x:row>
    <x:row r="627" ht="23" customHeight="1">
      <x:c r="A627" s="2" t="str">
        <x:v>D040_T04_C020_G050</x:v>
      </x:c>
      <x:c r="B627" s="2" t="str">
        <x:v>A0016</x:v>
      </x:c>
      <x:c r="C627" s="10" t="n">
        <x:v>4</x:v>
      </x:c>
      <x:c r="D627" s="10" t="n">
        <x:v>6</x:v>
      </x:c>
      <x:c r="E627" s="10" t="n">
        <x:v>2</x:v>
      </x:c>
      <x:c r="F627" s="10" t="n">
        <x:v>1</x:v>
      </x:c>
      <x:c r="G627" s="10" t="n">
        <x:f>MIN(E627,3)</x:f>
        <x:v>2</x:v>
      </x:c>
      <x:c r="H627" s="10" t="n">
        <x:v>6</x:v>
      </x:c>
      <x:c r="I627" s="19" t="n">
        <x:v>0.4</x:v>
      </x:c>
      <x:c r="J627" s="19" t="n">
        <x:v>0.2</x:v>
      </x:c>
      <x:c r="K627" s="19" t="n">
        <x:v>0.5</x:v>
      </x:c>
    </x:row>
    <x:row r="628" ht="23" customHeight="1">
      <x:c r="A628" s="2" t="str">
        <x:v>D040_T04_C020_G050</x:v>
      </x:c>
      <x:c r="B628" s="2" t="str">
        <x:v>A0017</x:v>
      </x:c>
      <x:c r="C628" s="10" t="n">
        <x:v>4</x:v>
      </x:c>
      <x:c r="D628" s="10" t="n">
        <x:v>6</x:v>
      </x:c>
      <x:c r="E628" s="10" t="n">
        <x:v>2</x:v>
      </x:c>
      <x:c r="F628" s="10" t="n">
        <x:v>1</x:v>
      </x:c>
      <x:c r="G628" s="10" t="n">
        <x:f>MIN(E628,3)</x:f>
        <x:v>2</x:v>
      </x:c>
      <x:c r="H628" s="10" t="n">
        <x:v>6</x:v>
      </x:c>
      <x:c r="I628" s="19" t="n">
        <x:v>0.4</x:v>
      </x:c>
      <x:c r="J628" s="19" t="n">
        <x:v>0.2</x:v>
      </x:c>
      <x:c r="K628" s="19" t="n">
        <x:v>0.5</x:v>
      </x:c>
    </x:row>
    <x:row r="629" ht="23" customHeight="1">
      <x:c r="A629" s="2" t="str">
        <x:v>D040_T04_C020_G050</x:v>
      </x:c>
      <x:c r="B629" s="2" t="str">
        <x:v>A0018</x:v>
      </x:c>
      <x:c r="C629" s="10" t="n">
        <x:v>4</x:v>
      </x:c>
      <x:c r="D629" s="10" t="n">
        <x:v>8</x:v>
      </x:c>
      <x:c r="E629" s="10" t="n">
        <x:v>4</x:v>
      </x:c>
      <x:c r="F629" s="10" t="n">
        <x:v>1</x:v>
      </x:c>
      <x:c r="G629" s="10" t="n">
        <x:f>MIN(E629,3)</x:f>
        <x:v>3</x:v>
      </x:c>
      <x:c r="H629" s="10" t="n">
        <x:v>6</x:v>
      </x:c>
      <x:c r="I629" s="19" t="n">
        <x:v>0.4</x:v>
      </x:c>
      <x:c r="J629" s="19" t="n">
        <x:v>0.2</x:v>
      </x:c>
      <x:c r="K629" s="19" t="n">
        <x:v>0.5</x:v>
      </x:c>
    </x:row>
    <x:row r="630" ht="23" customHeight="1">
      <x:c r="A630" s="2" t="str">
        <x:v>D040_T04_C020_G050</x:v>
      </x:c>
      <x:c r="B630" s="2" t="str">
        <x:v>A0021</x:v>
      </x:c>
      <x:c r="C630" s="10" t="n">
        <x:v>4</x:v>
      </x:c>
      <x:c r="D630" s="10" t="n">
        <x:v>5</x:v>
      </x:c>
      <x:c r="E630" s="10" t="n">
        <x:v>1</x:v>
      </x:c>
      <x:c r="F630" s="10" t="n">
        <x:v>1</x:v>
      </x:c>
      <x:c r="G630" s="10" t="n">
        <x:f>MIN(E630,3)</x:f>
        <x:v>1</x:v>
      </x:c>
      <x:c r="H630" s="10" t="n">
        <x:v>6</x:v>
      </x:c>
      <x:c r="I630" s="19" t="n">
        <x:v>0.4</x:v>
      </x:c>
      <x:c r="J630" s="19" t="n">
        <x:v>0.2</x:v>
      </x:c>
      <x:c r="K630" s="19" t="n">
        <x:v>0.5</x:v>
      </x:c>
    </x:row>
    <x:row r="631" ht="23" customHeight="1">
      <x:c r="A631" s="2" t="str">
        <x:v>D040_T04_C020_G050</x:v>
      </x:c>
      <x:c r="B631" s="2" t="str">
        <x:v>A0023</x:v>
      </x:c>
      <x:c r="C631" s="10" t="n">
        <x:v>4</x:v>
      </x:c>
      <x:c r="D631" s="10" t="n">
        <x:v>5</x:v>
      </x:c>
      <x:c r="E631" s="10" t="n">
        <x:v>1</x:v>
      </x:c>
      <x:c r="F631" s="10" t="n">
        <x:v>1</x:v>
      </x:c>
      <x:c r="G631" s="10" t="n">
        <x:f>MIN(E631,3)</x:f>
        <x:v>1</x:v>
      </x:c>
      <x:c r="H631" s="10" t="n">
        <x:v>6</x:v>
      </x:c>
      <x:c r="I631" s="19" t="n">
        <x:v>0.4</x:v>
      </x:c>
      <x:c r="J631" s="19" t="n">
        <x:v>0.2</x:v>
      </x:c>
      <x:c r="K631" s="19" t="n">
        <x:v>0.5</x:v>
      </x:c>
    </x:row>
    <x:row r="632" ht="23" customHeight="1">
      <x:c r="A632" s="2" t="str">
        <x:v>D040_T04_C020_G050</x:v>
      </x:c>
      <x:c r="B632" s="2" t="str">
        <x:v>A0024</x:v>
      </x:c>
      <x:c r="C632" s="10" t="n">
        <x:v>4</x:v>
      </x:c>
      <x:c r="D632" s="10" t="n">
        <x:v>7</x:v>
      </x:c>
      <x:c r="E632" s="10" t="n">
        <x:v>3</x:v>
      </x:c>
      <x:c r="F632" s="10" t="n">
        <x:v>1</x:v>
      </x:c>
      <x:c r="G632" s="10" t="n">
        <x:f>MIN(E632,3)</x:f>
        <x:v>3</x:v>
      </x:c>
      <x:c r="H632" s="10" t="n">
        <x:v>6</x:v>
      </x:c>
      <x:c r="I632" s="19" t="n">
        <x:v>0.4</x:v>
      </x:c>
      <x:c r="J632" s="19" t="n">
        <x:v>0.2</x:v>
      </x:c>
      <x:c r="K632" s="19" t="n">
        <x:v>0.5</x:v>
      </x:c>
    </x:row>
    <x:row r="633" ht="23" customHeight="1">
      <x:c r="A633" s="2" t="str">
        <x:v>D040_T04_C020_G050</x:v>
      </x:c>
      <x:c r="B633" s="2" t="str">
        <x:v>A0025</x:v>
      </x:c>
      <x:c r="C633" s="10" t="n">
        <x:v>4</x:v>
      </x:c>
      <x:c r="D633" s="10" t="n">
        <x:v>4</x:v>
      </x:c>
      <x:c r="E633" s="10" t="n">
        <x:v>0</x:v>
      </x:c>
      <x:c r="F633" s="10" t="n">
        <x:v>1</x:v>
      </x:c>
      <x:c r="G633" s="10" t="n">
        <x:f>MIN(E633,3)</x:f>
        <x:v>0</x:v>
      </x:c>
      <x:c r="H633" s="10" t="n">
        <x:v>6</x:v>
      </x:c>
      <x:c r="I633" s="19" t="n">
        <x:v>0.4</x:v>
      </x:c>
      <x:c r="J633" s="19" t="n">
        <x:v>0.2</x:v>
      </x:c>
      <x:c r="K633" s="19" t="n">
        <x:v>0.5</x:v>
      </x:c>
    </x:row>
    <x:row r="634" ht="23" customHeight="1">
      <x:c r="A634" s="2" t="str">
        <x:v>D040_T04_C020_G050</x:v>
      </x:c>
      <x:c r="B634" s="2" t="str">
        <x:v>A0026</x:v>
      </x:c>
      <x:c r="C634" s="10" t="n">
        <x:v>4</x:v>
      </x:c>
      <x:c r="D634" s="10" t="n">
        <x:v>4</x:v>
      </x:c>
      <x:c r="E634" s="10" t="n">
        <x:v>0</x:v>
      </x:c>
      <x:c r="F634" s="10" t="n">
        <x:v>1</x:v>
      </x:c>
      <x:c r="G634" s="10" t="n">
        <x:f>MIN(E634,3)</x:f>
        <x:v>0</x:v>
      </x:c>
      <x:c r="H634" s="10" t="n">
        <x:v>6</x:v>
      </x:c>
      <x:c r="I634" s="19" t="n">
        <x:v>0.4</x:v>
      </x:c>
      <x:c r="J634" s="19" t="n">
        <x:v>0.2</x:v>
      </x:c>
      <x:c r="K634" s="19" t="n">
        <x:v>0.5</x:v>
      </x:c>
    </x:row>
    <x:row r="635" ht="23" customHeight="1">
      <x:c r="A635" s="2" t="str">
        <x:v>D040_T04_C020_G050</x:v>
      </x:c>
      <x:c r="B635" s="2" t="str">
        <x:v>A0027</x:v>
      </x:c>
      <x:c r="C635" s="10" t="n">
        <x:v>4</x:v>
      </x:c>
      <x:c r="D635" s="10" t="n">
        <x:v>5</x:v>
      </x:c>
      <x:c r="E635" s="10" t="n">
        <x:v>1</x:v>
      </x:c>
      <x:c r="F635" s="10" t="n">
        <x:v>1</x:v>
      </x:c>
      <x:c r="G635" s="10" t="n">
        <x:f>MIN(E635,3)</x:f>
        <x:v>1</x:v>
      </x:c>
      <x:c r="H635" s="10" t="n">
        <x:v>6</x:v>
      </x:c>
      <x:c r="I635" s="19" t="n">
        <x:v>0.4</x:v>
      </x:c>
      <x:c r="J635" s="19" t="n">
        <x:v>0.2</x:v>
      </x:c>
      <x:c r="K635" s="19" t="n">
        <x:v>0.5</x:v>
      </x:c>
    </x:row>
    <x:row r="636" ht="23" customHeight="1">
      <x:c r="A636" s="2" t="str">
        <x:v>D040_T04_C020_G050</x:v>
      </x:c>
      <x:c r="B636" s="2" t="str">
        <x:v>A0029</x:v>
      </x:c>
      <x:c r="C636" s="10" t="n">
        <x:v>4</x:v>
      </x:c>
      <x:c r="D636" s="10" t="n">
        <x:v>5</x:v>
      </x:c>
      <x:c r="E636" s="10" t="n">
        <x:v>1</x:v>
      </x:c>
      <x:c r="F636" s="10" t="n">
        <x:v>1</x:v>
      </x:c>
      <x:c r="G636" s="10" t="n">
        <x:f>MIN(E636,3)</x:f>
        <x:v>1</x:v>
      </x:c>
      <x:c r="H636" s="10" t="n">
        <x:v>6</x:v>
      </x:c>
      <x:c r="I636" s="19" t="n">
        <x:v>0.4</x:v>
      </x:c>
      <x:c r="J636" s="19" t="n">
        <x:v>0.2</x:v>
      </x:c>
      <x:c r="K636" s="19" t="n">
        <x:v>0.5</x:v>
      </x:c>
    </x:row>
    <x:row r="637" ht="23" customHeight="1">
      <x:c r="A637" s="2" t="str">
        <x:v>D040_T04_C020_G050</x:v>
      </x:c>
      <x:c r="B637" s="2" t="str">
        <x:v>A0030</x:v>
      </x:c>
      <x:c r="C637" s="10" t="n">
        <x:v>4</x:v>
      </x:c>
      <x:c r="D637" s="10" t="n">
        <x:v>6</x:v>
      </x:c>
      <x:c r="E637" s="10" t="n">
        <x:v>2</x:v>
      </x:c>
      <x:c r="F637" s="10" t="n">
        <x:v>1</x:v>
      </x:c>
      <x:c r="G637" s="10" t="n">
        <x:f>MIN(E637,3)</x:f>
        <x:v>2</x:v>
      </x:c>
      <x:c r="H637" s="10" t="n">
        <x:v>6</x:v>
      </x:c>
      <x:c r="I637" s="19" t="n">
        <x:v>0.4</x:v>
      </x:c>
      <x:c r="J637" s="19" t="n">
        <x:v>0.2</x:v>
      </x:c>
      <x:c r="K637" s="19" t="n">
        <x:v>0.5</x:v>
      </x:c>
    </x:row>
    <x:row r="638" ht="23" customHeight="1">
      <x:c r="A638" s="2" t="str">
        <x:v>D040_T04_C020_G050</x:v>
      </x:c>
      <x:c r="B638" s="2" t="str">
        <x:v>A0032</x:v>
      </x:c>
      <x:c r="C638" s="10" t="n">
        <x:v>4</x:v>
      </x:c>
      <x:c r="D638" s="10" t="n">
        <x:v>9</x:v>
      </x:c>
      <x:c r="E638" s="10" t="n">
        <x:v>5</x:v>
      </x:c>
      <x:c r="F638" s="10" t="n">
        <x:v>1</x:v>
      </x:c>
      <x:c r="G638" s="10" t="n">
        <x:f>MIN(E638,3)</x:f>
        <x:v>3</x:v>
      </x:c>
      <x:c r="H638" s="10" t="n">
        <x:v>6</x:v>
      </x:c>
      <x:c r="I638" s="19" t="n">
        <x:v>0.4</x:v>
      </x:c>
      <x:c r="J638" s="19" t="n">
        <x:v>0.2</x:v>
      </x:c>
      <x:c r="K638" s="19" t="n">
        <x:v>0.5</x:v>
      </x:c>
    </x:row>
    <x:row r="639" ht="23" customHeight="1">
      <x:c r="A639" s="2" t="str">
        <x:v>D040_T04_C020_G050</x:v>
      </x:c>
      <x:c r="B639" s="2" t="str">
        <x:v>A0033</x:v>
      </x:c>
      <x:c r="C639" s="10" t="n">
        <x:v>4</x:v>
      </x:c>
      <x:c r="D639" s="10" t="n">
        <x:v>6</x:v>
      </x:c>
      <x:c r="E639" s="10" t="n">
        <x:v>2</x:v>
      </x:c>
      <x:c r="F639" s="10" t="n">
        <x:v>1</x:v>
      </x:c>
      <x:c r="G639" s="10" t="n">
        <x:f>MIN(E639,3)</x:f>
        <x:v>2</x:v>
      </x:c>
      <x:c r="H639" s="10" t="n">
        <x:v>6</x:v>
      </x:c>
      <x:c r="I639" s="19" t="n">
        <x:v>0.4</x:v>
      </x:c>
      <x:c r="J639" s="19" t="n">
        <x:v>0.2</x:v>
      </x:c>
      <x:c r="K639" s="19" t="n">
        <x:v>0.5</x:v>
      </x:c>
    </x:row>
    <x:row r="640" ht="23" customHeight="1">
      <x:c r="A640" s="2" t="str">
        <x:v>D040_T04_C020_G050</x:v>
      </x:c>
      <x:c r="B640" s="2" t="str">
        <x:v>A0034</x:v>
      </x:c>
      <x:c r="C640" s="10" t="n">
        <x:v>4</x:v>
      </x:c>
      <x:c r="D640" s="10" t="n">
        <x:v>5</x:v>
      </x:c>
      <x:c r="E640" s="10" t="n">
        <x:v>1</x:v>
      </x:c>
      <x:c r="F640" s="10" t="n">
        <x:v>1</x:v>
      </x:c>
      <x:c r="G640" s="10" t="n">
        <x:f>MIN(E640,3)</x:f>
        <x:v>1</x:v>
      </x:c>
      <x:c r="H640" s="10" t="n">
        <x:v>6</x:v>
      </x:c>
      <x:c r="I640" s="19" t="n">
        <x:v>0.4</x:v>
      </x:c>
      <x:c r="J640" s="19" t="n">
        <x:v>0.2</x:v>
      </x:c>
      <x:c r="K640" s="19" t="n">
        <x:v>0.5</x:v>
      </x:c>
    </x:row>
    <x:row r="641" ht="23" customHeight="1">
      <x:c r="A641" s="2" t="str">
        <x:v>D040_T04_C020_G050</x:v>
      </x:c>
      <x:c r="B641" s="2" t="str">
        <x:v>A0035</x:v>
      </x:c>
      <x:c r="C641" s="10" t="n">
        <x:v>4</x:v>
      </x:c>
      <x:c r="D641" s="10" t="n">
        <x:v>5</x:v>
      </x:c>
      <x:c r="E641" s="10" t="n">
        <x:v>1</x:v>
      </x:c>
      <x:c r="F641" s="10" t="n">
        <x:v>1</x:v>
      </x:c>
      <x:c r="G641" s="10" t="n">
        <x:f>MIN(E641,3)</x:f>
        <x:v>1</x:v>
      </x:c>
      <x:c r="H641" s="10" t="n">
        <x:v>6</x:v>
      </x:c>
      <x:c r="I641" s="19" t="n">
        <x:v>0.4</x:v>
      </x:c>
      <x:c r="J641" s="19" t="n">
        <x:v>0.2</x:v>
      </x:c>
      <x:c r="K641" s="19" t="n">
        <x:v>0.5</x:v>
      </x:c>
    </x:row>
    <x:row r="642" ht="23" customHeight="1">
      <x:c r="A642" s="2" t="str">
        <x:v>D040_T04_C020_G050</x:v>
      </x:c>
      <x:c r="B642" s="2" t="str">
        <x:v>A0036</x:v>
      </x:c>
      <x:c r="C642" s="10" t="n">
        <x:v>4</x:v>
      </x:c>
      <x:c r="D642" s="10" t="n">
        <x:v>8</x:v>
      </x:c>
      <x:c r="E642" s="10" t="n">
        <x:v>4</x:v>
      </x:c>
      <x:c r="F642" s="10" t="n">
        <x:v>1</x:v>
      </x:c>
      <x:c r="G642" s="10" t="n">
        <x:f>MIN(E642,3)</x:f>
        <x:v>3</x:v>
      </x:c>
      <x:c r="H642" s="10" t="n">
        <x:v>6</x:v>
      </x:c>
      <x:c r="I642" s="19" t="n">
        <x:v>0.4</x:v>
      </x:c>
      <x:c r="J642" s="19" t="n">
        <x:v>0.2</x:v>
      </x:c>
      <x:c r="K642" s="19" t="n">
        <x:v>0.5</x:v>
      </x:c>
    </x:row>
    <x:row r="643" ht="23" customHeight="1">
      <x:c r="A643" s="2" t="str">
        <x:v>D040_T04_C020_G050</x:v>
      </x:c>
      <x:c r="B643" s="2" t="str">
        <x:v>A0038</x:v>
      </x:c>
      <x:c r="C643" s="10" t="n">
        <x:v>4</x:v>
      </x:c>
      <x:c r="D643" s="10"/>
      <x:c r="E643" s="10" t="n">
        <x:v>6</x:v>
      </x:c>
      <x:c r="F643" s="10" t="n">
        <x:v>0</x:v>
      </x:c>
      <x:c r="G643" s="10" t="n">
        <x:f>MIN(E643,3)</x:f>
        <x:v>3</x:v>
      </x:c>
      <x:c r="H643" s="10" t="n">
        <x:v>6</x:v>
      </x:c>
      <x:c r="I643" s="19" t="n">
        <x:v>0.4</x:v>
      </x:c>
      <x:c r="J643" s="19" t="n">
        <x:v>0.2</x:v>
      </x:c>
      <x:c r="K643" s="19" t="n">
        <x:v>0.5</x:v>
      </x:c>
    </x:row>
    <x:row r="644" ht="23" customHeight="1">
      <x:c r="A644" s="2" t="str">
        <x:v>D040_T04_C020_G050</x:v>
      </x:c>
      <x:c r="B644" s="2" t="str">
        <x:v>A0040</x:v>
      </x:c>
      <x:c r="C644" s="10" t="n">
        <x:v>4</x:v>
      </x:c>
      <x:c r="D644" s="10" t="n">
        <x:v>6</x:v>
      </x:c>
      <x:c r="E644" s="10" t="n">
        <x:v>2</x:v>
      </x:c>
      <x:c r="F644" s="10" t="n">
        <x:v>1</x:v>
      </x:c>
      <x:c r="G644" s="10" t="n">
        <x:f>MIN(E644,3)</x:f>
        <x:v>2</x:v>
      </x:c>
      <x:c r="H644" s="10" t="n">
        <x:v>6</x:v>
      </x:c>
      <x:c r="I644" s="19" t="n">
        <x:v>0.4</x:v>
      </x:c>
      <x:c r="J644" s="19" t="n">
        <x:v>0.2</x:v>
      </x:c>
      <x:c r="K644" s="19" t="n">
        <x:v>0.5</x:v>
      </x:c>
    </x:row>
    <x:row r="645" ht="23" customHeight="1">
      <x:c r="A645" s="2" t="str">
        <x:v>D040_T04_C020_G050</x:v>
      </x:c>
      <x:c r="B645" s="2" t="str">
        <x:v>A0041</x:v>
      </x:c>
      <x:c r="C645" s="10" t="n">
        <x:v>4</x:v>
      </x:c>
      <x:c r="D645" s="10" t="n">
        <x:v>5</x:v>
      </x:c>
      <x:c r="E645" s="10" t="n">
        <x:v>1</x:v>
      </x:c>
      <x:c r="F645" s="10" t="n">
        <x:v>1</x:v>
      </x:c>
      <x:c r="G645" s="10" t="n">
        <x:f>MIN(E645,3)</x:f>
        <x:v>1</x:v>
      </x:c>
      <x:c r="H645" s="10" t="n">
        <x:v>6</x:v>
      </x:c>
      <x:c r="I645" s="19" t="n">
        <x:v>0.4</x:v>
      </x:c>
      <x:c r="J645" s="19" t="n">
        <x:v>0.2</x:v>
      </x:c>
      <x:c r="K645" s="19" t="n">
        <x:v>0.5</x:v>
      </x:c>
    </x:row>
    <x:row r="646" ht="23" customHeight="1">
      <x:c r="A646" s="2" t="str">
        <x:v>D040_T04_C020_G050</x:v>
      </x:c>
      <x:c r="B646" s="2" t="str">
        <x:v>A0071</x:v>
      </x:c>
      <x:c r="C646" s="10" t="n">
        <x:v>4</x:v>
      </x:c>
      <x:c r="D646" s="10" t="n">
        <x:v>7</x:v>
      </x:c>
      <x:c r="E646" s="10" t="n">
        <x:v>3</x:v>
      </x:c>
      <x:c r="F646" s="10" t="n">
        <x:v>1</x:v>
      </x:c>
      <x:c r="G646" s="10" t="n">
        <x:f>MIN(E646,3)</x:f>
        <x:v>3</x:v>
      </x:c>
      <x:c r="H646" s="10" t="n">
        <x:v>6</x:v>
      </x:c>
      <x:c r="I646" s="19" t="n">
        <x:v>0.4</x:v>
      </x:c>
      <x:c r="J646" s="19" t="n">
        <x:v>0.2</x:v>
      </x:c>
      <x:c r="K646" s="19" t="n">
        <x:v>0.5</x:v>
      </x:c>
    </x:row>
    <x:row r="647" ht="23" customHeight="1">
      <x:c r="A647" s="2" t="str">
        <x:v>D040_T04_C020_G050</x:v>
      </x:c>
      <x:c r="B647" s="2" t="str">
        <x:v>A0090</x:v>
      </x:c>
      <x:c r="C647" s="10" t="n">
        <x:v>4</x:v>
      </x:c>
      <x:c r="D647" s="10" t="n">
        <x:v>7</x:v>
      </x:c>
      <x:c r="E647" s="10" t="n">
        <x:v>3</x:v>
      </x:c>
      <x:c r="F647" s="10" t="n">
        <x:v>1</x:v>
      </x:c>
      <x:c r="G647" s="10" t="n">
        <x:f>MIN(E647,3)</x:f>
        <x:v>3</x:v>
      </x:c>
      <x:c r="H647" s="10" t="n">
        <x:v>6</x:v>
      </x:c>
      <x:c r="I647" s="19" t="n">
        <x:v>0.4</x:v>
      </x:c>
      <x:c r="J647" s="19" t="n">
        <x:v>0.2</x:v>
      </x:c>
      <x:c r="K647" s="19" t="n">
        <x:v>0.5</x:v>
      </x:c>
    </x:row>
    <x:row r="648" ht="23" customHeight="1">
      <x:c r="A648" s="2" t="str">
        <x:v>D040_T04_C020_G050</x:v>
      </x:c>
      <x:c r="B648" s="2" t="str">
        <x:v>A0189</x:v>
      </x:c>
      <x:c r="C648" s="10" t="n">
        <x:v>4</x:v>
      </x:c>
      <x:c r="D648" s="10" t="n">
        <x:v>7</x:v>
      </x:c>
      <x:c r="E648" s="10" t="n">
        <x:v>3</x:v>
      </x:c>
      <x:c r="F648" s="10" t="n">
        <x:v>1</x:v>
      </x:c>
      <x:c r="G648" s="10" t="n">
        <x:f>MIN(E648,3)</x:f>
        <x:v>3</x:v>
      </x:c>
      <x:c r="H648" s="10" t="n">
        <x:v>6</x:v>
      </x:c>
      <x:c r="I648" s="19" t="n">
        <x:v>0.4</x:v>
      </x:c>
      <x:c r="J648" s="19" t="n">
        <x:v>0.2</x:v>
      </x:c>
      <x:c r="K648" s="19" t="n">
        <x:v>0.5</x:v>
      </x:c>
    </x:row>
    <x:row r="649" ht="23" customHeight="1">
      <x:c r="A649" s="2" t="str">
        <x:v>D040_T04_C020_G050</x:v>
      </x:c>
      <x:c r="B649" s="2" t="str">
        <x:v>A0206</x:v>
      </x:c>
      <x:c r="C649" s="10" t="n">
        <x:v>4</x:v>
      </x:c>
      <x:c r="D649" s="10" t="n">
        <x:v>4</x:v>
      </x:c>
      <x:c r="E649" s="10" t="n">
        <x:v>0</x:v>
      </x:c>
      <x:c r="F649" s="10" t="n">
        <x:v>1</x:v>
      </x:c>
      <x:c r="G649" s="10" t="n">
        <x:f>MIN(E649,3)</x:f>
        <x:v>0</x:v>
      </x:c>
      <x:c r="H649" s="10" t="n">
        <x:v>6</x:v>
      </x:c>
      <x:c r="I649" s="19" t="n">
        <x:v>0.4</x:v>
      </x:c>
      <x:c r="J649" s="19" t="n">
        <x:v>0.2</x:v>
      </x:c>
      <x:c r="K649" s="19" t="n">
        <x:v>0.5</x:v>
      </x:c>
    </x:row>
    <x:row r="650" ht="23" customHeight="1">
      <x:c r="A650" s="2" t="str">
        <x:v>D040_T04_C020_G075</x:v>
      </x:c>
      <x:c r="B650" s="2" t="str">
        <x:v>A0005</x:v>
      </x:c>
      <x:c r="C650" s="10" t="n">
        <x:v>4</x:v>
      </x:c>
      <x:c r="D650" s="10" t="n">
        <x:v>7</x:v>
      </x:c>
      <x:c r="E650" s="10" t="n">
        <x:v>3</x:v>
      </x:c>
      <x:c r="F650" s="10" t="n">
        <x:v>1</x:v>
      </x:c>
      <x:c r="G650" s="10" t="n">
        <x:f>MIN(E650,3)</x:f>
        <x:v>3</x:v>
      </x:c>
      <x:c r="H650" s="10" t="n">
        <x:v>6</x:v>
      </x:c>
      <x:c r="I650" s="19" t="n">
        <x:v>0.4</x:v>
      </x:c>
      <x:c r="J650" s="19" t="n">
        <x:v>0.2</x:v>
      </x:c>
      <x:c r="K650" s="19" t="n">
        <x:v>0.75</x:v>
      </x:c>
    </x:row>
    <x:row r="651" ht="23" customHeight="1">
      <x:c r="A651" s="2" t="str">
        <x:v>D040_T04_C020_G075</x:v>
      </x:c>
      <x:c r="B651" s="2" t="str">
        <x:v>A0006</x:v>
      </x:c>
      <x:c r="C651" s="10" t="n">
        <x:v>4</x:v>
      </x:c>
      <x:c r="D651" s="10" t="n">
        <x:v>8</x:v>
      </x:c>
      <x:c r="E651" s="10" t="n">
        <x:v>4</x:v>
      </x:c>
      <x:c r="F651" s="10" t="n">
        <x:v>1</x:v>
      </x:c>
      <x:c r="G651" s="10" t="n">
        <x:f>MIN(E651,3)</x:f>
        <x:v>3</x:v>
      </x:c>
      <x:c r="H651" s="10" t="n">
        <x:v>6</x:v>
      </x:c>
      <x:c r="I651" s="19" t="n">
        <x:v>0.4</x:v>
      </x:c>
      <x:c r="J651" s="19" t="n">
        <x:v>0.2</x:v>
      </x:c>
      <x:c r="K651" s="19" t="n">
        <x:v>0.75</x:v>
      </x:c>
    </x:row>
    <x:row r="652" ht="23" customHeight="1">
      <x:c r="A652" s="2" t="str">
        <x:v>D040_T04_C020_G075</x:v>
      </x:c>
      <x:c r="B652" s="2" t="str">
        <x:v>A0011</x:v>
      </x:c>
      <x:c r="C652" s="10" t="n">
        <x:v>4</x:v>
      </x:c>
      <x:c r="D652" s="10" t="n">
        <x:v>4</x:v>
      </x:c>
      <x:c r="E652" s="10" t="n">
        <x:v>0</x:v>
      </x:c>
      <x:c r="F652" s="10" t="n">
        <x:v>1</x:v>
      </x:c>
      <x:c r="G652" s="10" t="n">
        <x:f>MIN(E652,3)</x:f>
        <x:v>0</x:v>
      </x:c>
      <x:c r="H652" s="10" t="n">
        <x:v>6</x:v>
      </x:c>
      <x:c r="I652" s="19" t="n">
        <x:v>0.4</x:v>
      </x:c>
      <x:c r="J652" s="19" t="n">
        <x:v>0.2</x:v>
      </x:c>
      <x:c r="K652" s="19" t="n">
        <x:v>0.75</x:v>
      </x:c>
    </x:row>
    <x:row r="653" ht="23" customHeight="1">
      <x:c r="A653" s="2" t="str">
        <x:v>D040_T04_C020_G075</x:v>
      </x:c>
      <x:c r="B653" s="2" t="str">
        <x:v>A0012</x:v>
      </x:c>
      <x:c r="C653" s="10" t="n">
        <x:v>4</x:v>
      </x:c>
      <x:c r="D653" s="10" t="n">
        <x:v>5</x:v>
      </x:c>
      <x:c r="E653" s="10" t="n">
        <x:v>1</x:v>
      </x:c>
      <x:c r="F653" s="10" t="n">
        <x:v>1</x:v>
      </x:c>
      <x:c r="G653" s="10" t="n">
        <x:f>MIN(E653,3)</x:f>
        <x:v>1</x:v>
      </x:c>
      <x:c r="H653" s="10" t="n">
        <x:v>6</x:v>
      </x:c>
      <x:c r="I653" s="19" t="n">
        <x:v>0.4</x:v>
      </x:c>
      <x:c r="J653" s="19" t="n">
        <x:v>0.2</x:v>
      </x:c>
      <x:c r="K653" s="19" t="n">
        <x:v>0.75</x:v>
      </x:c>
    </x:row>
    <x:row r="654" ht="23" customHeight="1">
      <x:c r="A654" s="2" t="str">
        <x:v>D040_T04_C020_G075</x:v>
      </x:c>
      <x:c r="B654" s="2" t="str">
        <x:v>A0017</x:v>
      </x:c>
      <x:c r="C654" s="10" t="n">
        <x:v>4</x:v>
      </x:c>
      <x:c r="D654" s="10" t="n">
        <x:v>6</x:v>
      </x:c>
      <x:c r="E654" s="10" t="n">
        <x:v>2</x:v>
      </x:c>
      <x:c r="F654" s="10" t="n">
        <x:v>1</x:v>
      </x:c>
      <x:c r="G654" s="10" t="n">
        <x:f>MIN(E654,3)</x:f>
        <x:v>2</x:v>
      </x:c>
      <x:c r="H654" s="10" t="n">
        <x:v>6</x:v>
      </x:c>
      <x:c r="I654" s="19" t="n">
        <x:v>0.4</x:v>
      </x:c>
      <x:c r="J654" s="19" t="n">
        <x:v>0.2</x:v>
      </x:c>
      <x:c r="K654" s="19" t="n">
        <x:v>0.75</x:v>
      </x:c>
    </x:row>
    <x:row r="655" ht="23" customHeight="1">
      <x:c r="A655" s="2" t="str">
        <x:v>D040_T04_C020_G075</x:v>
      </x:c>
      <x:c r="B655" s="2" t="str">
        <x:v>A0018</x:v>
      </x:c>
      <x:c r="C655" s="10" t="n">
        <x:v>4</x:v>
      </x:c>
      <x:c r="D655" s="10" t="n">
        <x:v>6</x:v>
      </x:c>
      <x:c r="E655" s="10" t="n">
        <x:v>2</x:v>
      </x:c>
      <x:c r="F655" s="10" t="n">
        <x:v>1</x:v>
      </x:c>
      <x:c r="G655" s="10" t="n">
        <x:f>MIN(E655,3)</x:f>
        <x:v>2</x:v>
      </x:c>
      <x:c r="H655" s="10" t="n">
        <x:v>6</x:v>
      </x:c>
      <x:c r="I655" s="19" t="n">
        <x:v>0.4</x:v>
      </x:c>
      <x:c r="J655" s="19" t="n">
        <x:v>0.2</x:v>
      </x:c>
      <x:c r="K655" s="19" t="n">
        <x:v>0.75</x:v>
      </x:c>
    </x:row>
    <x:row r="656" ht="23" customHeight="1">
      <x:c r="A656" s="2" t="str">
        <x:v>D040_T04_C020_G075</x:v>
      </x:c>
      <x:c r="B656" s="2" t="str">
        <x:v>A0019</x:v>
      </x:c>
      <x:c r="C656" s="10" t="n">
        <x:v>4</x:v>
      </x:c>
      <x:c r="D656" s="10" t="n">
        <x:v>6</x:v>
      </x:c>
      <x:c r="E656" s="10" t="n">
        <x:v>2</x:v>
      </x:c>
      <x:c r="F656" s="10" t="n">
        <x:v>1</x:v>
      </x:c>
      <x:c r="G656" s="10" t="n">
        <x:f>MIN(E656,3)</x:f>
        <x:v>2</x:v>
      </x:c>
      <x:c r="H656" s="10" t="n">
        <x:v>6</x:v>
      </x:c>
      <x:c r="I656" s="19" t="n">
        <x:v>0.4</x:v>
      </x:c>
      <x:c r="J656" s="19" t="n">
        <x:v>0.2</x:v>
      </x:c>
      <x:c r="K656" s="19" t="n">
        <x:v>0.75</x:v>
      </x:c>
    </x:row>
    <x:row r="657" ht="23" customHeight="1">
      <x:c r="A657" s="2" t="str">
        <x:v>D040_T04_C020_G075</x:v>
      </x:c>
      <x:c r="B657" s="2" t="str">
        <x:v>A0024</x:v>
      </x:c>
      <x:c r="C657" s="10" t="n">
        <x:v>4</x:v>
      </x:c>
      <x:c r="D657" s="10" t="n">
        <x:v>7</x:v>
      </x:c>
      <x:c r="E657" s="10" t="n">
        <x:v>3</x:v>
      </x:c>
      <x:c r="F657" s="10" t="n">
        <x:v>1</x:v>
      </x:c>
      <x:c r="G657" s="10" t="n">
        <x:f>MIN(E657,3)</x:f>
        <x:v>3</x:v>
      </x:c>
      <x:c r="H657" s="10" t="n">
        <x:v>6</x:v>
      </x:c>
      <x:c r="I657" s="19" t="n">
        <x:v>0.4</x:v>
      </x:c>
      <x:c r="J657" s="19" t="n">
        <x:v>0.2</x:v>
      </x:c>
      <x:c r="K657" s="19" t="n">
        <x:v>0.75</x:v>
      </x:c>
    </x:row>
    <x:row r="658" ht="23" customHeight="1">
      <x:c r="A658" s="2" t="str">
        <x:v>D040_T04_C020_G075</x:v>
      </x:c>
      <x:c r="B658" s="2" t="str">
        <x:v>A0025</x:v>
      </x:c>
      <x:c r="C658" s="10" t="n">
        <x:v>4</x:v>
      </x:c>
      <x:c r="D658" s="10" t="n">
        <x:v>6</x:v>
      </x:c>
      <x:c r="E658" s="10" t="n">
        <x:v>2</x:v>
      </x:c>
      <x:c r="F658" s="10" t="n">
        <x:v>1</x:v>
      </x:c>
      <x:c r="G658" s="10" t="n">
        <x:f>MIN(E658,3)</x:f>
        <x:v>2</x:v>
      </x:c>
      <x:c r="H658" s="10" t="n">
        <x:v>6</x:v>
      </x:c>
      <x:c r="I658" s="19" t="n">
        <x:v>0.4</x:v>
      </x:c>
      <x:c r="J658" s="19" t="n">
        <x:v>0.2</x:v>
      </x:c>
      <x:c r="K658" s="19" t="n">
        <x:v>0.75</x:v>
      </x:c>
    </x:row>
    <x:row r="659" ht="23" customHeight="1">
      <x:c r="A659" s="2" t="str">
        <x:v>D040_T04_C020_G075</x:v>
      </x:c>
      <x:c r="B659" s="2" t="str">
        <x:v>A0026</x:v>
      </x:c>
      <x:c r="C659" s="10" t="n">
        <x:v>4</x:v>
      </x:c>
      <x:c r="D659" s="10" t="n">
        <x:v>4</x:v>
      </x:c>
      <x:c r="E659" s="10" t="n">
        <x:v>0</x:v>
      </x:c>
      <x:c r="F659" s="10" t="n">
        <x:v>1</x:v>
      </x:c>
      <x:c r="G659" s="10" t="n">
        <x:f>MIN(E659,3)</x:f>
        <x:v>0</x:v>
      </x:c>
      <x:c r="H659" s="10" t="n">
        <x:v>6</x:v>
      </x:c>
      <x:c r="I659" s="19" t="n">
        <x:v>0.4</x:v>
      </x:c>
      <x:c r="J659" s="19" t="n">
        <x:v>0.2</x:v>
      </x:c>
      <x:c r="K659" s="19" t="n">
        <x:v>0.75</x:v>
      </x:c>
    </x:row>
    <x:row r="660" ht="23" customHeight="1">
      <x:c r="A660" s="2" t="str">
        <x:v>D040_T04_C020_G075</x:v>
      </x:c>
      <x:c r="B660" s="2" t="str">
        <x:v>A0027</x:v>
      </x:c>
      <x:c r="C660" s="10" t="n">
        <x:v>4</x:v>
      </x:c>
      <x:c r="D660" s="10" t="n">
        <x:v>5</x:v>
      </x:c>
      <x:c r="E660" s="10" t="n">
        <x:v>1</x:v>
      </x:c>
      <x:c r="F660" s="10" t="n">
        <x:v>1</x:v>
      </x:c>
      <x:c r="G660" s="10" t="n">
        <x:f>MIN(E660,3)</x:f>
        <x:v>1</x:v>
      </x:c>
      <x:c r="H660" s="10" t="n">
        <x:v>6</x:v>
      </x:c>
      <x:c r="I660" s="19" t="n">
        <x:v>0.4</x:v>
      </x:c>
      <x:c r="J660" s="19" t="n">
        <x:v>0.2</x:v>
      </x:c>
      <x:c r="K660" s="19" t="n">
        <x:v>0.75</x:v>
      </x:c>
    </x:row>
    <x:row r="661" ht="23" customHeight="1">
      <x:c r="A661" s="2" t="str">
        <x:v>D040_T04_C020_G075</x:v>
      </x:c>
      <x:c r="B661" s="2" t="str">
        <x:v>A0028</x:v>
      </x:c>
      <x:c r="C661" s="10" t="n">
        <x:v>4</x:v>
      </x:c>
      <x:c r="D661" s="10" t="n">
        <x:v>6</x:v>
      </x:c>
      <x:c r="E661" s="10" t="n">
        <x:v>2</x:v>
      </x:c>
      <x:c r="F661" s="10" t="n">
        <x:v>1</x:v>
      </x:c>
      <x:c r="G661" s="10" t="n">
        <x:f>MIN(E661,3)</x:f>
        <x:v>2</x:v>
      </x:c>
      <x:c r="H661" s="10" t="n">
        <x:v>6</x:v>
      </x:c>
      <x:c r="I661" s="19" t="n">
        <x:v>0.4</x:v>
      </x:c>
      <x:c r="J661" s="19" t="n">
        <x:v>0.2</x:v>
      </x:c>
      <x:c r="K661" s="19" t="n">
        <x:v>0.75</x:v>
      </x:c>
    </x:row>
    <x:row r="662" ht="23" customHeight="1">
      <x:c r="A662" s="2" t="str">
        <x:v>D040_T04_C020_G075</x:v>
      </x:c>
      <x:c r="B662" s="2" t="str">
        <x:v>A0030</x:v>
      </x:c>
      <x:c r="C662" s="10" t="n">
        <x:v>4</x:v>
      </x:c>
      <x:c r="D662" s="10"/>
      <x:c r="E662" s="10" t="n">
        <x:v>6</x:v>
      </x:c>
      <x:c r="F662" s="10" t="n">
        <x:v>0</x:v>
      </x:c>
      <x:c r="G662" s="10" t="n">
        <x:f>MIN(E662,3)</x:f>
        <x:v>3</x:v>
      </x:c>
      <x:c r="H662" s="10" t="n">
        <x:v>6</x:v>
      </x:c>
      <x:c r="I662" s="19" t="n">
        <x:v>0.4</x:v>
      </x:c>
      <x:c r="J662" s="19" t="n">
        <x:v>0.2</x:v>
      </x:c>
      <x:c r="K662" s="19" t="n">
        <x:v>0.75</x:v>
      </x:c>
    </x:row>
    <x:row r="663" ht="23" customHeight="1">
      <x:c r="A663" s="2" t="str">
        <x:v>D040_T04_C020_G075</x:v>
      </x:c>
      <x:c r="B663" s="2" t="str">
        <x:v>A0032</x:v>
      </x:c>
      <x:c r="C663" s="10" t="n">
        <x:v>4</x:v>
      </x:c>
      <x:c r="D663" s="10" t="n">
        <x:v>5</x:v>
      </x:c>
      <x:c r="E663" s="10" t="n">
        <x:v>1</x:v>
      </x:c>
      <x:c r="F663" s="10" t="n">
        <x:v>1</x:v>
      </x:c>
      <x:c r="G663" s="10" t="n">
        <x:f>MIN(E663,3)</x:f>
        <x:v>1</x:v>
      </x:c>
      <x:c r="H663" s="10" t="n">
        <x:v>6</x:v>
      </x:c>
      <x:c r="I663" s="19" t="n">
        <x:v>0.4</x:v>
      </x:c>
      <x:c r="J663" s="19" t="n">
        <x:v>0.2</x:v>
      </x:c>
      <x:c r="K663" s="19" t="n">
        <x:v>0.75</x:v>
      </x:c>
    </x:row>
    <x:row r="664" ht="23" customHeight="1">
      <x:c r="A664" s="2" t="str">
        <x:v>D040_T04_C020_G075</x:v>
      </x:c>
      <x:c r="B664" s="2" t="str">
        <x:v>A0033</x:v>
      </x:c>
      <x:c r="C664" s="10" t="n">
        <x:v>4</x:v>
      </x:c>
      <x:c r="D664" s="10" t="n">
        <x:v>5</x:v>
      </x:c>
      <x:c r="E664" s="10" t="n">
        <x:v>1</x:v>
      </x:c>
      <x:c r="F664" s="10" t="n">
        <x:v>1</x:v>
      </x:c>
      <x:c r="G664" s="10" t="n">
        <x:f>MIN(E664,3)</x:f>
        <x:v>1</x:v>
      </x:c>
      <x:c r="H664" s="10" t="n">
        <x:v>6</x:v>
      </x:c>
      <x:c r="I664" s="19" t="n">
        <x:v>0.4</x:v>
      </x:c>
      <x:c r="J664" s="19" t="n">
        <x:v>0.2</x:v>
      </x:c>
      <x:c r="K664" s="19" t="n">
        <x:v>0.75</x:v>
      </x:c>
    </x:row>
    <x:row r="665" ht="23" customHeight="1">
      <x:c r="A665" s="2" t="str">
        <x:v>D040_T04_C020_G075</x:v>
      </x:c>
      <x:c r="B665" s="2" t="str">
        <x:v>A0035</x:v>
      </x:c>
      <x:c r="C665" s="10" t="n">
        <x:v>4</x:v>
      </x:c>
      <x:c r="D665" s="10" t="n">
        <x:v>7</x:v>
      </x:c>
      <x:c r="E665" s="10" t="n">
        <x:v>3</x:v>
      </x:c>
      <x:c r="F665" s="10" t="n">
        <x:v>1</x:v>
      </x:c>
      <x:c r="G665" s="10" t="n">
        <x:f>MIN(E665,3)</x:f>
        <x:v>3</x:v>
      </x:c>
      <x:c r="H665" s="10" t="n">
        <x:v>6</x:v>
      </x:c>
      <x:c r="I665" s="19" t="n">
        <x:v>0.4</x:v>
      </x:c>
      <x:c r="J665" s="19" t="n">
        <x:v>0.2</x:v>
      </x:c>
      <x:c r="K665" s="19" t="n">
        <x:v>0.75</x:v>
      </x:c>
    </x:row>
    <x:row r="666" ht="23" customHeight="1">
      <x:c r="A666" s="2" t="str">
        <x:v>D040_T04_C020_G075</x:v>
      </x:c>
      <x:c r="B666" s="2" t="str">
        <x:v>A0036</x:v>
      </x:c>
      <x:c r="C666" s="10" t="n">
        <x:v>4</x:v>
      </x:c>
      <x:c r="D666" s="10" t="n">
        <x:v>9</x:v>
      </x:c>
      <x:c r="E666" s="10" t="n">
        <x:v>5</x:v>
      </x:c>
      <x:c r="F666" s="10" t="n">
        <x:v>1</x:v>
      </x:c>
      <x:c r="G666" s="10" t="n">
        <x:f>MIN(E666,3)</x:f>
        <x:v>3</x:v>
      </x:c>
      <x:c r="H666" s="10" t="n">
        <x:v>6</x:v>
      </x:c>
      <x:c r="I666" s="19" t="n">
        <x:v>0.4</x:v>
      </x:c>
      <x:c r="J666" s="19" t="n">
        <x:v>0.2</x:v>
      </x:c>
      <x:c r="K666" s="19" t="n">
        <x:v>0.75</x:v>
      </x:c>
    </x:row>
    <x:row r="667" ht="23" customHeight="1">
      <x:c r="A667" s="2" t="str">
        <x:v>D040_T04_C020_G075</x:v>
      </x:c>
      <x:c r="B667" s="2" t="str">
        <x:v>A0037</x:v>
      </x:c>
      <x:c r="C667" s="10" t="n">
        <x:v>4</x:v>
      </x:c>
      <x:c r="D667" s="10" t="n">
        <x:v>6</x:v>
      </x:c>
      <x:c r="E667" s="10" t="n">
        <x:v>2</x:v>
      </x:c>
      <x:c r="F667" s="10" t="n">
        <x:v>1</x:v>
      </x:c>
      <x:c r="G667" s="10" t="n">
        <x:f>MIN(E667,3)</x:f>
        <x:v>2</x:v>
      </x:c>
      <x:c r="H667" s="10" t="n">
        <x:v>6</x:v>
      </x:c>
      <x:c r="I667" s="19" t="n">
        <x:v>0.4</x:v>
      </x:c>
      <x:c r="J667" s="19" t="n">
        <x:v>0.2</x:v>
      </x:c>
      <x:c r="K667" s="19" t="n">
        <x:v>0.75</x:v>
      </x:c>
    </x:row>
    <x:row r="668" ht="23" customHeight="1">
      <x:c r="A668" s="2" t="str">
        <x:v>D040_T04_C020_G075</x:v>
      </x:c>
      <x:c r="B668" s="2" t="str">
        <x:v>A0038</x:v>
      </x:c>
      <x:c r="C668" s="10" t="n">
        <x:v>4</x:v>
      </x:c>
      <x:c r="D668" s="10" t="n">
        <x:v>5</x:v>
      </x:c>
      <x:c r="E668" s="10" t="n">
        <x:v>1</x:v>
      </x:c>
      <x:c r="F668" s="10" t="n">
        <x:v>1</x:v>
      </x:c>
      <x:c r="G668" s="10" t="n">
        <x:f>MIN(E668,3)</x:f>
        <x:v>1</x:v>
      </x:c>
      <x:c r="H668" s="10" t="n">
        <x:v>6</x:v>
      </x:c>
      <x:c r="I668" s="19" t="n">
        <x:v>0.4</x:v>
      </x:c>
      <x:c r="J668" s="19" t="n">
        <x:v>0.2</x:v>
      </x:c>
      <x:c r="K668" s="19" t="n">
        <x:v>0.75</x:v>
      </x:c>
    </x:row>
    <x:row r="669" ht="23" customHeight="1">
      <x:c r="A669" s="2" t="str">
        <x:v>D040_T04_C020_G075</x:v>
      </x:c>
      <x:c r="B669" s="2" t="str">
        <x:v>A0040</x:v>
      </x:c>
      <x:c r="C669" s="10" t="n">
        <x:v>4</x:v>
      </x:c>
      <x:c r="D669" s="10" t="n">
        <x:v>6</x:v>
      </x:c>
      <x:c r="E669" s="10" t="n">
        <x:v>2</x:v>
      </x:c>
      <x:c r="F669" s="10" t="n">
        <x:v>1</x:v>
      </x:c>
      <x:c r="G669" s="10" t="n">
        <x:f>MIN(E669,3)</x:f>
        <x:v>2</x:v>
      </x:c>
      <x:c r="H669" s="10" t="n">
        <x:v>6</x:v>
      </x:c>
      <x:c r="I669" s="19" t="n">
        <x:v>0.4</x:v>
      </x:c>
      <x:c r="J669" s="19" t="n">
        <x:v>0.2</x:v>
      </x:c>
      <x:c r="K669" s="19" t="n">
        <x:v>0.75</x:v>
      </x:c>
    </x:row>
    <x:row r="670" ht="23" customHeight="1">
      <x:c r="A670" s="2" t="str">
        <x:v>D040_T04_C020_G075</x:v>
      </x:c>
      <x:c r="B670" s="2" t="str">
        <x:v>A0041</x:v>
      </x:c>
      <x:c r="C670" s="10" t="n">
        <x:v>4</x:v>
      </x:c>
      <x:c r="D670" s="10" t="n">
        <x:v>8</x:v>
      </x:c>
      <x:c r="E670" s="10" t="n">
        <x:v>4</x:v>
      </x:c>
      <x:c r="F670" s="10" t="n">
        <x:v>1</x:v>
      </x:c>
      <x:c r="G670" s="10" t="n">
        <x:f>MIN(E670,3)</x:f>
        <x:v>3</x:v>
      </x:c>
      <x:c r="H670" s="10" t="n">
        <x:v>6</x:v>
      </x:c>
      <x:c r="I670" s="19" t="n">
        <x:v>0.4</x:v>
      </x:c>
      <x:c r="J670" s="19" t="n">
        <x:v>0.2</x:v>
      </x:c>
      <x:c r="K670" s="19" t="n">
        <x:v>0.75</x:v>
      </x:c>
    </x:row>
    <x:row r="671" ht="23" customHeight="1">
      <x:c r="A671" s="2" t="str">
        <x:v>D040_T04_C020_G075</x:v>
      </x:c>
      <x:c r="B671" s="2" t="str">
        <x:v>A0071</x:v>
      </x:c>
      <x:c r="C671" s="10" t="n">
        <x:v>4</x:v>
      </x:c>
      <x:c r="D671" s="10" t="n">
        <x:v>6</x:v>
      </x:c>
      <x:c r="E671" s="10" t="n">
        <x:v>2</x:v>
      </x:c>
      <x:c r="F671" s="10" t="n">
        <x:v>1</x:v>
      </x:c>
      <x:c r="G671" s="10" t="n">
        <x:f>MIN(E671,3)</x:f>
        <x:v>2</x:v>
      </x:c>
      <x:c r="H671" s="10" t="n">
        <x:v>6</x:v>
      </x:c>
      <x:c r="I671" s="19" t="n">
        <x:v>0.4</x:v>
      </x:c>
      <x:c r="J671" s="19" t="n">
        <x:v>0.2</x:v>
      </x:c>
      <x:c r="K671" s="19" t="n">
        <x:v>0.75</x:v>
      </x:c>
    </x:row>
    <x:row r="672" ht="23" customHeight="1">
      <x:c r="A672" s="2" t="str">
        <x:v>D040_T04_C020_G075</x:v>
      </x:c>
      <x:c r="B672" s="2" t="str">
        <x:v>A0090</x:v>
      </x:c>
      <x:c r="C672" s="10" t="n">
        <x:v>4</x:v>
      </x:c>
      <x:c r="D672" s="10" t="n">
        <x:v>6</x:v>
      </x:c>
      <x:c r="E672" s="10" t="n">
        <x:v>2</x:v>
      </x:c>
      <x:c r="F672" s="10" t="n">
        <x:v>1</x:v>
      </x:c>
      <x:c r="G672" s="10" t="n">
        <x:f>MIN(E672,3)</x:f>
        <x:v>2</x:v>
      </x:c>
      <x:c r="H672" s="10" t="n">
        <x:v>6</x:v>
      </x:c>
      <x:c r="I672" s="19" t="n">
        <x:v>0.4</x:v>
      </x:c>
      <x:c r="J672" s="19" t="n">
        <x:v>0.2</x:v>
      </x:c>
      <x:c r="K672" s="19" t="n">
        <x:v>0.75</x:v>
      </x:c>
    </x:row>
    <x:row r="673" ht="23" customHeight="1">
      <x:c r="A673" s="2" t="str">
        <x:v>D040_T04_C020_G075</x:v>
      </x:c>
      <x:c r="B673" s="2" t="str">
        <x:v>A0189</x:v>
      </x:c>
      <x:c r="C673" s="10" t="n">
        <x:v>4</x:v>
      </x:c>
      <x:c r="D673" s="10" t="n">
        <x:v>6</x:v>
      </x:c>
      <x:c r="E673" s="10" t="n">
        <x:v>2</x:v>
      </x:c>
      <x:c r="F673" s="10" t="n">
        <x:v>1</x:v>
      </x:c>
      <x:c r="G673" s="10" t="n">
        <x:f>MIN(E673,3)</x:f>
        <x:v>2</x:v>
      </x:c>
      <x:c r="H673" s="10" t="n">
        <x:v>6</x:v>
      </x:c>
      <x:c r="I673" s="19" t="n">
        <x:v>0.4</x:v>
      </x:c>
      <x:c r="J673" s="19" t="n">
        <x:v>0.2</x:v>
      </x:c>
      <x:c r="K673" s="19" t="n">
        <x:v>0.75</x:v>
      </x:c>
    </x:row>
    <x:row r="674" ht="23" customHeight="1">
      <x:c r="A674" s="2" t="str">
        <x:v>D040_T04_C020_G075</x:v>
      </x:c>
      <x:c r="B674" s="2" t="str">
        <x:v>A0206</x:v>
      </x:c>
      <x:c r="C674" s="10" t="n">
        <x:v>4</x:v>
      </x:c>
      <x:c r="D674" s="10" t="n">
        <x:v>5</x:v>
      </x:c>
      <x:c r="E674" s="10" t="n">
        <x:v>1</x:v>
      </x:c>
      <x:c r="F674" s="10" t="n">
        <x:v>1</x:v>
      </x:c>
      <x:c r="G674" s="10" t="n">
        <x:f>MIN(E674,3)</x:f>
        <x:v>1</x:v>
      </x:c>
      <x:c r="H674" s="10" t="n">
        <x:v>6</x:v>
      </x:c>
      <x:c r="I674" s="19" t="n">
        <x:v>0.4</x:v>
      </x:c>
      <x:c r="J674" s="19" t="n">
        <x:v>0.2</x:v>
      </x:c>
      <x:c r="K674" s="19" t="n">
        <x:v>0.75</x:v>
      </x:c>
    </x:row>
    <x:row r="675" ht="23" customHeight="1">
      <x:c r="A675" s="2" t="str">
        <x:v>D040_T04_C080_G025</x:v>
      </x:c>
      <x:c r="B675" s="2" t="str">
        <x:v>A0005</x:v>
      </x:c>
      <x:c r="C675" s="10" t="n">
        <x:v>4</x:v>
      </x:c>
      <x:c r="D675" s="10" t="n">
        <x:v>6</x:v>
      </x:c>
      <x:c r="E675" s="10" t="n">
        <x:v>2</x:v>
      </x:c>
      <x:c r="F675" s="10" t="n">
        <x:v>1</x:v>
      </x:c>
      <x:c r="G675" s="10" t="n">
        <x:f>MIN(E675,3)</x:f>
        <x:v>2</x:v>
      </x:c>
      <x:c r="H675" s="10" t="n">
        <x:v>6</x:v>
      </x:c>
      <x:c r="I675" s="19" t="n">
        <x:v>0.4</x:v>
      </x:c>
      <x:c r="J675" s="19" t="n">
        <x:v>0.8</x:v>
      </x:c>
      <x:c r="K675" s="19" t="n">
        <x:v>0.25</x:v>
      </x:c>
    </x:row>
    <x:row r="676" ht="23" customHeight="1">
      <x:c r="A676" s="2" t="str">
        <x:v>D040_T04_C080_G025</x:v>
      </x:c>
      <x:c r="B676" s="2" t="str">
        <x:v>A0008</x:v>
      </x:c>
      <x:c r="C676" s="10" t="n">
        <x:v>4</x:v>
      </x:c>
      <x:c r="D676" s="10" t="n">
        <x:v>7</x:v>
      </x:c>
      <x:c r="E676" s="10" t="n">
        <x:v>3</x:v>
      </x:c>
      <x:c r="F676" s="10" t="n">
        <x:v>1</x:v>
      </x:c>
      <x:c r="G676" s="10" t="n">
        <x:f>MIN(E676,3)</x:f>
        <x:v>3</x:v>
      </x:c>
      <x:c r="H676" s="10" t="n">
        <x:v>6</x:v>
      </x:c>
      <x:c r="I676" s="19" t="n">
        <x:v>0.4</x:v>
      </x:c>
      <x:c r="J676" s="19" t="n">
        <x:v>0.8</x:v>
      </x:c>
      <x:c r="K676" s="19" t="n">
        <x:v>0.25</x:v>
      </x:c>
    </x:row>
    <x:row r="677" ht="23" customHeight="1">
      <x:c r="A677" s="2" t="str">
        <x:v>D040_T04_C080_G025</x:v>
      </x:c>
      <x:c r="B677" s="2" t="str">
        <x:v>A0011</x:v>
      </x:c>
      <x:c r="C677" s="10" t="n">
        <x:v>4</x:v>
      </x:c>
      <x:c r="D677" s="10"/>
      <x:c r="E677" s="10" t="n">
        <x:v>6</x:v>
      </x:c>
      <x:c r="F677" s="10" t="n">
        <x:v>0</x:v>
      </x:c>
      <x:c r="G677" s="10" t="n">
        <x:f>MIN(E677,3)</x:f>
        <x:v>3</x:v>
      </x:c>
      <x:c r="H677" s="10" t="n">
        <x:v>6</x:v>
      </x:c>
      <x:c r="I677" s="19" t="n">
        <x:v>0.4</x:v>
      </x:c>
      <x:c r="J677" s="19" t="n">
        <x:v>0.8</x:v>
      </x:c>
      <x:c r="K677" s="19" t="n">
        <x:v>0.25</x:v>
      </x:c>
    </x:row>
    <x:row r="678" ht="23" customHeight="1">
      <x:c r="A678" s="2" t="str">
        <x:v>D040_T04_C080_G025</x:v>
      </x:c>
      <x:c r="B678" s="2" t="str">
        <x:v>A0012</x:v>
      </x:c>
      <x:c r="C678" s="10" t="n">
        <x:v>4</x:v>
      </x:c>
      <x:c r="D678" s="10"/>
      <x:c r="E678" s="10" t="n">
        <x:v>6</x:v>
      </x:c>
      <x:c r="F678" s="10" t="n">
        <x:v>0</x:v>
      </x:c>
      <x:c r="G678" s="10" t="n">
        <x:f>MIN(E678,3)</x:f>
        <x:v>3</x:v>
      </x:c>
      <x:c r="H678" s="10" t="n">
        <x:v>6</x:v>
      </x:c>
      <x:c r="I678" s="19" t="n">
        <x:v>0.4</x:v>
      </x:c>
      <x:c r="J678" s="19" t="n">
        <x:v>0.8</x:v>
      </x:c>
      <x:c r="K678" s="19" t="n">
        <x:v>0.25</x:v>
      </x:c>
    </x:row>
    <x:row r="679" ht="23" customHeight="1">
      <x:c r="A679" s="2" t="str">
        <x:v>D040_T04_C080_G025</x:v>
      </x:c>
      <x:c r="B679" s="2" t="str">
        <x:v>A0015</x:v>
      </x:c>
      <x:c r="C679" s="10" t="n">
        <x:v>4</x:v>
      </x:c>
      <x:c r="D679" s="10"/>
      <x:c r="E679" s="10" t="n">
        <x:v>6</x:v>
      </x:c>
      <x:c r="F679" s="10" t="n">
        <x:v>0</x:v>
      </x:c>
      <x:c r="G679" s="10" t="n">
        <x:f>MIN(E679,3)</x:f>
        <x:v>3</x:v>
      </x:c>
      <x:c r="H679" s="10" t="n">
        <x:v>6</x:v>
      </x:c>
      <x:c r="I679" s="19" t="n">
        <x:v>0.4</x:v>
      </x:c>
      <x:c r="J679" s="19" t="n">
        <x:v>0.8</x:v>
      </x:c>
      <x:c r="K679" s="19" t="n">
        <x:v>0.25</x:v>
      </x:c>
    </x:row>
    <x:row r="680" ht="23" customHeight="1">
      <x:c r="A680" s="2" t="str">
        <x:v>D040_T04_C080_G025</x:v>
      </x:c>
      <x:c r="B680" s="2" t="str">
        <x:v>A0016</x:v>
      </x:c>
      <x:c r="C680" s="10" t="n">
        <x:v>4</x:v>
      </x:c>
      <x:c r="D680" s="10" t="n">
        <x:v>6</x:v>
      </x:c>
      <x:c r="E680" s="10" t="n">
        <x:v>2</x:v>
      </x:c>
      <x:c r="F680" s="10" t="n">
        <x:v>1</x:v>
      </x:c>
      <x:c r="G680" s="10" t="n">
        <x:f>MIN(E680,3)</x:f>
        <x:v>2</x:v>
      </x:c>
      <x:c r="H680" s="10" t="n">
        <x:v>6</x:v>
      </x:c>
      <x:c r="I680" s="19" t="n">
        <x:v>0.4</x:v>
      </x:c>
      <x:c r="J680" s="19" t="n">
        <x:v>0.8</x:v>
      </x:c>
      <x:c r="K680" s="19" t="n">
        <x:v>0.25</x:v>
      </x:c>
    </x:row>
    <x:row r="681" ht="23" customHeight="1">
      <x:c r="A681" s="2" t="str">
        <x:v>D040_T04_C080_G025</x:v>
      </x:c>
      <x:c r="B681" s="2" t="str">
        <x:v>A0017</x:v>
      </x:c>
      <x:c r="C681" s="10" t="n">
        <x:v>4</x:v>
      </x:c>
      <x:c r="D681" s="10" t="n">
        <x:v>8</x:v>
      </x:c>
      <x:c r="E681" s="10" t="n">
        <x:v>4</x:v>
      </x:c>
      <x:c r="F681" s="10" t="n">
        <x:v>1</x:v>
      </x:c>
      <x:c r="G681" s="10" t="n">
        <x:f>MIN(E681,3)</x:f>
        <x:v>3</x:v>
      </x:c>
      <x:c r="H681" s="10" t="n">
        <x:v>6</x:v>
      </x:c>
      <x:c r="I681" s="19" t="n">
        <x:v>0.4</x:v>
      </x:c>
      <x:c r="J681" s="19" t="n">
        <x:v>0.8</x:v>
      </x:c>
      <x:c r="K681" s="19" t="n">
        <x:v>0.25</x:v>
      </x:c>
    </x:row>
    <x:row r="682" ht="23" customHeight="1">
      <x:c r="A682" s="2" t="str">
        <x:v>D040_T04_C080_G025</x:v>
      </x:c>
      <x:c r="B682" s="2" t="str">
        <x:v>A0018</x:v>
      </x:c>
      <x:c r="C682" s="10" t="n">
        <x:v>4</x:v>
      </x:c>
      <x:c r="D682" s="10"/>
      <x:c r="E682" s="10" t="n">
        <x:v>6</x:v>
      </x:c>
      <x:c r="F682" s="10" t="n">
        <x:v>0</x:v>
      </x:c>
      <x:c r="G682" s="10" t="n">
        <x:f>MIN(E682,3)</x:f>
        <x:v>3</x:v>
      </x:c>
      <x:c r="H682" s="10" t="n">
        <x:v>6</x:v>
      </x:c>
      <x:c r="I682" s="19" t="n">
        <x:v>0.4</x:v>
      </x:c>
      <x:c r="J682" s="19" t="n">
        <x:v>0.8</x:v>
      </x:c>
      <x:c r="K682" s="19" t="n">
        <x:v>0.25</x:v>
      </x:c>
    </x:row>
    <x:row r="683" ht="23" customHeight="1">
      <x:c r="A683" s="2" t="str">
        <x:v>D040_T04_C080_G025</x:v>
      </x:c>
      <x:c r="B683" s="2" t="str">
        <x:v>A0020</x:v>
      </x:c>
      <x:c r="C683" s="10" t="n">
        <x:v>4</x:v>
      </x:c>
      <x:c r="D683" s="10" t="n">
        <x:v>5</x:v>
      </x:c>
      <x:c r="E683" s="10" t="n">
        <x:v>1</x:v>
      </x:c>
      <x:c r="F683" s="10" t="n">
        <x:v>1</x:v>
      </x:c>
      <x:c r="G683" s="10" t="n">
        <x:f>MIN(E683,3)</x:f>
        <x:v>1</x:v>
      </x:c>
      <x:c r="H683" s="10" t="n">
        <x:v>6</x:v>
      </x:c>
      <x:c r="I683" s="19" t="n">
        <x:v>0.4</x:v>
      </x:c>
      <x:c r="J683" s="19" t="n">
        <x:v>0.8</x:v>
      </x:c>
      <x:c r="K683" s="19" t="n">
        <x:v>0.25</x:v>
      </x:c>
    </x:row>
    <x:row r="684" ht="23" customHeight="1">
      <x:c r="A684" s="2" t="str">
        <x:v>D040_T04_C080_G025</x:v>
      </x:c>
      <x:c r="B684" s="2" t="str">
        <x:v>A0023</x:v>
      </x:c>
      <x:c r="C684" s="10" t="n">
        <x:v>4</x:v>
      </x:c>
      <x:c r="D684" s="10" t="n">
        <x:v>9</x:v>
      </x:c>
      <x:c r="E684" s="10" t="n">
        <x:v>5</x:v>
      </x:c>
      <x:c r="F684" s="10" t="n">
        <x:v>1</x:v>
      </x:c>
      <x:c r="G684" s="10" t="n">
        <x:f>MIN(E684,3)</x:f>
        <x:v>3</x:v>
      </x:c>
      <x:c r="H684" s="10" t="n">
        <x:v>6</x:v>
      </x:c>
      <x:c r="I684" s="19" t="n">
        <x:v>0.4</x:v>
      </x:c>
      <x:c r="J684" s="19" t="n">
        <x:v>0.8</x:v>
      </x:c>
      <x:c r="K684" s="19" t="n">
        <x:v>0.25</x:v>
      </x:c>
    </x:row>
    <x:row r="685" ht="23" customHeight="1">
      <x:c r="A685" s="2" t="str">
        <x:v>D040_T04_C080_G025</x:v>
      </x:c>
      <x:c r="B685" s="2" t="str">
        <x:v>A0024</x:v>
      </x:c>
      <x:c r="C685" s="10" t="n">
        <x:v>4</x:v>
      </x:c>
      <x:c r="D685" s="10" t="n">
        <x:v>10</x:v>
      </x:c>
      <x:c r="E685" s="10" t="n">
        <x:v>6</x:v>
      </x:c>
      <x:c r="F685" s="10" t="n">
        <x:v>1</x:v>
      </x:c>
      <x:c r="G685" s="10" t="n">
        <x:f>MIN(E685,3)</x:f>
        <x:v>3</x:v>
      </x:c>
      <x:c r="H685" s="10" t="n">
        <x:v>6</x:v>
      </x:c>
      <x:c r="I685" s="19" t="n">
        <x:v>0.4</x:v>
      </x:c>
      <x:c r="J685" s="19" t="n">
        <x:v>0.8</x:v>
      </x:c>
      <x:c r="K685" s="19" t="n">
        <x:v>0.25</x:v>
      </x:c>
    </x:row>
    <x:row r="686" ht="23" customHeight="1">
      <x:c r="A686" s="2" t="str">
        <x:v>D040_T04_C080_G025</x:v>
      </x:c>
      <x:c r="B686" s="2" t="str">
        <x:v>A0025</x:v>
      </x:c>
      <x:c r="C686" s="10" t="n">
        <x:v>4</x:v>
      </x:c>
      <x:c r="D686" s="10"/>
      <x:c r="E686" s="10" t="n">
        <x:v>6</x:v>
      </x:c>
      <x:c r="F686" s="10" t="n">
        <x:v>0</x:v>
      </x:c>
      <x:c r="G686" s="10" t="n">
        <x:f>MIN(E686,3)</x:f>
        <x:v>3</x:v>
      </x:c>
      <x:c r="H686" s="10" t="n">
        <x:v>6</x:v>
      </x:c>
      <x:c r="I686" s="19" t="n">
        <x:v>0.4</x:v>
      </x:c>
      <x:c r="J686" s="19" t="n">
        <x:v>0.8</x:v>
      </x:c>
      <x:c r="K686" s="19" t="n">
        <x:v>0.25</x:v>
      </x:c>
    </x:row>
    <x:row r="687" ht="23" customHeight="1">
      <x:c r="A687" s="2" t="str">
        <x:v>D040_T04_C080_G025</x:v>
      </x:c>
      <x:c r="B687" s="2" t="str">
        <x:v>A0026</x:v>
      </x:c>
      <x:c r="C687" s="10" t="n">
        <x:v>4</x:v>
      </x:c>
      <x:c r="D687" s="10" t="n">
        <x:v>5</x:v>
      </x:c>
      <x:c r="E687" s="10" t="n">
        <x:v>1</x:v>
      </x:c>
      <x:c r="F687" s="10" t="n">
        <x:v>1</x:v>
      </x:c>
      <x:c r="G687" s="10" t="n">
        <x:f>MIN(E687,3)</x:f>
        <x:v>1</x:v>
      </x:c>
      <x:c r="H687" s="10" t="n">
        <x:v>6</x:v>
      </x:c>
      <x:c r="I687" s="19" t="n">
        <x:v>0.4</x:v>
      </x:c>
      <x:c r="J687" s="19" t="n">
        <x:v>0.8</x:v>
      </x:c>
      <x:c r="K687" s="19" t="n">
        <x:v>0.25</x:v>
      </x:c>
    </x:row>
    <x:row r="688" ht="23" customHeight="1">
      <x:c r="A688" s="2" t="str">
        <x:v>D040_T04_C080_G025</x:v>
      </x:c>
      <x:c r="B688" s="2" t="str">
        <x:v>A0027</x:v>
      </x:c>
      <x:c r="C688" s="10" t="n">
        <x:v>4</x:v>
      </x:c>
      <x:c r="D688" s="10" t="n">
        <x:v>8</x:v>
      </x:c>
      <x:c r="E688" s="10" t="n">
        <x:v>4</x:v>
      </x:c>
      <x:c r="F688" s="10" t="n">
        <x:v>1</x:v>
      </x:c>
      <x:c r="G688" s="10" t="n">
        <x:f>MIN(E688,3)</x:f>
        <x:v>3</x:v>
      </x:c>
      <x:c r="H688" s="10" t="n">
        <x:v>6</x:v>
      </x:c>
      <x:c r="I688" s="19" t="n">
        <x:v>0.4</x:v>
      </x:c>
      <x:c r="J688" s="19" t="n">
        <x:v>0.8</x:v>
      </x:c>
      <x:c r="K688" s="19" t="n">
        <x:v>0.25</x:v>
      </x:c>
    </x:row>
    <x:row r="689" ht="23" customHeight="1">
      <x:c r="A689" s="2" t="str">
        <x:v>D040_T04_C080_G025</x:v>
      </x:c>
      <x:c r="B689" s="2" t="str">
        <x:v>A0029</x:v>
      </x:c>
      <x:c r="C689" s="10" t="n">
        <x:v>4</x:v>
      </x:c>
      <x:c r="D689" s="10"/>
      <x:c r="E689" s="10" t="n">
        <x:v>6</x:v>
      </x:c>
      <x:c r="F689" s="10" t="n">
        <x:v>0</x:v>
      </x:c>
      <x:c r="G689" s="10" t="n">
        <x:f>MIN(E689,3)</x:f>
        <x:v>3</x:v>
      </x:c>
      <x:c r="H689" s="10" t="n">
        <x:v>6</x:v>
      </x:c>
      <x:c r="I689" s="19" t="n">
        <x:v>0.4</x:v>
      </x:c>
      <x:c r="J689" s="19" t="n">
        <x:v>0.8</x:v>
      </x:c>
      <x:c r="K689" s="19" t="n">
        <x:v>0.25</x:v>
      </x:c>
    </x:row>
    <x:row r="690" ht="23" customHeight="1">
      <x:c r="A690" s="2" t="str">
        <x:v>D040_T04_C080_G025</x:v>
      </x:c>
      <x:c r="B690" s="2" t="str">
        <x:v>A0030</x:v>
      </x:c>
      <x:c r="C690" s="10" t="n">
        <x:v>4</x:v>
      </x:c>
      <x:c r="D690" s="10"/>
      <x:c r="E690" s="10" t="n">
        <x:v>6</x:v>
      </x:c>
      <x:c r="F690" s="10" t="n">
        <x:v>0</x:v>
      </x:c>
      <x:c r="G690" s="10" t="n">
        <x:f>MIN(E690,3)</x:f>
        <x:v>3</x:v>
      </x:c>
      <x:c r="H690" s="10" t="n">
        <x:v>6</x:v>
      </x:c>
      <x:c r="I690" s="19" t="n">
        <x:v>0.4</x:v>
      </x:c>
      <x:c r="J690" s="19" t="n">
        <x:v>0.8</x:v>
      </x:c>
      <x:c r="K690" s="19" t="n">
        <x:v>0.25</x:v>
      </x:c>
    </x:row>
    <x:row r="691" ht="23" customHeight="1">
      <x:c r="A691" s="2" t="str">
        <x:v>D040_T04_C080_G025</x:v>
      </x:c>
      <x:c r="B691" s="2" t="str">
        <x:v>A0031</x:v>
      </x:c>
      <x:c r="C691" s="10" t="n">
        <x:v>4</x:v>
      </x:c>
      <x:c r="D691" s="10" t="n">
        <x:v>4</x:v>
      </x:c>
      <x:c r="E691" s="10" t="n">
        <x:v>0</x:v>
      </x:c>
      <x:c r="F691" s="10" t="n">
        <x:v>1</x:v>
      </x:c>
      <x:c r="G691" s="10" t="n">
        <x:f>MIN(E691,3)</x:f>
        <x:v>0</x:v>
      </x:c>
      <x:c r="H691" s="10" t="n">
        <x:v>6</x:v>
      </x:c>
      <x:c r="I691" s="19" t="n">
        <x:v>0.4</x:v>
      </x:c>
      <x:c r="J691" s="19" t="n">
        <x:v>0.8</x:v>
      </x:c>
      <x:c r="K691" s="19" t="n">
        <x:v>0.25</x:v>
      </x:c>
    </x:row>
    <x:row r="692" ht="23" customHeight="1">
      <x:c r="A692" s="2" t="str">
        <x:v>D040_T04_C080_G025</x:v>
      </x:c>
      <x:c r="B692" s="2" t="str">
        <x:v>A0032</x:v>
      </x:c>
      <x:c r="C692" s="10" t="n">
        <x:v>4</x:v>
      </x:c>
      <x:c r="D692" s="10"/>
      <x:c r="E692" s="10" t="n">
        <x:v>6</x:v>
      </x:c>
      <x:c r="F692" s="10" t="n">
        <x:v>0</x:v>
      </x:c>
      <x:c r="G692" s="10" t="n">
        <x:f>MIN(E692,3)</x:f>
        <x:v>3</x:v>
      </x:c>
      <x:c r="H692" s="10" t="n">
        <x:v>6</x:v>
      </x:c>
      <x:c r="I692" s="19" t="n">
        <x:v>0.4</x:v>
      </x:c>
      <x:c r="J692" s="19" t="n">
        <x:v>0.8</x:v>
      </x:c>
      <x:c r="K692" s="19" t="n">
        <x:v>0.25</x:v>
      </x:c>
    </x:row>
    <x:row r="693" ht="23" customHeight="1">
      <x:c r="A693" s="2" t="str">
        <x:v>D040_T04_C080_G025</x:v>
      </x:c>
      <x:c r="B693" s="2" t="str">
        <x:v>A0033</x:v>
      </x:c>
      <x:c r="C693" s="10" t="n">
        <x:v>4</x:v>
      </x:c>
      <x:c r="D693" s="10" t="n">
        <x:v>6</x:v>
      </x:c>
      <x:c r="E693" s="10" t="n">
        <x:v>2</x:v>
      </x:c>
      <x:c r="F693" s="10" t="n">
        <x:v>1</x:v>
      </x:c>
      <x:c r="G693" s="10" t="n">
        <x:f>MIN(E693,3)</x:f>
        <x:v>2</x:v>
      </x:c>
      <x:c r="H693" s="10" t="n">
        <x:v>6</x:v>
      </x:c>
      <x:c r="I693" s="19" t="n">
        <x:v>0.4</x:v>
      </x:c>
      <x:c r="J693" s="19" t="n">
        <x:v>0.8</x:v>
      </x:c>
      <x:c r="K693" s="19" t="n">
        <x:v>0.25</x:v>
      </x:c>
    </x:row>
    <x:row r="694" ht="23" customHeight="1">
      <x:c r="A694" s="2" t="str">
        <x:v>D040_T04_C080_G025</x:v>
      </x:c>
      <x:c r="B694" s="2" t="str">
        <x:v>A0034</x:v>
      </x:c>
      <x:c r="C694" s="10" t="n">
        <x:v>4</x:v>
      </x:c>
      <x:c r="D694" s="10" t="n">
        <x:v>4</x:v>
      </x:c>
      <x:c r="E694" s="10" t="n">
        <x:v>0</x:v>
      </x:c>
      <x:c r="F694" s="10" t="n">
        <x:v>1</x:v>
      </x:c>
      <x:c r="G694" s="10" t="n">
        <x:f>MIN(E694,3)</x:f>
        <x:v>0</x:v>
      </x:c>
      <x:c r="H694" s="10" t="n">
        <x:v>6</x:v>
      </x:c>
      <x:c r="I694" s="19" t="n">
        <x:v>0.4</x:v>
      </x:c>
      <x:c r="J694" s="19" t="n">
        <x:v>0.8</x:v>
      </x:c>
      <x:c r="K694" s="19" t="n">
        <x:v>0.25</x:v>
      </x:c>
    </x:row>
    <x:row r="695" ht="23" customHeight="1">
      <x:c r="A695" s="2" t="str">
        <x:v>D040_T04_C080_G025</x:v>
      </x:c>
      <x:c r="B695" s="2" t="str">
        <x:v>A0035</x:v>
      </x:c>
      <x:c r="C695" s="10" t="n">
        <x:v>4</x:v>
      </x:c>
      <x:c r="D695" s="10"/>
      <x:c r="E695" s="10" t="n">
        <x:v>6</x:v>
      </x:c>
      <x:c r="F695" s="10" t="n">
        <x:v>0</x:v>
      </x:c>
      <x:c r="G695" s="10" t="n">
        <x:f>MIN(E695,3)</x:f>
        <x:v>3</x:v>
      </x:c>
      <x:c r="H695" s="10" t="n">
        <x:v>6</x:v>
      </x:c>
      <x:c r="I695" s="19" t="n">
        <x:v>0.4</x:v>
      </x:c>
      <x:c r="J695" s="19" t="n">
        <x:v>0.8</x:v>
      </x:c>
      <x:c r="K695" s="19" t="n">
        <x:v>0.25</x:v>
      </x:c>
    </x:row>
    <x:row r="696" ht="23" customHeight="1">
      <x:c r="A696" s="2" t="str">
        <x:v>D040_T04_C080_G025</x:v>
      </x:c>
      <x:c r="B696" s="2" t="str">
        <x:v>A0036</x:v>
      </x:c>
      <x:c r="C696" s="10" t="n">
        <x:v>4</x:v>
      </x:c>
      <x:c r="D696" s="10" t="n">
        <x:v>6</x:v>
      </x:c>
      <x:c r="E696" s="10" t="n">
        <x:v>2</x:v>
      </x:c>
      <x:c r="F696" s="10" t="n">
        <x:v>1</x:v>
      </x:c>
      <x:c r="G696" s="10" t="n">
        <x:f>MIN(E696,3)</x:f>
        <x:v>2</x:v>
      </x:c>
      <x:c r="H696" s="10" t="n">
        <x:v>6</x:v>
      </x:c>
      <x:c r="I696" s="19" t="n">
        <x:v>0.4</x:v>
      </x:c>
      <x:c r="J696" s="19" t="n">
        <x:v>0.8</x:v>
      </x:c>
      <x:c r="K696" s="19" t="n">
        <x:v>0.25</x:v>
      </x:c>
    </x:row>
    <x:row r="697" ht="23" customHeight="1">
      <x:c r="A697" s="2" t="str">
        <x:v>D040_T04_C080_G025</x:v>
      </x:c>
      <x:c r="B697" s="2" t="str">
        <x:v>A0037</x:v>
      </x:c>
      <x:c r="C697" s="10" t="n">
        <x:v>4</x:v>
      </x:c>
      <x:c r="D697" s="10" t="n">
        <x:v>9</x:v>
      </x:c>
      <x:c r="E697" s="10" t="n">
        <x:v>5</x:v>
      </x:c>
      <x:c r="F697" s="10" t="n">
        <x:v>1</x:v>
      </x:c>
      <x:c r="G697" s="10" t="n">
        <x:f>MIN(E697,3)</x:f>
        <x:v>3</x:v>
      </x:c>
      <x:c r="H697" s="10" t="n">
        <x:v>6</x:v>
      </x:c>
      <x:c r="I697" s="19" t="n">
        <x:v>0.4</x:v>
      </x:c>
      <x:c r="J697" s="19" t="n">
        <x:v>0.8</x:v>
      </x:c>
      <x:c r="K697" s="19" t="n">
        <x:v>0.25</x:v>
      </x:c>
    </x:row>
    <x:row r="698" ht="23" customHeight="1">
      <x:c r="A698" s="2" t="str">
        <x:v>D040_T04_C080_G025</x:v>
      </x:c>
      <x:c r="B698" s="2" t="str">
        <x:v>A0038</x:v>
      </x:c>
      <x:c r="C698" s="10" t="n">
        <x:v>4</x:v>
      </x:c>
      <x:c r="D698" s="10" t="n">
        <x:v>10</x:v>
      </x:c>
      <x:c r="E698" s="10" t="n">
        <x:v>6</x:v>
      </x:c>
      <x:c r="F698" s="10" t="n">
        <x:v>1</x:v>
      </x:c>
      <x:c r="G698" s="10" t="n">
        <x:f>MIN(E698,3)</x:f>
        <x:v>3</x:v>
      </x:c>
      <x:c r="H698" s="10" t="n">
        <x:v>6</x:v>
      </x:c>
      <x:c r="I698" s="19" t="n">
        <x:v>0.4</x:v>
      </x:c>
      <x:c r="J698" s="19" t="n">
        <x:v>0.8</x:v>
      </x:c>
      <x:c r="K698" s="19" t="n">
        <x:v>0.25</x:v>
      </x:c>
    </x:row>
    <x:row r="699" ht="23" customHeight="1">
      <x:c r="A699" s="2" t="str">
        <x:v>D040_T04_C080_G025</x:v>
      </x:c>
      <x:c r="B699" s="2" t="str">
        <x:v>A0040</x:v>
      </x:c>
      <x:c r="C699" s="10" t="n">
        <x:v>4</x:v>
      </x:c>
      <x:c r="D699" s="10"/>
      <x:c r="E699" s="10" t="n">
        <x:v>6</x:v>
      </x:c>
      <x:c r="F699" s="10" t="n">
        <x:v>0</x:v>
      </x:c>
      <x:c r="G699" s="10" t="n">
        <x:f>MIN(E699,3)</x:f>
        <x:v>3</x:v>
      </x:c>
      <x:c r="H699" s="10" t="n">
        <x:v>6</x:v>
      </x:c>
      <x:c r="I699" s="19" t="n">
        <x:v>0.4</x:v>
      </x:c>
      <x:c r="J699" s="19" t="n">
        <x:v>0.8</x:v>
      </x:c>
      <x:c r="K699" s="19" t="n">
        <x:v>0.25</x:v>
      </x:c>
    </x:row>
    <x:row r="700" ht="23" customHeight="1">
      <x:c r="A700" s="2" t="str">
        <x:v>D040_T04_C080_G025</x:v>
      </x:c>
      <x:c r="B700" s="2" t="str">
        <x:v>A0041</x:v>
      </x:c>
      <x:c r="C700" s="10" t="n">
        <x:v>4</x:v>
      </x:c>
      <x:c r="D700" s="10" t="n">
        <x:v>9</x:v>
      </x:c>
      <x:c r="E700" s="10" t="n">
        <x:v>5</x:v>
      </x:c>
      <x:c r="F700" s="10" t="n">
        <x:v>1</x:v>
      </x:c>
      <x:c r="G700" s="10" t="n">
        <x:f>MIN(E700,3)</x:f>
        <x:v>3</x:v>
      </x:c>
      <x:c r="H700" s="10" t="n">
        <x:v>6</x:v>
      </x:c>
      <x:c r="I700" s="19" t="n">
        <x:v>0.4</x:v>
      </x:c>
      <x:c r="J700" s="19" t="n">
        <x:v>0.8</x:v>
      </x:c>
      <x:c r="K700" s="19" t="n">
        <x:v>0.25</x:v>
      </x:c>
    </x:row>
    <x:row r="701" ht="23" customHeight="1">
      <x:c r="A701" s="2" t="str">
        <x:v>D040_T04_C080_G025</x:v>
      </x:c>
      <x:c r="B701" s="2" t="str">
        <x:v>A0071</x:v>
      </x:c>
      <x:c r="C701" s="10" t="n">
        <x:v>4</x:v>
      </x:c>
      <x:c r="D701" s="10"/>
      <x:c r="E701" s="10" t="n">
        <x:v>6</x:v>
      </x:c>
      <x:c r="F701" s="10" t="n">
        <x:v>0</x:v>
      </x:c>
      <x:c r="G701" s="10" t="n">
        <x:f>MIN(E701,3)</x:f>
        <x:v>3</x:v>
      </x:c>
      <x:c r="H701" s="10" t="n">
        <x:v>6</x:v>
      </x:c>
      <x:c r="I701" s="19" t="n">
        <x:v>0.4</x:v>
      </x:c>
      <x:c r="J701" s="19" t="n">
        <x:v>0.8</x:v>
      </x:c>
      <x:c r="K701" s="19" t="n">
        <x:v>0.25</x:v>
      </x:c>
    </x:row>
    <x:row r="702" ht="23" customHeight="1">
      <x:c r="A702" s="2" t="str">
        <x:v>D040_T04_C080_G025</x:v>
      </x:c>
      <x:c r="B702" s="2" t="str">
        <x:v>A0090</x:v>
      </x:c>
      <x:c r="C702" s="10" t="n">
        <x:v>4</x:v>
      </x:c>
      <x:c r="D702" s="10"/>
      <x:c r="E702" s="10" t="n">
        <x:v>6</x:v>
      </x:c>
      <x:c r="F702" s="10" t="n">
        <x:v>0</x:v>
      </x:c>
      <x:c r="G702" s="10" t="n">
        <x:f>MIN(E702,3)</x:f>
        <x:v>3</x:v>
      </x:c>
      <x:c r="H702" s="10" t="n">
        <x:v>6</x:v>
      </x:c>
      <x:c r="I702" s="19" t="n">
        <x:v>0.4</x:v>
      </x:c>
      <x:c r="J702" s="19" t="n">
        <x:v>0.8</x:v>
      </x:c>
      <x:c r="K702" s="19" t="n">
        <x:v>0.25</x:v>
      </x:c>
    </x:row>
    <x:row r="703" ht="23" customHeight="1">
      <x:c r="A703" s="2" t="str">
        <x:v>D040_T04_C080_G025</x:v>
      </x:c>
      <x:c r="B703" s="2" t="str">
        <x:v>A0189</x:v>
      </x:c>
      <x:c r="C703" s="10" t="n">
        <x:v>4</x:v>
      </x:c>
      <x:c r="D703" s="10"/>
      <x:c r="E703" s="10" t="n">
        <x:v>6</x:v>
      </x:c>
      <x:c r="F703" s="10" t="n">
        <x:v>0</x:v>
      </x:c>
      <x:c r="G703" s="10" t="n">
        <x:f>MIN(E703,3)</x:f>
        <x:v>3</x:v>
      </x:c>
      <x:c r="H703" s="10" t="n">
        <x:v>6</x:v>
      </x:c>
      <x:c r="I703" s="19" t="n">
        <x:v>0.4</x:v>
      </x:c>
      <x:c r="J703" s="19" t="n">
        <x:v>0.8</x:v>
      </x:c>
      <x:c r="K703" s="19" t="n">
        <x:v>0.25</x:v>
      </x:c>
    </x:row>
    <x:row r="704" ht="23" customHeight="1">
      <x:c r="A704" s="2" t="str">
        <x:v>D040_T04_C080_G025</x:v>
      </x:c>
      <x:c r="B704" s="2" t="str">
        <x:v>A0206</x:v>
      </x:c>
      <x:c r="C704" s="10" t="n">
        <x:v>4</x:v>
      </x:c>
      <x:c r="D704" s="10" t="n">
        <x:v>5</x:v>
      </x:c>
      <x:c r="E704" s="10" t="n">
        <x:v>1</x:v>
      </x:c>
      <x:c r="F704" s="10" t="n">
        <x:v>1</x:v>
      </x:c>
      <x:c r="G704" s="10" t="n">
        <x:f>MIN(E704,3)</x:f>
        <x:v>1</x:v>
      </x:c>
      <x:c r="H704" s="10" t="n">
        <x:v>6</x:v>
      </x:c>
      <x:c r="I704" s="19" t="n">
        <x:v>0.4</x:v>
      </x:c>
      <x:c r="J704" s="19" t="n">
        <x:v>0.8</x:v>
      </x:c>
      <x:c r="K704" s="19" t="n">
        <x:v>0.25</x:v>
      </x:c>
    </x:row>
    <x:row r="705" ht="23" customHeight="1">
      <x:c r="A705" s="2" t="str">
        <x:v>D040_T04_C080_G050</x:v>
      </x:c>
      <x:c r="B705" s="2" t="str">
        <x:v>A0002</x:v>
      </x:c>
      <x:c r="C705" s="10" t="n">
        <x:v>4</x:v>
      </x:c>
      <x:c r="D705" s="10" t="n">
        <x:v>5</x:v>
      </x:c>
      <x:c r="E705" s="10" t="n">
        <x:v>1</x:v>
      </x:c>
      <x:c r="F705" s="10" t="n">
        <x:v>1</x:v>
      </x:c>
      <x:c r="G705" s="10" t="n">
        <x:f>MIN(E705,3)</x:f>
        <x:v>1</x:v>
      </x:c>
      <x:c r="H705" s="10" t="n">
        <x:v>6</x:v>
      </x:c>
      <x:c r="I705" s="19" t="n">
        <x:v>0.4</x:v>
      </x:c>
      <x:c r="J705" s="19" t="n">
        <x:v>0.8</x:v>
      </x:c>
      <x:c r="K705" s="19" t="n">
        <x:v>0.5</x:v>
      </x:c>
    </x:row>
    <x:row r="706" ht="23" customHeight="1">
      <x:c r="A706" s="2" t="str">
        <x:v>D040_T04_C080_G050</x:v>
      </x:c>
      <x:c r="B706" s="2" t="str">
        <x:v>A0005</x:v>
      </x:c>
      <x:c r="C706" s="10" t="n">
        <x:v>4</x:v>
      </x:c>
      <x:c r="D706" s="10" t="n">
        <x:v>5</x:v>
      </x:c>
      <x:c r="E706" s="10" t="n">
        <x:v>1</x:v>
      </x:c>
      <x:c r="F706" s="10" t="n">
        <x:v>1</x:v>
      </x:c>
      <x:c r="G706" s="10" t="n">
        <x:f>MIN(E706,3)</x:f>
        <x:v>1</x:v>
      </x:c>
      <x:c r="H706" s="10" t="n">
        <x:v>6</x:v>
      </x:c>
      <x:c r="I706" s="19" t="n">
        <x:v>0.4</x:v>
      </x:c>
      <x:c r="J706" s="19" t="n">
        <x:v>0.8</x:v>
      </x:c>
      <x:c r="K706" s="19" t="n">
        <x:v>0.5</x:v>
      </x:c>
    </x:row>
    <x:row r="707" ht="23" customHeight="1">
      <x:c r="A707" s="2" t="str">
        <x:v>D040_T04_C080_G050</x:v>
      </x:c>
      <x:c r="B707" s="2" t="str">
        <x:v>A0006</x:v>
      </x:c>
      <x:c r="C707" s="10" t="n">
        <x:v>4</x:v>
      </x:c>
      <x:c r="D707" s="10" t="n">
        <x:v>6</x:v>
      </x:c>
      <x:c r="E707" s="10" t="n">
        <x:v>2</x:v>
      </x:c>
      <x:c r="F707" s="10" t="n">
        <x:v>1</x:v>
      </x:c>
      <x:c r="G707" s="10" t="n">
        <x:f>MIN(E707,3)</x:f>
        <x:v>2</x:v>
      </x:c>
      <x:c r="H707" s="10" t="n">
        <x:v>6</x:v>
      </x:c>
      <x:c r="I707" s="19" t="n">
        <x:v>0.4</x:v>
      </x:c>
      <x:c r="J707" s="19" t="n">
        <x:v>0.8</x:v>
      </x:c>
      <x:c r="K707" s="19" t="n">
        <x:v>0.5</x:v>
      </x:c>
    </x:row>
    <x:row r="708" ht="23" customHeight="1">
      <x:c r="A708" s="2" t="str">
        <x:v>D040_T04_C080_G050</x:v>
      </x:c>
      <x:c r="B708" s="2" t="str">
        <x:v>A0011</x:v>
      </x:c>
      <x:c r="C708" s="10" t="n">
        <x:v>4</x:v>
      </x:c>
      <x:c r="D708" s="10" t="n">
        <x:v>8</x:v>
      </x:c>
      <x:c r="E708" s="10" t="n">
        <x:v>4</x:v>
      </x:c>
      <x:c r="F708" s="10" t="n">
        <x:v>1</x:v>
      </x:c>
      <x:c r="G708" s="10" t="n">
        <x:f>MIN(E708,3)</x:f>
        <x:v>3</x:v>
      </x:c>
      <x:c r="H708" s="10" t="n">
        <x:v>6</x:v>
      </x:c>
      <x:c r="I708" s="19" t="n">
        <x:v>0.4</x:v>
      </x:c>
      <x:c r="J708" s="19" t="n">
        <x:v>0.8</x:v>
      </x:c>
      <x:c r="K708" s="19" t="n">
        <x:v>0.5</x:v>
      </x:c>
    </x:row>
    <x:row r="709" ht="23" customHeight="1">
      <x:c r="A709" s="2" t="str">
        <x:v>D040_T04_C080_G050</x:v>
      </x:c>
      <x:c r="B709" s="2" t="str">
        <x:v>A0012</x:v>
      </x:c>
      <x:c r="C709" s="10" t="n">
        <x:v>4</x:v>
      </x:c>
      <x:c r="D709" s="10" t="n">
        <x:v>6</x:v>
      </x:c>
      <x:c r="E709" s="10" t="n">
        <x:v>2</x:v>
      </x:c>
      <x:c r="F709" s="10" t="n">
        <x:v>1</x:v>
      </x:c>
      <x:c r="G709" s="10" t="n">
        <x:f>MIN(E709,3)</x:f>
        <x:v>2</x:v>
      </x:c>
      <x:c r="H709" s="10" t="n">
        <x:v>6</x:v>
      </x:c>
      <x:c r="I709" s="19" t="n">
        <x:v>0.4</x:v>
      </x:c>
      <x:c r="J709" s="19" t="n">
        <x:v>0.8</x:v>
      </x:c>
      <x:c r="K709" s="19" t="n">
        <x:v>0.5</x:v>
      </x:c>
    </x:row>
    <x:row r="710" ht="23" customHeight="1">
      <x:c r="A710" s="2" t="str">
        <x:v>D040_T04_C080_G050</x:v>
      </x:c>
      <x:c r="B710" s="2" t="str">
        <x:v>A0014</x:v>
      </x:c>
      <x:c r="C710" s="10" t="n">
        <x:v>4</x:v>
      </x:c>
      <x:c r="D710" s="10" t="n">
        <x:v>4</x:v>
      </x:c>
      <x:c r="E710" s="10" t="n">
        <x:v>0</x:v>
      </x:c>
      <x:c r="F710" s="10" t="n">
        <x:v>1</x:v>
      </x:c>
      <x:c r="G710" s="10" t="n">
        <x:f>MIN(E710,3)</x:f>
        <x:v>0</x:v>
      </x:c>
      <x:c r="H710" s="10" t="n">
        <x:v>6</x:v>
      </x:c>
      <x:c r="I710" s="19" t="n">
        <x:v>0.4</x:v>
      </x:c>
      <x:c r="J710" s="19" t="n">
        <x:v>0.8</x:v>
      </x:c>
      <x:c r="K710" s="19" t="n">
        <x:v>0.5</x:v>
      </x:c>
    </x:row>
    <x:row r="711" ht="23" customHeight="1">
      <x:c r="A711" s="2" t="str">
        <x:v>D040_T04_C080_G050</x:v>
      </x:c>
      <x:c r="B711" s="2" t="str">
        <x:v>A0016</x:v>
      </x:c>
      <x:c r="C711" s="10" t="n">
        <x:v>4</x:v>
      </x:c>
      <x:c r="D711" s="10" t="n">
        <x:v>4</x:v>
      </x:c>
      <x:c r="E711" s="10" t="n">
        <x:v>0</x:v>
      </x:c>
      <x:c r="F711" s="10" t="n">
        <x:v>1</x:v>
      </x:c>
      <x:c r="G711" s="10" t="n">
        <x:f>MIN(E711,3)</x:f>
        <x:v>0</x:v>
      </x:c>
      <x:c r="H711" s="10" t="n">
        <x:v>6</x:v>
      </x:c>
      <x:c r="I711" s="19" t="n">
        <x:v>0.4</x:v>
      </x:c>
      <x:c r="J711" s="19" t="n">
        <x:v>0.8</x:v>
      </x:c>
      <x:c r="K711" s="19" t="n">
        <x:v>0.5</x:v>
      </x:c>
    </x:row>
    <x:row r="712" ht="23" customHeight="1">
      <x:c r="A712" s="2" t="str">
        <x:v>D040_T04_C080_G050</x:v>
      </x:c>
      <x:c r="B712" s="2" t="str">
        <x:v>A0017</x:v>
      </x:c>
      <x:c r="C712" s="10" t="n">
        <x:v>4</x:v>
      </x:c>
      <x:c r="D712" s="10" t="n">
        <x:v>7</x:v>
      </x:c>
      <x:c r="E712" s="10" t="n">
        <x:v>3</x:v>
      </x:c>
      <x:c r="F712" s="10" t="n">
        <x:v>1</x:v>
      </x:c>
      <x:c r="G712" s="10" t="n">
        <x:f>MIN(E712,3)</x:f>
        <x:v>3</x:v>
      </x:c>
      <x:c r="H712" s="10" t="n">
        <x:v>6</x:v>
      </x:c>
      <x:c r="I712" s="19" t="n">
        <x:v>0.4</x:v>
      </x:c>
      <x:c r="J712" s="19" t="n">
        <x:v>0.8</x:v>
      </x:c>
      <x:c r="K712" s="19" t="n">
        <x:v>0.5</x:v>
      </x:c>
    </x:row>
    <x:row r="713" ht="23" customHeight="1">
      <x:c r="A713" s="2" t="str">
        <x:v>D040_T04_C080_G050</x:v>
      </x:c>
      <x:c r="B713" s="2" t="str">
        <x:v>A0018</x:v>
      </x:c>
      <x:c r="C713" s="10" t="n">
        <x:v>4</x:v>
      </x:c>
      <x:c r="D713" s="10" t="n">
        <x:v>5</x:v>
      </x:c>
      <x:c r="E713" s="10" t="n">
        <x:v>1</x:v>
      </x:c>
      <x:c r="F713" s="10" t="n">
        <x:v>1</x:v>
      </x:c>
      <x:c r="G713" s="10" t="n">
        <x:f>MIN(E713,3)</x:f>
        <x:v>1</x:v>
      </x:c>
      <x:c r="H713" s="10" t="n">
        <x:v>6</x:v>
      </x:c>
      <x:c r="I713" s="19" t="n">
        <x:v>0.4</x:v>
      </x:c>
      <x:c r="J713" s="19" t="n">
        <x:v>0.8</x:v>
      </x:c>
      <x:c r="K713" s="19" t="n">
        <x:v>0.5</x:v>
      </x:c>
    </x:row>
    <x:row r="714" ht="23" customHeight="1">
      <x:c r="A714" s="2" t="str">
        <x:v>D040_T04_C080_G050</x:v>
      </x:c>
      <x:c r="B714" s="2" t="str">
        <x:v>A0019</x:v>
      </x:c>
      <x:c r="C714" s="10" t="n">
        <x:v>4</x:v>
      </x:c>
      <x:c r="D714" s="10" t="n">
        <x:v>4</x:v>
      </x:c>
      <x:c r="E714" s="10" t="n">
        <x:v>0</x:v>
      </x:c>
      <x:c r="F714" s="10" t="n">
        <x:v>1</x:v>
      </x:c>
      <x:c r="G714" s="10" t="n">
        <x:f>MIN(E714,3)</x:f>
        <x:v>0</x:v>
      </x:c>
      <x:c r="H714" s="10" t="n">
        <x:v>6</x:v>
      </x:c>
      <x:c r="I714" s="19" t="n">
        <x:v>0.4</x:v>
      </x:c>
      <x:c r="J714" s="19" t="n">
        <x:v>0.8</x:v>
      </x:c>
      <x:c r="K714" s="19" t="n">
        <x:v>0.5</x:v>
      </x:c>
    </x:row>
    <x:row r="715" ht="23" customHeight="1">
      <x:c r="A715" s="2" t="str">
        <x:v>D040_T04_C080_G050</x:v>
      </x:c>
      <x:c r="B715" s="2" t="str">
        <x:v>A0020</x:v>
      </x:c>
      <x:c r="C715" s="10" t="n">
        <x:v>4</x:v>
      </x:c>
      <x:c r="D715" s="10" t="n">
        <x:v>5</x:v>
      </x:c>
      <x:c r="E715" s="10" t="n">
        <x:v>1</x:v>
      </x:c>
      <x:c r="F715" s="10" t="n">
        <x:v>1</x:v>
      </x:c>
      <x:c r="G715" s="10" t="n">
        <x:f>MIN(E715,3)</x:f>
        <x:v>1</x:v>
      </x:c>
      <x:c r="H715" s="10" t="n">
        <x:v>6</x:v>
      </x:c>
      <x:c r="I715" s="19" t="n">
        <x:v>0.4</x:v>
      </x:c>
      <x:c r="J715" s="19" t="n">
        <x:v>0.8</x:v>
      </x:c>
      <x:c r="K715" s="19" t="n">
        <x:v>0.5</x:v>
      </x:c>
    </x:row>
    <x:row r="716" ht="23" customHeight="1">
      <x:c r="A716" s="2" t="str">
        <x:v>D040_T04_C080_G050</x:v>
      </x:c>
      <x:c r="B716" s="2" t="str">
        <x:v>A0022</x:v>
      </x:c>
      <x:c r="C716" s="10" t="n">
        <x:v>4</x:v>
      </x:c>
      <x:c r="D716" s="10" t="n">
        <x:v>4</x:v>
      </x:c>
      <x:c r="E716" s="10" t="n">
        <x:v>0</x:v>
      </x:c>
      <x:c r="F716" s="10" t="n">
        <x:v>1</x:v>
      </x:c>
      <x:c r="G716" s="10" t="n">
        <x:f>MIN(E716,3)</x:f>
        <x:v>0</x:v>
      </x:c>
      <x:c r="H716" s="10" t="n">
        <x:v>6</x:v>
      </x:c>
      <x:c r="I716" s="19" t="n">
        <x:v>0.4</x:v>
      </x:c>
      <x:c r="J716" s="19" t="n">
        <x:v>0.8</x:v>
      </x:c>
      <x:c r="K716" s="19" t="n">
        <x:v>0.5</x:v>
      </x:c>
    </x:row>
    <x:row r="717" ht="23" customHeight="1">
      <x:c r="A717" s="2" t="str">
        <x:v>D040_T04_C080_G050</x:v>
      </x:c>
      <x:c r="B717" s="2" t="str">
        <x:v>A0023</x:v>
      </x:c>
      <x:c r="C717" s="10" t="n">
        <x:v>4</x:v>
      </x:c>
      <x:c r="D717" s="10" t="n">
        <x:v>4</x:v>
      </x:c>
      <x:c r="E717" s="10" t="n">
        <x:v>0</x:v>
      </x:c>
      <x:c r="F717" s="10" t="n">
        <x:v>1</x:v>
      </x:c>
      <x:c r="G717" s="10" t="n">
        <x:f>MIN(E717,3)</x:f>
        <x:v>0</x:v>
      </x:c>
      <x:c r="H717" s="10" t="n">
        <x:v>6</x:v>
      </x:c>
      <x:c r="I717" s="19" t="n">
        <x:v>0.4</x:v>
      </x:c>
      <x:c r="J717" s="19" t="n">
        <x:v>0.8</x:v>
      </x:c>
      <x:c r="K717" s="19" t="n">
        <x:v>0.5</x:v>
      </x:c>
    </x:row>
    <x:row r="718" ht="23" customHeight="1">
      <x:c r="A718" s="2" t="str">
        <x:v>D040_T04_C080_G050</x:v>
      </x:c>
      <x:c r="B718" s="2" t="str">
        <x:v>A0024</x:v>
      </x:c>
      <x:c r="C718" s="10" t="n">
        <x:v>4</x:v>
      </x:c>
      <x:c r="D718" s="10" t="n">
        <x:v>8</x:v>
      </x:c>
      <x:c r="E718" s="10" t="n">
        <x:v>4</x:v>
      </x:c>
      <x:c r="F718" s="10" t="n">
        <x:v>1</x:v>
      </x:c>
      <x:c r="G718" s="10" t="n">
        <x:f>MIN(E718,3)</x:f>
        <x:v>3</x:v>
      </x:c>
      <x:c r="H718" s="10" t="n">
        <x:v>6</x:v>
      </x:c>
      <x:c r="I718" s="19" t="n">
        <x:v>0.4</x:v>
      </x:c>
      <x:c r="J718" s="19" t="n">
        <x:v>0.8</x:v>
      </x:c>
      <x:c r="K718" s="19" t="n">
        <x:v>0.5</x:v>
      </x:c>
    </x:row>
    <x:row r="719" ht="23" customHeight="1">
      <x:c r="A719" s="2" t="str">
        <x:v>D040_T04_C080_G050</x:v>
      </x:c>
      <x:c r="B719" s="2" t="str">
        <x:v>A0025</x:v>
      </x:c>
      <x:c r="C719" s="10" t="n">
        <x:v>4</x:v>
      </x:c>
      <x:c r="D719" s="10" t="n">
        <x:v>5</x:v>
      </x:c>
      <x:c r="E719" s="10" t="n">
        <x:v>1</x:v>
      </x:c>
      <x:c r="F719" s="10" t="n">
        <x:v>1</x:v>
      </x:c>
      <x:c r="G719" s="10" t="n">
        <x:f>MIN(E719,3)</x:f>
        <x:v>1</x:v>
      </x:c>
      <x:c r="H719" s="10" t="n">
        <x:v>6</x:v>
      </x:c>
      <x:c r="I719" s="19" t="n">
        <x:v>0.4</x:v>
      </x:c>
      <x:c r="J719" s="19" t="n">
        <x:v>0.8</x:v>
      </x:c>
      <x:c r="K719" s="19" t="n">
        <x:v>0.5</x:v>
      </x:c>
    </x:row>
    <x:row r="720" ht="23" customHeight="1">
      <x:c r="A720" s="2" t="str">
        <x:v>D040_T04_C080_G050</x:v>
      </x:c>
      <x:c r="B720" s="2" t="str">
        <x:v>A0026</x:v>
      </x:c>
      <x:c r="C720" s="10" t="n">
        <x:v>4</x:v>
      </x:c>
      <x:c r="D720" s="10" t="n">
        <x:v>4</x:v>
      </x:c>
      <x:c r="E720" s="10" t="n">
        <x:v>0</x:v>
      </x:c>
      <x:c r="F720" s="10" t="n">
        <x:v>1</x:v>
      </x:c>
      <x:c r="G720" s="10" t="n">
        <x:f>MIN(E720,3)</x:f>
        <x:v>0</x:v>
      </x:c>
      <x:c r="H720" s="10" t="n">
        <x:v>6</x:v>
      </x:c>
      <x:c r="I720" s="19" t="n">
        <x:v>0.4</x:v>
      </x:c>
      <x:c r="J720" s="19" t="n">
        <x:v>0.8</x:v>
      </x:c>
      <x:c r="K720" s="19" t="n">
        <x:v>0.5</x:v>
      </x:c>
    </x:row>
    <x:row r="721" ht="23" customHeight="1">
      <x:c r="A721" s="2" t="str">
        <x:v>D040_T04_C080_G050</x:v>
      </x:c>
      <x:c r="B721" s="2" t="str">
        <x:v>A0027</x:v>
      </x:c>
      <x:c r="C721" s="10" t="n">
        <x:v>4</x:v>
      </x:c>
      <x:c r="D721" s="10" t="n">
        <x:v>5</x:v>
      </x:c>
      <x:c r="E721" s="10" t="n">
        <x:v>1</x:v>
      </x:c>
      <x:c r="F721" s="10" t="n">
        <x:v>1</x:v>
      </x:c>
      <x:c r="G721" s="10" t="n">
        <x:f>MIN(E721,3)</x:f>
        <x:v>1</x:v>
      </x:c>
      <x:c r="H721" s="10" t="n">
        <x:v>6</x:v>
      </x:c>
      <x:c r="I721" s="19" t="n">
        <x:v>0.4</x:v>
      </x:c>
      <x:c r="J721" s="19" t="n">
        <x:v>0.8</x:v>
      </x:c>
      <x:c r="K721" s="19" t="n">
        <x:v>0.5</x:v>
      </x:c>
    </x:row>
    <x:row r="722" ht="23" customHeight="1">
      <x:c r="A722" s="2" t="str">
        <x:v>D040_T04_C080_G050</x:v>
      </x:c>
      <x:c r="B722" s="2" t="str">
        <x:v>A0029</x:v>
      </x:c>
      <x:c r="C722" s="10" t="n">
        <x:v>4</x:v>
      </x:c>
      <x:c r="D722" s="10" t="n">
        <x:v>5</x:v>
      </x:c>
      <x:c r="E722" s="10" t="n">
        <x:v>1</x:v>
      </x:c>
      <x:c r="F722" s="10" t="n">
        <x:v>1</x:v>
      </x:c>
      <x:c r="G722" s="10" t="n">
        <x:f>MIN(E722,3)</x:f>
        <x:v>1</x:v>
      </x:c>
      <x:c r="H722" s="10" t="n">
        <x:v>6</x:v>
      </x:c>
      <x:c r="I722" s="19" t="n">
        <x:v>0.4</x:v>
      </x:c>
      <x:c r="J722" s="19" t="n">
        <x:v>0.8</x:v>
      </x:c>
      <x:c r="K722" s="19" t="n">
        <x:v>0.5</x:v>
      </x:c>
    </x:row>
    <x:row r="723" ht="23" customHeight="1">
      <x:c r="A723" s="2" t="str">
        <x:v>D040_T04_C080_G050</x:v>
      </x:c>
      <x:c r="B723" s="2" t="str">
        <x:v>A0030</x:v>
      </x:c>
      <x:c r="C723" s="10" t="n">
        <x:v>4</x:v>
      </x:c>
      <x:c r="D723" s="10" t="n">
        <x:v>7</x:v>
      </x:c>
      <x:c r="E723" s="10" t="n">
        <x:v>3</x:v>
      </x:c>
      <x:c r="F723" s="10" t="n">
        <x:v>1</x:v>
      </x:c>
      <x:c r="G723" s="10" t="n">
        <x:f>MIN(E723,3)</x:f>
        <x:v>3</x:v>
      </x:c>
      <x:c r="H723" s="10" t="n">
        <x:v>6</x:v>
      </x:c>
      <x:c r="I723" s="19" t="n">
        <x:v>0.4</x:v>
      </x:c>
      <x:c r="J723" s="19" t="n">
        <x:v>0.8</x:v>
      </x:c>
      <x:c r="K723" s="19" t="n">
        <x:v>0.5</x:v>
      </x:c>
    </x:row>
    <x:row r="724" ht="23" customHeight="1">
      <x:c r="A724" s="2" t="str">
        <x:v>D040_T04_C080_G050</x:v>
      </x:c>
      <x:c r="B724" s="2" t="str">
        <x:v>A0032</x:v>
      </x:c>
      <x:c r="C724" s="10" t="n">
        <x:v>4</x:v>
      </x:c>
      <x:c r="D724" s="10" t="n">
        <x:v>4</x:v>
      </x:c>
      <x:c r="E724" s="10" t="n">
        <x:v>0</x:v>
      </x:c>
      <x:c r="F724" s="10" t="n">
        <x:v>1</x:v>
      </x:c>
      <x:c r="G724" s="10" t="n">
        <x:f>MIN(E724,3)</x:f>
        <x:v>0</x:v>
      </x:c>
      <x:c r="H724" s="10" t="n">
        <x:v>6</x:v>
      </x:c>
      <x:c r="I724" s="19" t="n">
        <x:v>0.4</x:v>
      </x:c>
      <x:c r="J724" s="19" t="n">
        <x:v>0.8</x:v>
      </x:c>
      <x:c r="K724" s="19" t="n">
        <x:v>0.5</x:v>
      </x:c>
    </x:row>
    <x:row r="725" ht="23" customHeight="1">
      <x:c r="A725" s="2" t="str">
        <x:v>D040_T04_C080_G050</x:v>
      </x:c>
      <x:c r="B725" s="2" t="str">
        <x:v>A0033</x:v>
      </x:c>
      <x:c r="C725" s="10" t="n">
        <x:v>4</x:v>
      </x:c>
      <x:c r="D725" s="10" t="n">
        <x:v>4</x:v>
      </x:c>
      <x:c r="E725" s="10" t="n">
        <x:v>0</x:v>
      </x:c>
      <x:c r="F725" s="10" t="n">
        <x:v>1</x:v>
      </x:c>
      <x:c r="G725" s="10" t="n">
        <x:f>MIN(E725,3)</x:f>
        <x:v>0</x:v>
      </x:c>
      <x:c r="H725" s="10" t="n">
        <x:v>6</x:v>
      </x:c>
      <x:c r="I725" s="19" t="n">
        <x:v>0.4</x:v>
      </x:c>
      <x:c r="J725" s="19" t="n">
        <x:v>0.8</x:v>
      </x:c>
      <x:c r="K725" s="19" t="n">
        <x:v>0.5</x:v>
      </x:c>
    </x:row>
    <x:row r="726" ht="23" customHeight="1">
      <x:c r="A726" s="2" t="str">
        <x:v>D040_T04_C080_G050</x:v>
      </x:c>
      <x:c r="B726" s="2" t="str">
        <x:v>A0035</x:v>
      </x:c>
      <x:c r="C726" s="10" t="n">
        <x:v>4</x:v>
      </x:c>
      <x:c r="D726" s="10" t="n">
        <x:v>4</x:v>
      </x:c>
      <x:c r="E726" s="10" t="n">
        <x:v>0</x:v>
      </x:c>
      <x:c r="F726" s="10" t="n">
        <x:v>1</x:v>
      </x:c>
      <x:c r="G726" s="10" t="n">
        <x:f>MIN(E726,3)</x:f>
        <x:v>0</x:v>
      </x:c>
      <x:c r="H726" s="10" t="n">
        <x:v>6</x:v>
      </x:c>
      <x:c r="I726" s="19" t="n">
        <x:v>0.4</x:v>
      </x:c>
      <x:c r="J726" s="19" t="n">
        <x:v>0.8</x:v>
      </x:c>
      <x:c r="K726" s="19" t="n">
        <x:v>0.5</x:v>
      </x:c>
    </x:row>
    <x:row r="727" ht="23" customHeight="1">
      <x:c r="A727" s="2" t="str">
        <x:v>D040_T04_C080_G050</x:v>
      </x:c>
      <x:c r="B727" s="2" t="str">
        <x:v>A0036</x:v>
      </x:c>
      <x:c r="C727" s="10" t="n">
        <x:v>4</x:v>
      </x:c>
      <x:c r="D727" s="10" t="n">
        <x:v>6</x:v>
      </x:c>
      <x:c r="E727" s="10" t="n">
        <x:v>2</x:v>
      </x:c>
      <x:c r="F727" s="10" t="n">
        <x:v>1</x:v>
      </x:c>
      <x:c r="G727" s="10" t="n">
        <x:f>MIN(E727,3)</x:f>
        <x:v>2</x:v>
      </x:c>
      <x:c r="H727" s="10" t="n">
        <x:v>6</x:v>
      </x:c>
      <x:c r="I727" s="19" t="n">
        <x:v>0.4</x:v>
      </x:c>
      <x:c r="J727" s="19" t="n">
        <x:v>0.8</x:v>
      </x:c>
      <x:c r="K727" s="19" t="n">
        <x:v>0.5</x:v>
      </x:c>
    </x:row>
    <x:row r="728" ht="23" customHeight="1">
      <x:c r="A728" s="2" t="str">
        <x:v>D040_T04_C080_G050</x:v>
      </x:c>
      <x:c r="B728" s="2" t="str">
        <x:v>A0037</x:v>
      </x:c>
      <x:c r="C728" s="10" t="n">
        <x:v>4</x:v>
      </x:c>
      <x:c r="D728" s="10" t="n">
        <x:v>6</x:v>
      </x:c>
      <x:c r="E728" s="10" t="n">
        <x:v>2</x:v>
      </x:c>
      <x:c r="F728" s="10" t="n">
        <x:v>1</x:v>
      </x:c>
      <x:c r="G728" s="10" t="n">
        <x:f>MIN(E728,3)</x:f>
        <x:v>2</x:v>
      </x:c>
      <x:c r="H728" s="10" t="n">
        <x:v>6</x:v>
      </x:c>
      <x:c r="I728" s="19" t="n">
        <x:v>0.4</x:v>
      </x:c>
      <x:c r="J728" s="19" t="n">
        <x:v>0.8</x:v>
      </x:c>
      <x:c r="K728" s="19" t="n">
        <x:v>0.5</x:v>
      </x:c>
    </x:row>
    <x:row r="729" ht="23" customHeight="1">
      <x:c r="A729" s="2" t="str">
        <x:v>D040_T04_C080_G050</x:v>
      </x:c>
      <x:c r="B729" s="2" t="str">
        <x:v>A0038</x:v>
      </x:c>
      <x:c r="C729" s="10" t="n">
        <x:v>4</x:v>
      </x:c>
      <x:c r="D729" s="10" t="n">
        <x:v>7</x:v>
      </x:c>
      <x:c r="E729" s="10" t="n">
        <x:v>3</x:v>
      </x:c>
      <x:c r="F729" s="10" t="n">
        <x:v>1</x:v>
      </x:c>
      <x:c r="G729" s="10" t="n">
        <x:f>MIN(E729,3)</x:f>
        <x:v>3</x:v>
      </x:c>
      <x:c r="H729" s="10" t="n">
        <x:v>6</x:v>
      </x:c>
      <x:c r="I729" s="19" t="n">
        <x:v>0.4</x:v>
      </x:c>
      <x:c r="J729" s="19" t="n">
        <x:v>0.8</x:v>
      </x:c>
      <x:c r="K729" s="19" t="n">
        <x:v>0.5</x:v>
      </x:c>
    </x:row>
    <x:row r="730" ht="23" customHeight="1">
      <x:c r="A730" s="2" t="str">
        <x:v>D040_T04_C080_G050</x:v>
      </x:c>
      <x:c r="B730" s="2" t="str">
        <x:v>A0040</x:v>
      </x:c>
      <x:c r="C730" s="10" t="n">
        <x:v>4</x:v>
      </x:c>
      <x:c r="D730" s="10" t="n">
        <x:v>4</x:v>
      </x:c>
      <x:c r="E730" s="10" t="n">
        <x:v>0</x:v>
      </x:c>
      <x:c r="F730" s="10" t="n">
        <x:v>1</x:v>
      </x:c>
      <x:c r="G730" s="10" t="n">
        <x:f>MIN(E730,3)</x:f>
        <x:v>0</x:v>
      </x:c>
      <x:c r="H730" s="10" t="n">
        <x:v>6</x:v>
      </x:c>
      <x:c r="I730" s="19" t="n">
        <x:v>0.4</x:v>
      </x:c>
      <x:c r="J730" s="19" t="n">
        <x:v>0.8</x:v>
      </x:c>
      <x:c r="K730" s="19" t="n">
        <x:v>0.5</x:v>
      </x:c>
    </x:row>
    <x:row r="731" ht="23" customHeight="1">
      <x:c r="A731" s="2" t="str">
        <x:v>D040_T04_C080_G050</x:v>
      </x:c>
      <x:c r="B731" s="2" t="str">
        <x:v>A0041</x:v>
      </x:c>
      <x:c r="C731" s="10" t="n">
        <x:v>4</x:v>
      </x:c>
      <x:c r="D731" s="10" t="n">
        <x:v>6</x:v>
      </x:c>
      <x:c r="E731" s="10" t="n">
        <x:v>2</x:v>
      </x:c>
      <x:c r="F731" s="10" t="n">
        <x:v>1</x:v>
      </x:c>
      <x:c r="G731" s="10" t="n">
        <x:f>MIN(E731,3)</x:f>
        <x:v>2</x:v>
      </x:c>
      <x:c r="H731" s="10" t="n">
        <x:v>6</x:v>
      </x:c>
      <x:c r="I731" s="19" t="n">
        <x:v>0.4</x:v>
      </x:c>
      <x:c r="J731" s="19" t="n">
        <x:v>0.8</x:v>
      </x:c>
      <x:c r="K731" s="19" t="n">
        <x:v>0.5</x:v>
      </x:c>
    </x:row>
    <x:row r="732" ht="23" customHeight="1">
      <x:c r="A732" s="2" t="str">
        <x:v>D040_T04_C080_G050</x:v>
      </x:c>
      <x:c r="B732" s="2" t="str">
        <x:v>A0043</x:v>
      </x:c>
      <x:c r="C732" s="10" t="n">
        <x:v>4</x:v>
      </x:c>
      <x:c r="D732" s="10" t="n">
        <x:v>4</x:v>
      </x:c>
      <x:c r="E732" s="10" t="n">
        <x:v>0</x:v>
      </x:c>
      <x:c r="F732" s="10" t="n">
        <x:v>1</x:v>
      </x:c>
      <x:c r="G732" s="10" t="n">
        <x:f>MIN(E732,3)</x:f>
        <x:v>0</x:v>
      </x:c>
      <x:c r="H732" s="10" t="n">
        <x:v>6</x:v>
      </x:c>
      <x:c r="I732" s="19" t="n">
        <x:v>0.4</x:v>
      </x:c>
      <x:c r="J732" s="19" t="n">
        <x:v>0.8</x:v>
      </x:c>
      <x:c r="K732" s="19" t="n">
        <x:v>0.5</x:v>
      </x:c>
    </x:row>
    <x:row r="733" ht="23" customHeight="1">
      <x:c r="A733" s="2" t="str">
        <x:v>D040_T04_C080_G050</x:v>
      </x:c>
      <x:c r="B733" s="2" t="str">
        <x:v>A0071</x:v>
      </x:c>
      <x:c r="C733" s="10" t="n">
        <x:v>4</x:v>
      </x:c>
      <x:c r="D733" s="10" t="n">
        <x:v>5</x:v>
      </x:c>
      <x:c r="E733" s="10" t="n">
        <x:v>1</x:v>
      </x:c>
      <x:c r="F733" s="10" t="n">
        <x:v>1</x:v>
      </x:c>
      <x:c r="G733" s="10" t="n">
        <x:f>MIN(E733,3)</x:f>
        <x:v>1</x:v>
      </x:c>
      <x:c r="H733" s="10" t="n">
        <x:v>6</x:v>
      </x:c>
      <x:c r="I733" s="19" t="n">
        <x:v>0.4</x:v>
      </x:c>
      <x:c r="J733" s="19" t="n">
        <x:v>0.8</x:v>
      </x:c>
      <x:c r="K733" s="19" t="n">
        <x:v>0.5</x:v>
      </x:c>
    </x:row>
    <x:row r="734" ht="23" customHeight="1">
      <x:c r="A734" s="2" t="str">
        <x:v>D040_T04_C080_G050</x:v>
      </x:c>
      <x:c r="B734" s="2" t="str">
        <x:v>A0090</x:v>
      </x:c>
      <x:c r="C734" s="10" t="n">
        <x:v>4</x:v>
      </x:c>
      <x:c r="D734" s="10"/>
      <x:c r="E734" s="10" t="n">
        <x:v>6</x:v>
      </x:c>
      <x:c r="F734" s="10" t="n">
        <x:v>0</x:v>
      </x:c>
      <x:c r="G734" s="10" t="n">
        <x:f>MIN(E734,3)</x:f>
        <x:v>3</x:v>
      </x:c>
      <x:c r="H734" s="10" t="n">
        <x:v>6</x:v>
      </x:c>
      <x:c r="I734" s="19" t="n">
        <x:v>0.4</x:v>
      </x:c>
      <x:c r="J734" s="19" t="n">
        <x:v>0.8</x:v>
      </x:c>
      <x:c r="K734" s="19" t="n">
        <x:v>0.5</x:v>
      </x:c>
    </x:row>
    <x:row r="735" ht="23" customHeight="1">
      <x:c r="A735" s="2" t="str">
        <x:v>D040_T04_C080_G050</x:v>
      </x:c>
      <x:c r="B735" s="2" t="str">
        <x:v>A0189</x:v>
      </x:c>
      <x:c r="C735" s="10" t="n">
        <x:v>4</x:v>
      </x:c>
      <x:c r="D735" s="10" t="n">
        <x:v>8</x:v>
      </x:c>
      <x:c r="E735" s="10" t="n">
        <x:v>4</x:v>
      </x:c>
      <x:c r="F735" s="10" t="n">
        <x:v>1</x:v>
      </x:c>
      <x:c r="G735" s="10" t="n">
        <x:f>MIN(E735,3)</x:f>
        <x:v>3</x:v>
      </x:c>
      <x:c r="H735" s="10" t="n">
        <x:v>6</x:v>
      </x:c>
      <x:c r="I735" s="19" t="n">
        <x:v>0.4</x:v>
      </x:c>
      <x:c r="J735" s="19" t="n">
        <x:v>0.8</x:v>
      </x:c>
      <x:c r="K735" s="19" t="n">
        <x:v>0.5</x:v>
      </x:c>
    </x:row>
    <x:row r="736" ht="23" customHeight="1">
      <x:c r="A736" s="2" t="str">
        <x:v>D040_T04_C080_G050</x:v>
      </x:c>
      <x:c r="B736" s="2" t="str">
        <x:v>A0206</x:v>
      </x:c>
      <x:c r="C736" s="10" t="n">
        <x:v>4</x:v>
      </x:c>
      <x:c r="D736" s="10" t="n">
        <x:v>4</x:v>
      </x:c>
      <x:c r="E736" s="10" t="n">
        <x:v>0</x:v>
      </x:c>
      <x:c r="F736" s="10" t="n">
        <x:v>1</x:v>
      </x:c>
      <x:c r="G736" s="10" t="n">
        <x:f>MIN(E736,3)</x:f>
        <x:v>0</x:v>
      </x:c>
      <x:c r="H736" s="10" t="n">
        <x:v>6</x:v>
      </x:c>
      <x:c r="I736" s="19" t="n">
        <x:v>0.4</x:v>
      </x:c>
      <x:c r="J736" s="19" t="n">
        <x:v>0.8</x:v>
      </x:c>
      <x:c r="K736" s="19" t="n">
        <x:v>0.5</x:v>
      </x:c>
    </x:row>
    <x:row r="737" ht="23" customHeight="1">
      <x:c r="A737" s="2" t="str">
        <x:v>D040_T04_C080_G075</x:v>
      </x:c>
      <x:c r="B737" s="2" t="str">
        <x:v>A0001</x:v>
      </x:c>
      <x:c r="C737" s="10" t="n">
        <x:v>4</x:v>
      </x:c>
      <x:c r="D737" s="10" t="n">
        <x:v>4</x:v>
      </x:c>
      <x:c r="E737" s="10" t="n">
        <x:v>0</x:v>
      </x:c>
      <x:c r="F737" s="10" t="n">
        <x:v>1</x:v>
      </x:c>
      <x:c r="G737" s="10" t="n">
        <x:f>MIN(E737,3)</x:f>
        <x:v>0</x:v>
      </x:c>
      <x:c r="H737" s="10" t="n">
        <x:v>6</x:v>
      </x:c>
      <x:c r="I737" s="19" t="n">
        <x:v>0.4</x:v>
      </x:c>
      <x:c r="J737" s="19" t="n">
        <x:v>0.8</x:v>
      </x:c>
      <x:c r="K737" s="19" t="n">
        <x:v>0.75</x:v>
      </x:c>
    </x:row>
    <x:row r="738" ht="23" customHeight="1">
      <x:c r="A738" s="2" t="str">
        <x:v>D040_T04_C080_G075</x:v>
      </x:c>
      <x:c r="B738" s="2" t="str">
        <x:v>A0005</x:v>
      </x:c>
      <x:c r="C738" s="10" t="n">
        <x:v>4</x:v>
      </x:c>
      <x:c r="D738" s="10" t="n">
        <x:v>4</x:v>
      </x:c>
      <x:c r="E738" s="10" t="n">
        <x:v>0</x:v>
      </x:c>
      <x:c r="F738" s="10" t="n">
        <x:v>1</x:v>
      </x:c>
      <x:c r="G738" s="10" t="n">
        <x:f>MIN(E738,3)</x:f>
        <x:v>0</x:v>
      </x:c>
      <x:c r="H738" s="10" t="n">
        <x:v>6</x:v>
      </x:c>
      <x:c r="I738" s="19" t="n">
        <x:v>0.4</x:v>
      </x:c>
      <x:c r="J738" s="19" t="n">
        <x:v>0.8</x:v>
      </x:c>
      <x:c r="K738" s="19" t="n">
        <x:v>0.75</x:v>
      </x:c>
    </x:row>
    <x:row r="739" ht="23" customHeight="1">
      <x:c r="A739" s="2" t="str">
        <x:v>D040_T04_C080_G075</x:v>
      </x:c>
      <x:c r="B739" s="2" t="str">
        <x:v>A0010</x:v>
      </x:c>
      <x:c r="C739" s="10" t="n">
        <x:v>4</x:v>
      </x:c>
      <x:c r="D739" s="10" t="n">
        <x:v>5</x:v>
      </x:c>
      <x:c r="E739" s="10" t="n">
        <x:v>1</x:v>
      </x:c>
      <x:c r="F739" s="10" t="n">
        <x:v>1</x:v>
      </x:c>
      <x:c r="G739" s="10" t="n">
        <x:f>MIN(E739,3)</x:f>
        <x:v>1</x:v>
      </x:c>
      <x:c r="H739" s="10" t="n">
        <x:v>6</x:v>
      </x:c>
      <x:c r="I739" s="19" t="n">
        <x:v>0.4</x:v>
      </x:c>
      <x:c r="J739" s="19" t="n">
        <x:v>0.8</x:v>
      </x:c>
      <x:c r="K739" s="19" t="n">
        <x:v>0.75</x:v>
      </x:c>
    </x:row>
    <x:row r="740" ht="23" customHeight="1">
      <x:c r="A740" s="2" t="str">
        <x:v>D040_T04_C080_G075</x:v>
      </x:c>
      <x:c r="B740" s="2" t="str">
        <x:v>A0011</x:v>
      </x:c>
      <x:c r="C740" s="10" t="n">
        <x:v>4</x:v>
      </x:c>
      <x:c r="D740" s="10" t="n">
        <x:v>5</x:v>
      </x:c>
      <x:c r="E740" s="10" t="n">
        <x:v>1</x:v>
      </x:c>
      <x:c r="F740" s="10" t="n">
        <x:v>1</x:v>
      </x:c>
      <x:c r="G740" s="10" t="n">
        <x:f>MIN(E740,3)</x:f>
        <x:v>1</x:v>
      </x:c>
      <x:c r="H740" s="10" t="n">
        <x:v>6</x:v>
      </x:c>
      <x:c r="I740" s="19" t="n">
        <x:v>0.4</x:v>
      </x:c>
      <x:c r="J740" s="19" t="n">
        <x:v>0.8</x:v>
      </x:c>
      <x:c r="K740" s="19" t="n">
        <x:v>0.75</x:v>
      </x:c>
    </x:row>
    <x:row r="741" ht="23" customHeight="1">
      <x:c r="A741" s="2" t="str">
        <x:v>D040_T04_C080_G075</x:v>
      </x:c>
      <x:c r="B741" s="2" t="str">
        <x:v>A0012</x:v>
      </x:c>
      <x:c r="C741" s="10" t="n">
        <x:v>4</x:v>
      </x:c>
      <x:c r="D741" s="10" t="n">
        <x:v>4</x:v>
      </x:c>
      <x:c r="E741" s="10" t="n">
        <x:v>0</x:v>
      </x:c>
      <x:c r="F741" s="10" t="n">
        <x:v>1</x:v>
      </x:c>
      <x:c r="G741" s="10" t="n">
        <x:f>MIN(E741,3)</x:f>
        <x:v>0</x:v>
      </x:c>
      <x:c r="H741" s="10" t="n">
        <x:v>6</x:v>
      </x:c>
      <x:c r="I741" s="19" t="n">
        <x:v>0.4</x:v>
      </x:c>
      <x:c r="J741" s="19" t="n">
        <x:v>0.8</x:v>
      </x:c>
      <x:c r="K741" s="19" t="n">
        <x:v>0.75</x:v>
      </x:c>
    </x:row>
    <x:row r="742" ht="23" customHeight="1">
      <x:c r="A742" s="2" t="str">
        <x:v>D040_T04_C080_G075</x:v>
      </x:c>
      <x:c r="B742" s="2" t="str">
        <x:v>A0017</x:v>
      </x:c>
      <x:c r="C742" s="10" t="n">
        <x:v>4</x:v>
      </x:c>
      <x:c r="D742" s="10" t="n">
        <x:v>5</x:v>
      </x:c>
      <x:c r="E742" s="10" t="n">
        <x:v>1</x:v>
      </x:c>
      <x:c r="F742" s="10" t="n">
        <x:v>1</x:v>
      </x:c>
      <x:c r="G742" s="10" t="n">
        <x:f>MIN(E742,3)</x:f>
        <x:v>1</x:v>
      </x:c>
      <x:c r="H742" s="10" t="n">
        <x:v>6</x:v>
      </x:c>
      <x:c r="I742" s="19" t="n">
        <x:v>0.4</x:v>
      </x:c>
      <x:c r="J742" s="19" t="n">
        <x:v>0.8</x:v>
      </x:c>
      <x:c r="K742" s="19" t="n">
        <x:v>0.75</x:v>
      </x:c>
    </x:row>
    <x:row r="743" ht="23" customHeight="1">
      <x:c r="A743" s="2" t="str">
        <x:v>D040_T04_C080_G075</x:v>
      </x:c>
      <x:c r="B743" s="2" t="str">
        <x:v>A0018</x:v>
      </x:c>
      <x:c r="C743" s="10" t="n">
        <x:v>4</x:v>
      </x:c>
      <x:c r="D743" s="10" t="n">
        <x:v>4</x:v>
      </x:c>
      <x:c r="E743" s="10" t="n">
        <x:v>0</x:v>
      </x:c>
      <x:c r="F743" s="10" t="n">
        <x:v>1</x:v>
      </x:c>
      <x:c r="G743" s="10" t="n">
        <x:f>MIN(E743,3)</x:f>
        <x:v>0</x:v>
      </x:c>
      <x:c r="H743" s="10" t="n">
        <x:v>6</x:v>
      </x:c>
      <x:c r="I743" s="19" t="n">
        <x:v>0.4</x:v>
      </x:c>
      <x:c r="J743" s="19" t="n">
        <x:v>0.8</x:v>
      </x:c>
      <x:c r="K743" s="19" t="n">
        <x:v>0.75</x:v>
      </x:c>
    </x:row>
    <x:row r="744" ht="23" customHeight="1">
      <x:c r="A744" s="2" t="str">
        <x:v>D040_T04_C080_G075</x:v>
      </x:c>
      <x:c r="B744" s="2" t="str">
        <x:v>A0019</x:v>
      </x:c>
      <x:c r="C744" s="10" t="n">
        <x:v>4</x:v>
      </x:c>
      <x:c r="D744" s="10" t="n">
        <x:v>4</x:v>
      </x:c>
      <x:c r="E744" s="10" t="n">
        <x:v>0</x:v>
      </x:c>
      <x:c r="F744" s="10" t="n">
        <x:v>1</x:v>
      </x:c>
      <x:c r="G744" s="10" t="n">
        <x:f>MIN(E744,3)</x:f>
        <x:v>0</x:v>
      </x:c>
      <x:c r="H744" s="10" t="n">
        <x:v>6</x:v>
      </x:c>
      <x:c r="I744" s="19" t="n">
        <x:v>0.4</x:v>
      </x:c>
      <x:c r="J744" s="19" t="n">
        <x:v>0.8</x:v>
      </x:c>
      <x:c r="K744" s="19" t="n">
        <x:v>0.75</x:v>
      </x:c>
    </x:row>
    <x:row r="745" ht="23" customHeight="1">
      <x:c r="A745" s="2" t="str">
        <x:v>D040_T04_C080_G075</x:v>
      </x:c>
      <x:c r="B745" s="2" t="str">
        <x:v>A0022</x:v>
      </x:c>
      <x:c r="C745" s="10" t="n">
        <x:v>4</x:v>
      </x:c>
      <x:c r="D745" s="10" t="n">
        <x:v>4</x:v>
      </x:c>
      <x:c r="E745" s="10" t="n">
        <x:v>0</x:v>
      </x:c>
      <x:c r="F745" s="10" t="n">
        <x:v>1</x:v>
      </x:c>
      <x:c r="G745" s="10" t="n">
        <x:f>MIN(E745,3)</x:f>
        <x:v>0</x:v>
      </x:c>
      <x:c r="H745" s="10" t="n">
        <x:v>6</x:v>
      </x:c>
      <x:c r="I745" s="19" t="n">
        <x:v>0.4</x:v>
      </x:c>
      <x:c r="J745" s="19" t="n">
        <x:v>0.8</x:v>
      </x:c>
      <x:c r="K745" s="19" t="n">
        <x:v>0.75</x:v>
      </x:c>
    </x:row>
    <x:row r="746" ht="23" customHeight="1">
      <x:c r="A746" s="2" t="str">
        <x:v>D040_T04_C080_G075</x:v>
      </x:c>
      <x:c r="B746" s="2" t="str">
        <x:v>A0023</x:v>
      </x:c>
      <x:c r="C746" s="10" t="n">
        <x:v>4</x:v>
      </x:c>
      <x:c r="D746" s="10" t="n">
        <x:v>4</x:v>
      </x:c>
      <x:c r="E746" s="10" t="n">
        <x:v>0</x:v>
      </x:c>
      <x:c r="F746" s="10" t="n">
        <x:v>1</x:v>
      </x:c>
      <x:c r="G746" s="10" t="n">
        <x:f>MIN(E746,3)</x:f>
        <x:v>0</x:v>
      </x:c>
      <x:c r="H746" s="10" t="n">
        <x:v>6</x:v>
      </x:c>
      <x:c r="I746" s="19" t="n">
        <x:v>0.4</x:v>
      </x:c>
      <x:c r="J746" s="19" t="n">
        <x:v>0.8</x:v>
      </x:c>
      <x:c r="K746" s="19" t="n">
        <x:v>0.75</x:v>
      </x:c>
    </x:row>
    <x:row r="747" ht="23" customHeight="1">
      <x:c r="A747" s="2" t="str">
        <x:v>D040_T04_C080_G075</x:v>
      </x:c>
      <x:c r="B747" s="2" t="str">
        <x:v>A0024</x:v>
      </x:c>
      <x:c r="C747" s="10" t="n">
        <x:v>4</x:v>
      </x:c>
      <x:c r="D747" s="10" t="n">
        <x:v>5</x:v>
      </x:c>
      <x:c r="E747" s="10" t="n">
        <x:v>1</x:v>
      </x:c>
      <x:c r="F747" s="10" t="n">
        <x:v>1</x:v>
      </x:c>
      <x:c r="G747" s="10" t="n">
        <x:f>MIN(E747,3)</x:f>
        <x:v>1</x:v>
      </x:c>
      <x:c r="H747" s="10" t="n">
        <x:v>6</x:v>
      </x:c>
      <x:c r="I747" s="19" t="n">
        <x:v>0.4</x:v>
      </x:c>
      <x:c r="J747" s="19" t="n">
        <x:v>0.8</x:v>
      </x:c>
      <x:c r="K747" s="19" t="n">
        <x:v>0.75</x:v>
      </x:c>
    </x:row>
    <x:row r="748" ht="23" customHeight="1">
      <x:c r="A748" s="2" t="str">
        <x:v>D040_T04_C080_G075</x:v>
      </x:c>
      <x:c r="B748" s="2" t="str">
        <x:v>A0025</x:v>
      </x:c>
      <x:c r="C748" s="10" t="n">
        <x:v>4</x:v>
      </x:c>
      <x:c r="D748" s="10" t="n">
        <x:v>4</x:v>
      </x:c>
      <x:c r="E748" s="10" t="n">
        <x:v>0</x:v>
      </x:c>
      <x:c r="F748" s="10" t="n">
        <x:v>1</x:v>
      </x:c>
      <x:c r="G748" s="10" t="n">
        <x:f>MIN(E748,3)</x:f>
        <x:v>0</x:v>
      </x:c>
      <x:c r="H748" s="10" t="n">
        <x:v>6</x:v>
      </x:c>
      <x:c r="I748" s="19" t="n">
        <x:v>0.4</x:v>
      </x:c>
      <x:c r="J748" s="19" t="n">
        <x:v>0.8</x:v>
      </x:c>
      <x:c r="K748" s="19" t="n">
        <x:v>0.75</x:v>
      </x:c>
    </x:row>
    <x:row r="749" ht="23" customHeight="1">
      <x:c r="A749" s="2" t="str">
        <x:v>D040_T04_C080_G075</x:v>
      </x:c>
      <x:c r="B749" s="2" t="str">
        <x:v>A0027</x:v>
      </x:c>
      <x:c r="C749" s="10" t="n">
        <x:v>4</x:v>
      </x:c>
      <x:c r="D749" s="10" t="n">
        <x:v>4</x:v>
      </x:c>
      <x:c r="E749" s="10" t="n">
        <x:v>0</x:v>
      </x:c>
      <x:c r="F749" s="10" t="n">
        <x:v>1</x:v>
      </x:c>
      <x:c r="G749" s="10" t="n">
        <x:f>MIN(E749,3)</x:f>
        <x:v>0</x:v>
      </x:c>
      <x:c r="H749" s="10" t="n">
        <x:v>6</x:v>
      </x:c>
      <x:c r="I749" s="19" t="n">
        <x:v>0.4</x:v>
      </x:c>
      <x:c r="J749" s="19" t="n">
        <x:v>0.8</x:v>
      </x:c>
      <x:c r="K749" s="19" t="n">
        <x:v>0.75</x:v>
      </x:c>
    </x:row>
    <x:row r="750" ht="23" customHeight="1">
      <x:c r="A750" s="2" t="str">
        <x:v>D040_T04_C080_G075</x:v>
      </x:c>
      <x:c r="B750" s="2" t="str">
        <x:v>A0029</x:v>
      </x:c>
      <x:c r="C750" s="10" t="n">
        <x:v>4</x:v>
      </x:c>
      <x:c r="D750" s="10" t="n">
        <x:v>4</x:v>
      </x:c>
      <x:c r="E750" s="10" t="n">
        <x:v>0</x:v>
      </x:c>
      <x:c r="F750" s="10" t="n">
        <x:v>1</x:v>
      </x:c>
      <x:c r="G750" s="10" t="n">
        <x:f>MIN(E750,3)</x:f>
        <x:v>0</x:v>
      </x:c>
      <x:c r="H750" s="10" t="n">
        <x:v>6</x:v>
      </x:c>
      <x:c r="I750" s="19" t="n">
        <x:v>0.4</x:v>
      </x:c>
      <x:c r="J750" s="19" t="n">
        <x:v>0.8</x:v>
      </x:c>
      <x:c r="K750" s="19" t="n">
        <x:v>0.75</x:v>
      </x:c>
    </x:row>
    <x:row r="751" ht="23" customHeight="1">
      <x:c r="A751" s="2" t="str">
        <x:v>D040_T04_C080_G075</x:v>
      </x:c>
      <x:c r="B751" s="2" t="str">
        <x:v>A0030</x:v>
      </x:c>
      <x:c r="C751" s="10" t="n">
        <x:v>4</x:v>
      </x:c>
      <x:c r="D751" s="10" t="n">
        <x:v>4</x:v>
      </x:c>
      <x:c r="E751" s="10" t="n">
        <x:v>0</x:v>
      </x:c>
      <x:c r="F751" s="10" t="n">
        <x:v>1</x:v>
      </x:c>
      <x:c r="G751" s="10" t="n">
        <x:f>MIN(E751,3)</x:f>
        <x:v>0</x:v>
      </x:c>
      <x:c r="H751" s="10" t="n">
        <x:v>6</x:v>
      </x:c>
      <x:c r="I751" s="19" t="n">
        <x:v>0.4</x:v>
      </x:c>
      <x:c r="J751" s="19" t="n">
        <x:v>0.8</x:v>
      </x:c>
      <x:c r="K751" s="19" t="n">
        <x:v>0.75</x:v>
      </x:c>
    </x:row>
    <x:row r="752" ht="23" customHeight="1">
      <x:c r="A752" s="2" t="str">
        <x:v>D040_T04_C080_G075</x:v>
      </x:c>
      <x:c r="B752" s="2" t="str">
        <x:v>A0032</x:v>
      </x:c>
      <x:c r="C752" s="10" t="n">
        <x:v>4</x:v>
      </x:c>
      <x:c r="D752" s="10" t="n">
        <x:v>4</x:v>
      </x:c>
      <x:c r="E752" s="10" t="n">
        <x:v>0</x:v>
      </x:c>
      <x:c r="F752" s="10" t="n">
        <x:v>1</x:v>
      </x:c>
      <x:c r="G752" s="10" t="n">
        <x:f>MIN(E752,3)</x:f>
        <x:v>0</x:v>
      </x:c>
      <x:c r="H752" s="10" t="n">
        <x:v>6</x:v>
      </x:c>
      <x:c r="I752" s="19" t="n">
        <x:v>0.4</x:v>
      </x:c>
      <x:c r="J752" s="19" t="n">
        <x:v>0.8</x:v>
      </x:c>
      <x:c r="K752" s="19" t="n">
        <x:v>0.75</x:v>
      </x:c>
    </x:row>
    <x:row r="753" ht="23" customHeight="1">
      <x:c r="A753" s="2" t="str">
        <x:v>D040_T04_C080_G075</x:v>
      </x:c>
      <x:c r="B753" s="2" t="str">
        <x:v>A0033</x:v>
      </x:c>
      <x:c r="C753" s="10" t="n">
        <x:v>4</x:v>
      </x:c>
      <x:c r="D753" s="10" t="n">
        <x:v>4</x:v>
      </x:c>
      <x:c r="E753" s="10" t="n">
        <x:v>0</x:v>
      </x:c>
      <x:c r="F753" s="10" t="n">
        <x:v>1</x:v>
      </x:c>
      <x:c r="G753" s="10" t="n">
        <x:f>MIN(E753,3)</x:f>
        <x:v>0</x:v>
      </x:c>
      <x:c r="H753" s="10" t="n">
        <x:v>6</x:v>
      </x:c>
      <x:c r="I753" s="19" t="n">
        <x:v>0.4</x:v>
      </x:c>
      <x:c r="J753" s="19" t="n">
        <x:v>0.8</x:v>
      </x:c>
      <x:c r="K753" s="19" t="n">
        <x:v>0.75</x:v>
      </x:c>
    </x:row>
    <x:row r="754" ht="23" customHeight="1">
      <x:c r="A754" s="2" t="str">
        <x:v>D040_T04_C080_G075</x:v>
      </x:c>
      <x:c r="B754" s="2" t="str">
        <x:v>A0035</x:v>
      </x:c>
      <x:c r="C754" s="10" t="n">
        <x:v>4</x:v>
      </x:c>
      <x:c r="D754" s="10" t="n">
        <x:v>4</x:v>
      </x:c>
      <x:c r="E754" s="10" t="n">
        <x:v>0</x:v>
      </x:c>
      <x:c r="F754" s="10" t="n">
        <x:v>1</x:v>
      </x:c>
      <x:c r="G754" s="10" t="n">
        <x:f>MIN(E754,3)</x:f>
        <x:v>0</x:v>
      </x:c>
      <x:c r="H754" s="10" t="n">
        <x:v>6</x:v>
      </x:c>
      <x:c r="I754" s="19" t="n">
        <x:v>0.4</x:v>
      </x:c>
      <x:c r="J754" s="19" t="n">
        <x:v>0.8</x:v>
      </x:c>
      <x:c r="K754" s="19" t="n">
        <x:v>0.75</x:v>
      </x:c>
    </x:row>
    <x:row r="755" ht="23" customHeight="1">
      <x:c r="A755" s="2" t="str">
        <x:v>D040_T04_C080_G075</x:v>
      </x:c>
      <x:c r="B755" s="2" t="str">
        <x:v>A0036</x:v>
      </x:c>
      <x:c r="C755" s="10" t="n">
        <x:v>4</x:v>
      </x:c>
      <x:c r="D755" s="10" t="n">
        <x:v>4</x:v>
      </x:c>
      <x:c r="E755" s="10" t="n">
        <x:v>0</x:v>
      </x:c>
      <x:c r="F755" s="10" t="n">
        <x:v>1</x:v>
      </x:c>
      <x:c r="G755" s="10" t="n">
        <x:f>MIN(E755,3)</x:f>
        <x:v>0</x:v>
      </x:c>
      <x:c r="H755" s="10" t="n">
        <x:v>6</x:v>
      </x:c>
      <x:c r="I755" s="19" t="n">
        <x:v>0.4</x:v>
      </x:c>
      <x:c r="J755" s="19" t="n">
        <x:v>0.8</x:v>
      </x:c>
      <x:c r="K755" s="19" t="n">
        <x:v>0.75</x:v>
      </x:c>
    </x:row>
    <x:row r="756" ht="23" customHeight="1">
      <x:c r="A756" s="2" t="str">
        <x:v>D040_T04_C080_G075</x:v>
      </x:c>
      <x:c r="B756" s="2" t="str">
        <x:v>A0037</x:v>
      </x:c>
      <x:c r="C756" s="10" t="n">
        <x:v>4</x:v>
      </x:c>
      <x:c r="D756" s="10" t="n">
        <x:v>5</x:v>
      </x:c>
      <x:c r="E756" s="10" t="n">
        <x:v>1</x:v>
      </x:c>
      <x:c r="F756" s="10" t="n">
        <x:v>1</x:v>
      </x:c>
      <x:c r="G756" s="10" t="n">
        <x:f>MIN(E756,3)</x:f>
        <x:v>1</x:v>
      </x:c>
      <x:c r="H756" s="10" t="n">
        <x:v>6</x:v>
      </x:c>
      <x:c r="I756" s="19" t="n">
        <x:v>0.4</x:v>
      </x:c>
      <x:c r="J756" s="19" t="n">
        <x:v>0.8</x:v>
      </x:c>
      <x:c r="K756" s="19" t="n">
        <x:v>0.75</x:v>
      </x:c>
    </x:row>
    <x:row r="757" ht="23" customHeight="1">
      <x:c r="A757" s="2" t="str">
        <x:v>D040_T04_C080_G075</x:v>
      </x:c>
      <x:c r="B757" s="2" t="str">
        <x:v>A0038</x:v>
      </x:c>
      <x:c r="C757" s="10" t="n">
        <x:v>4</x:v>
      </x:c>
      <x:c r="D757" s="10" t="n">
        <x:v>5</x:v>
      </x:c>
      <x:c r="E757" s="10" t="n">
        <x:v>1</x:v>
      </x:c>
      <x:c r="F757" s="10" t="n">
        <x:v>1</x:v>
      </x:c>
      <x:c r="G757" s="10" t="n">
        <x:f>MIN(E757,3)</x:f>
        <x:v>1</x:v>
      </x:c>
      <x:c r="H757" s="10" t="n">
        <x:v>6</x:v>
      </x:c>
      <x:c r="I757" s="19" t="n">
        <x:v>0.4</x:v>
      </x:c>
      <x:c r="J757" s="19" t="n">
        <x:v>0.8</x:v>
      </x:c>
      <x:c r="K757" s="19" t="n">
        <x:v>0.75</x:v>
      </x:c>
    </x:row>
    <x:row r="758" ht="23" customHeight="1">
      <x:c r="A758" s="2" t="str">
        <x:v>D040_T04_C080_G075</x:v>
      </x:c>
      <x:c r="B758" s="2" t="str">
        <x:v>A0040</x:v>
      </x:c>
      <x:c r="C758" s="10" t="n">
        <x:v>4</x:v>
      </x:c>
      <x:c r="D758" s="10" t="n">
        <x:v>4</x:v>
      </x:c>
      <x:c r="E758" s="10" t="n">
        <x:v>0</x:v>
      </x:c>
      <x:c r="F758" s="10" t="n">
        <x:v>1</x:v>
      </x:c>
      <x:c r="G758" s="10" t="n">
        <x:f>MIN(E758,3)</x:f>
        <x:v>0</x:v>
      </x:c>
      <x:c r="H758" s="10" t="n">
        <x:v>6</x:v>
      </x:c>
      <x:c r="I758" s="19" t="n">
        <x:v>0.4</x:v>
      </x:c>
      <x:c r="J758" s="19" t="n">
        <x:v>0.8</x:v>
      </x:c>
      <x:c r="K758" s="19" t="n">
        <x:v>0.75</x:v>
      </x:c>
    </x:row>
    <x:row r="759" ht="23" customHeight="1">
      <x:c r="A759" s="2" t="str">
        <x:v>D040_T04_C080_G075</x:v>
      </x:c>
      <x:c r="B759" s="2" t="str">
        <x:v>A0041</x:v>
      </x:c>
      <x:c r="C759" s="10" t="n">
        <x:v>4</x:v>
      </x:c>
      <x:c r="D759" s="10" t="n">
        <x:v>4</x:v>
      </x:c>
      <x:c r="E759" s="10" t="n">
        <x:v>0</x:v>
      </x:c>
      <x:c r="F759" s="10" t="n">
        <x:v>1</x:v>
      </x:c>
      <x:c r="G759" s="10" t="n">
        <x:f>MIN(E759,3)</x:f>
        <x:v>0</x:v>
      </x:c>
      <x:c r="H759" s="10" t="n">
        <x:v>6</x:v>
      </x:c>
      <x:c r="I759" s="19" t="n">
        <x:v>0.4</x:v>
      </x:c>
      <x:c r="J759" s="19" t="n">
        <x:v>0.8</x:v>
      </x:c>
      <x:c r="K759" s="19" t="n">
        <x:v>0.75</x:v>
      </x:c>
    </x:row>
    <x:row r="760" ht="23" customHeight="1">
      <x:c r="A760" s="2" t="str">
        <x:v>D040_T04_C080_G075</x:v>
      </x:c>
      <x:c r="B760" s="2" t="str">
        <x:v>A0071</x:v>
      </x:c>
      <x:c r="C760" s="10" t="n">
        <x:v>4</x:v>
      </x:c>
      <x:c r="D760" s="10" t="n">
        <x:v>5</x:v>
      </x:c>
      <x:c r="E760" s="10" t="n">
        <x:v>1</x:v>
      </x:c>
      <x:c r="F760" s="10" t="n">
        <x:v>1</x:v>
      </x:c>
      <x:c r="G760" s="10" t="n">
        <x:f>MIN(E760,3)</x:f>
        <x:v>1</x:v>
      </x:c>
      <x:c r="H760" s="10" t="n">
        <x:v>6</x:v>
      </x:c>
      <x:c r="I760" s="19" t="n">
        <x:v>0.4</x:v>
      </x:c>
      <x:c r="J760" s="19" t="n">
        <x:v>0.8</x:v>
      </x:c>
      <x:c r="K760" s="19" t="n">
        <x:v>0.75</x:v>
      </x:c>
    </x:row>
    <x:row r="761" ht="23" customHeight="1">
      <x:c r="A761" s="2" t="str">
        <x:v>D040_T04_C080_G075</x:v>
      </x:c>
      <x:c r="B761" s="2" t="str">
        <x:v>A0189</x:v>
      </x:c>
      <x:c r="C761" s="10" t="n">
        <x:v>4</x:v>
      </x:c>
      <x:c r="D761" s="10" t="n">
        <x:v>5</x:v>
      </x:c>
      <x:c r="E761" s="10" t="n">
        <x:v>1</x:v>
      </x:c>
      <x:c r="F761" s="10" t="n">
        <x:v>1</x:v>
      </x:c>
      <x:c r="G761" s="10" t="n">
        <x:f>MIN(E761,3)</x:f>
        <x:v>1</x:v>
      </x:c>
      <x:c r="H761" s="10" t="n">
        <x:v>6</x:v>
      </x:c>
      <x:c r="I761" s="19" t="n">
        <x:v>0.4</x:v>
      </x:c>
      <x:c r="J761" s="19" t="n">
        <x:v>0.8</x:v>
      </x:c>
      <x:c r="K761" s="19" t="n">
        <x:v>0.75</x:v>
      </x:c>
    </x:row>
    <x:row r="762" ht="23" customHeight="1">
      <x:c r="A762" s="2" t="str">
        <x:v>D040_T04_C080_G075</x:v>
      </x:c>
      <x:c r="B762" s="2" t="str">
        <x:v>A0206</x:v>
      </x:c>
      <x:c r="C762" s="10" t="n">
        <x:v>4</x:v>
      </x:c>
      <x:c r="D762" s="10" t="n">
        <x:v>4</x:v>
      </x:c>
      <x:c r="E762" s="10" t="n">
        <x:v>0</x:v>
      </x:c>
      <x:c r="F762" s="10" t="n">
        <x:v>1</x:v>
      </x:c>
      <x:c r="G762" s="10" t="n">
        <x:f>MIN(E762,3)</x:f>
        <x:v>0</x:v>
      </x:c>
      <x:c r="H762" s="10" t="n">
        <x:v>6</x:v>
      </x:c>
      <x:c r="I762" s="19" t="n">
        <x:v>0.4</x:v>
      </x:c>
      <x:c r="J762" s="19" t="n">
        <x:v>0.8</x:v>
      </x:c>
      <x:c r="K762" s="19" t="n">
        <x:v>0.75</x:v>
      </x:c>
    </x:row>
    <x:row r="763" ht="23" customHeight="1">
      <x:c r="A763" s="2" t="str">
        <x:v>D040_T07_C020_G025</x:v>
      </x:c>
      <x:c r="B763" s="2" t="str">
        <x:v>A0001</x:v>
      </x:c>
      <x:c r="C763" s="10" t="n">
        <x:v>7</x:v>
      </x:c>
      <x:c r="D763" s="10" t="n">
        <x:v>9</x:v>
      </x:c>
      <x:c r="E763" s="10" t="n">
        <x:v>2</x:v>
      </x:c>
      <x:c r="F763" s="10" t="n">
        <x:v>1</x:v>
      </x:c>
      <x:c r="G763" s="10" t="n">
        <x:f>MIN(E763,3)</x:f>
        <x:v>2</x:v>
      </x:c>
      <x:c r="H763" s="10" t="n">
        <x:v>3</x:v>
      </x:c>
      <x:c r="I763" s="19" t="n">
        <x:v>0.4</x:v>
      </x:c>
      <x:c r="J763" s="19" t="n">
        <x:v>0.2</x:v>
      </x:c>
      <x:c r="K763" s="19" t="n">
        <x:v>0.25</x:v>
      </x:c>
    </x:row>
    <x:row r="764" ht="23" customHeight="1">
      <x:c r="A764" s="2" t="str">
        <x:v>D040_T07_C020_G025</x:v>
      </x:c>
      <x:c r="B764" s="2" t="str">
        <x:v>A0002</x:v>
      </x:c>
      <x:c r="C764" s="10" t="n">
        <x:v>7</x:v>
      </x:c>
      <x:c r="D764" s="10"/>
      <x:c r="E764" s="10" t="n">
        <x:v>3</x:v>
      </x:c>
      <x:c r="F764" s="10" t="n">
        <x:v>0</x:v>
      </x:c>
      <x:c r="G764" s="10" t="n">
        <x:f>MIN(E764,3)</x:f>
        <x:v>3</x:v>
      </x:c>
      <x:c r="H764" s="10" t="n">
        <x:v>3</x:v>
      </x:c>
      <x:c r="I764" s="19" t="n">
        <x:v>0.4</x:v>
      </x:c>
      <x:c r="J764" s="19" t="n">
        <x:v>0.2</x:v>
      </x:c>
      <x:c r="K764" s="19" t="n">
        <x:v>0.25</x:v>
      </x:c>
    </x:row>
    <x:row r="765" ht="23" customHeight="1">
      <x:c r="A765" s="2" t="str">
        <x:v>D040_T07_C020_G025</x:v>
      </x:c>
      <x:c r="B765" s="2" t="str">
        <x:v>A0005</x:v>
      </x:c>
      <x:c r="C765" s="10" t="n">
        <x:v>7</x:v>
      </x:c>
      <x:c r="D765" s="10"/>
      <x:c r="E765" s="10" t="n">
        <x:v>3</x:v>
      </x:c>
      <x:c r="F765" s="10" t="n">
        <x:v>0</x:v>
      </x:c>
      <x:c r="G765" s="10" t="n">
        <x:f>MIN(E765,3)</x:f>
        <x:v>3</x:v>
      </x:c>
      <x:c r="H765" s="10" t="n">
        <x:v>3</x:v>
      </x:c>
      <x:c r="I765" s="19" t="n">
        <x:v>0.4</x:v>
      </x:c>
      <x:c r="J765" s="19" t="n">
        <x:v>0.2</x:v>
      </x:c>
      <x:c r="K765" s="19" t="n">
        <x:v>0.25</x:v>
      </x:c>
    </x:row>
    <x:row r="766" ht="23" customHeight="1">
      <x:c r="A766" s="2" t="str">
        <x:v>D040_T07_C020_G025</x:v>
      </x:c>
      <x:c r="B766" s="2" t="str">
        <x:v>A0008</x:v>
      </x:c>
      <x:c r="C766" s="10" t="n">
        <x:v>7</x:v>
      </x:c>
      <x:c r="D766" s="10"/>
      <x:c r="E766" s="10" t="n">
        <x:v>3</x:v>
      </x:c>
      <x:c r="F766" s="10" t="n">
        <x:v>0</x:v>
      </x:c>
      <x:c r="G766" s="10" t="n">
        <x:f>MIN(E766,3)</x:f>
        <x:v>3</x:v>
      </x:c>
      <x:c r="H766" s="10" t="n">
        <x:v>3</x:v>
      </x:c>
      <x:c r="I766" s="19" t="n">
        <x:v>0.4</x:v>
      </x:c>
      <x:c r="J766" s="19" t="n">
        <x:v>0.2</x:v>
      </x:c>
      <x:c r="K766" s="19" t="n">
        <x:v>0.25</x:v>
      </x:c>
    </x:row>
    <x:row r="767" ht="23" customHeight="1">
      <x:c r="A767" s="2" t="str">
        <x:v>D040_T07_C020_G025</x:v>
      </x:c>
      <x:c r="B767" s="2" t="str">
        <x:v>A0009</x:v>
      </x:c>
      <x:c r="C767" s="10" t="n">
        <x:v>7</x:v>
      </x:c>
      <x:c r="D767" s="10"/>
      <x:c r="E767" s="10" t="n">
        <x:v>3</x:v>
      </x:c>
      <x:c r="F767" s="10" t="n">
        <x:v>0</x:v>
      </x:c>
      <x:c r="G767" s="10" t="n">
        <x:f>MIN(E767,3)</x:f>
        <x:v>3</x:v>
      </x:c>
      <x:c r="H767" s="10" t="n">
        <x:v>3</x:v>
      </x:c>
      <x:c r="I767" s="19" t="n">
        <x:v>0.4</x:v>
      </x:c>
      <x:c r="J767" s="19" t="n">
        <x:v>0.2</x:v>
      </x:c>
      <x:c r="K767" s="19" t="n">
        <x:v>0.25</x:v>
      </x:c>
    </x:row>
    <x:row r="768" ht="23" customHeight="1">
      <x:c r="A768" s="2" t="str">
        <x:v>D040_T07_C020_G025</x:v>
      </x:c>
      <x:c r="B768" s="2" t="str">
        <x:v>A0011</x:v>
      </x:c>
      <x:c r="C768" s="10" t="n">
        <x:v>7</x:v>
      </x:c>
      <x:c r="D768" s="10"/>
      <x:c r="E768" s="10" t="n">
        <x:v>3</x:v>
      </x:c>
      <x:c r="F768" s="10" t="n">
        <x:v>0</x:v>
      </x:c>
      <x:c r="G768" s="10" t="n">
        <x:f>MIN(E768,3)</x:f>
        <x:v>3</x:v>
      </x:c>
      <x:c r="H768" s="10" t="n">
        <x:v>3</x:v>
      </x:c>
      <x:c r="I768" s="19" t="n">
        <x:v>0.4</x:v>
      </x:c>
      <x:c r="J768" s="19" t="n">
        <x:v>0.2</x:v>
      </x:c>
      <x:c r="K768" s="19" t="n">
        <x:v>0.25</x:v>
      </x:c>
    </x:row>
    <x:row r="769" ht="23" customHeight="1">
      <x:c r="A769" s="2" t="str">
        <x:v>D040_T07_C020_G025</x:v>
      </x:c>
      <x:c r="B769" s="2" t="str">
        <x:v>A0012</x:v>
      </x:c>
      <x:c r="C769" s="10" t="n">
        <x:v>7</x:v>
      </x:c>
      <x:c r="D769" s="10"/>
      <x:c r="E769" s="10" t="n">
        <x:v>3</x:v>
      </x:c>
      <x:c r="F769" s="10" t="n">
        <x:v>0</x:v>
      </x:c>
      <x:c r="G769" s="10" t="n">
        <x:f>MIN(E769,3)</x:f>
        <x:v>3</x:v>
      </x:c>
      <x:c r="H769" s="10" t="n">
        <x:v>3</x:v>
      </x:c>
      <x:c r="I769" s="19" t="n">
        <x:v>0.4</x:v>
      </x:c>
      <x:c r="J769" s="19" t="n">
        <x:v>0.2</x:v>
      </x:c>
      <x:c r="K769" s="19" t="n">
        <x:v>0.25</x:v>
      </x:c>
    </x:row>
    <x:row r="770" ht="23" customHeight="1">
      <x:c r="A770" s="2" t="str">
        <x:v>D040_T07_C020_G025</x:v>
      </x:c>
      <x:c r="B770" s="2" t="str">
        <x:v>A0014</x:v>
      </x:c>
      <x:c r="C770" s="10" t="n">
        <x:v>7</x:v>
      </x:c>
      <x:c r="D770" s="10" t="n">
        <x:v>9</x:v>
      </x:c>
      <x:c r="E770" s="10" t="n">
        <x:v>2</x:v>
      </x:c>
      <x:c r="F770" s="10" t="n">
        <x:v>1</x:v>
      </x:c>
      <x:c r="G770" s="10" t="n">
        <x:f>MIN(E770,3)</x:f>
        <x:v>2</x:v>
      </x:c>
      <x:c r="H770" s="10" t="n">
        <x:v>3</x:v>
      </x:c>
      <x:c r="I770" s="19" t="n">
        <x:v>0.4</x:v>
      </x:c>
      <x:c r="J770" s="19" t="n">
        <x:v>0.2</x:v>
      </x:c>
      <x:c r="K770" s="19" t="n">
        <x:v>0.25</x:v>
      </x:c>
    </x:row>
    <x:row r="771" ht="23" customHeight="1">
      <x:c r="A771" s="2" t="str">
        <x:v>D040_T07_C020_G025</x:v>
      </x:c>
      <x:c r="B771" s="2" t="str">
        <x:v>A0016</x:v>
      </x:c>
      <x:c r="C771" s="10" t="n">
        <x:v>7</x:v>
      </x:c>
      <x:c r="D771" s="10"/>
      <x:c r="E771" s="10" t="n">
        <x:v>3</x:v>
      </x:c>
      <x:c r="F771" s="10" t="n">
        <x:v>0</x:v>
      </x:c>
      <x:c r="G771" s="10" t="n">
        <x:f>MIN(E771,3)</x:f>
        <x:v>3</x:v>
      </x:c>
      <x:c r="H771" s="10" t="n">
        <x:v>3</x:v>
      </x:c>
      <x:c r="I771" s="19" t="n">
        <x:v>0.4</x:v>
      </x:c>
      <x:c r="J771" s="19" t="n">
        <x:v>0.2</x:v>
      </x:c>
      <x:c r="K771" s="19" t="n">
        <x:v>0.25</x:v>
      </x:c>
    </x:row>
    <x:row r="772" ht="23" customHeight="1">
      <x:c r="A772" s="2" t="str">
        <x:v>D040_T07_C020_G025</x:v>
      </x:c>
      <x:c r="B772" s="2" t="str">
        <x:v>A0017</x:v>
      </x:c>
      <x:c r="C772" s="10" t="n">
        <x:v>7</x:v>
      </x:c>
      <x:c r="D772" s="10"/>
      <x:c r="E772" s="10" t="n">
        <x:v>3</x:v>
      </x:c>
      <x:c r="F772" s="10" t="n">
        <x:v>0</x:v>
      </x:c>
      <x:c r="G772" s="10" t="n">
        <x:f>MIN(E772,3)</x:f>
        <x:v>3</x:v>
      </x:c>
      <x:c r="H772" s="10" t="n">
        <x:v>3</x:v>
      </x:c>
      <x:c r="I772" s="19" t="n">
        <x:v>0.4</x:v>
      </x:c>
      <x:c r="J772" s="19" t="n">
        <x:v>0.2</x:v>
      </x:c>
      <x:c r="K772" s="19" t="n">
        <x:v>0.25</x:v>
      </x:c>
    </x:row>
    <x:row r="773" ht="23" customHeight="1">
      <x:c r="A773" s="2" t="str">
        <x:v>D040_T07_C020_G025</x:v>
      </x:c>
      <x:c r="B773" s="2" t="str">
        <x:v>A0018</x:v>
      </x:c>
      <x:c r="C773" s="10" t="n">
        <x:v>7</x:v>
      </x:c>
      <x:c r="D773" s="10"/>
      <x:c r="E773" s="10" t="n">
        <x:v>3</x:v>
      </x:c>
      <x:c r="F773" s="10" t="n">
        <x:v>0</x:v>
      </x:c>
      <x:c r="G773" s="10" t="n">
        <x:f>MIN(E773,3)</x:f>
        <x:v>3</x:v>
      </x:c>
      <x:c r="H773" s="10" t="n">
        <x:v>3</x:v>
      </x:c>
      <x:c r="I773" s="19" t="n">
        <x:v>0.4</x:v>
      </x:c>
      <x:c r="J773" s="19" t="n">
        <x:v>0.2</x:v>
      </x:c>
      <x:c r="K773" s="19" t="n">
        <x:v>0.25</x:v>
      </x:c>
    </x:row>
    <x:row r="774" ht="23" customHeight="1">
      <x:c r="A774" s="2" t="str">
        <x:v>D040_T07_C020_G025</x:v>
      </x:c>
      <x:c r="B774" s="2" t="str">
        <x:v>A0019</x:v>
      </x:c>
      <x:c r="C774" s="10" t="n">
        <x:v>7</x:v>
      </x:c>
      <x:c r="D774" s="10"/>
      <x:c r="E774" s="10" t="n">
        <x:v>3</x:v>
      </x:c>
      <x:c r="F774" s="10" t="n">
        <x:v>0</x:v>
      </x:c>
      <x:c r="G774" s="10" t="n">
        <x:f>MIN(E774,3)</x:f>
        <x:v>3</x:v>
      </x:c>
      <x:c r="H774" s="10" t="n">
        <x:v>3</x:v>
      </x:c>
      <x:c r="I774" s="19" t="n">
        <x:v>0.4</x:v>
      </x:c>
      <x:c r="J774" s="19" t="n">
        <x:v>0.2</x:v>
      </x:c>
      <x:c r="K774" s="19" t="n">
        <x:v>0.25</x:v>
      </x:c>
    </x:row>
    <x:row r="775" ht="23" customHeight="1">
      <x:c r="A775" s="2" t="str">
        <x:v>D040_T07_C020_G025</x:v>
      </x:c>
      <x:c r="B775" s="2" t="str">
        <x:v>A0020</x:v>
      </x:c>
      <x:c r="C775" s="10" t="n">
        <x:v>7</x:v>
      </x:c>
      <x:c r="D775" s="10"/>
      <x:c r="E775" s="10" t="n">
        <x:v>3</x:v>
      </x:c>
      <x:c r="F775" s="10" t="n">
        <x:v>0</x:v>
      </x:c>
      <x:c r="G775" s="10" t="n">
        <x:f>MIN(E775,3)</x:f>
        <x:v>3</x:v>
      </x:c>
      <x:c r="H775" s="10" t="n">
        <x:v>3</x:v>
      </x:c>
      <x:c r="I775" s="19" t="n">
        <x:v>0.4</x:v>
      </x:c>
      <x:c r="J775" s="19" t="n">
        <x:v>0.2</x:v>
      </x:c>
      <x:c r="K775" s="19" t="n">
        <x:v>0.25</x:v>
      </x:c>
    </x:row>
    <x:row r="776" ht="23" customHeight="1">
      <x:c r="A776" s="2" t="str">
        <x:v>D040_T07_C020_G025</x:v>
      </x:c>
      <x:c r="B776" s="2" t="str">
        <x:v>A0022</x:v>
      </x:c>
      <x:c r="C776" s="10" t="n">
        <x:v>7</x:v>
      </x:c>
      <x:c r="D776" s="10"/>
      <x:c r="E776" s="10" t="n">
        <x:v>3</x:v>
      </x:c>
      <x:c r="F776" s="10" t="n">
        <x:v>0</x:v>
      </x:c>
      <x:c r="G776" s="10" t="n">
        <x:f>MIN(E776,3)</x:f>
        <x:v>3</x:v>
      </x:c>
      <x:c r="H776" s="10" t="n">
        <x:v>3</x:v>
      </x:c>
      <x:c r="I776" s="19" t="n">
        <x:v>0.4</x:v>
      </x:c>
      <x:c r="J776" s="19" t="n">
        <x:v>0.2</x:v>
      </x:c>
      <x:c r="K776" s="19" t="n">
        <x:v>0.25</x:v>
      </x:c>
    </x:row>
    <x:row r="777" ht="23" customHeight="1">
      <x:c r="A777" s="2" t="str">
        <x:v>D040_T07_C020_G025</x:v>
      </x:c>
      <x:c r="B777" s="2" t="str">
        <x:v>A0023</x:v>
      </x:c>
      <x:c r="C777" s="10" t="n">
        <x:v>7</x:v>
      </x:c>
      <x:c r="D777" s="10" t="n">
        <x:v>9</x:v>
      </x:c>
      <x:c r="E777" s="10" t="n">
        <x:v>2</x:v>
      </x:c>
      <x:c r="F777" s="10" t="n">
        <x:v>1</x:v>
      </x:c>
      <x:c r="G777" s="10" t="n">
        <x:f>MIN(E777,3)</x:f>
        <x:v>2</x:v>
      </x:c>
      <x:c r="H777" s="10" t="n">
        <x:v>3</x:v>
      </x:c>
      <x:c r="I777" s="19" t="n">
        <x:v>0.4</x:v>
      </x:c>
      <x:c r="J777" s="19" t="n">
        <x:v>0.2</x:v>
      </x:c>
      <x:c r="K777" s="19" t="n">
        <x:v>0.25</x:v>
      </x:c>
    </x:row>
    <x:row r="778" ht="23" customHeight="1">
      <x:c r="A778" s="2" t="str">
        <x:v>D040_T07_C020_G025</x:v>
      </x:c>
      <x:c r="B778" s="2" t="str">
        <x:v>A0024</x:v>
      </x:c>
      <x:c r="C778" s="10" t="n">
        <x:v>7</x:v>
      </x:c>
      <x:c r="D778" s="10"/>
      <x:c r="E778" s="10" t="n">
        <x:v>3</x:v>
      </x:c>
      <x:c r="F778" s="10" t="n">
        <x:v>0</x:v>
      </x:c>
      <x:c r="G778" s="10" t="n">
        <x:f>MIN(E778,3)</x:f>
        <x:v>3</x:v>
      </x:c>
      <x:c r="H778" s="10" t="n">
        <x:v>3</x:v>
      </x:c>
      <x:c r="I778" s="19" t="n">
        <x:v>0.4</x:v>
      </x:c>
      <x:c r="J778" s="19" t="n">
        <x:v>0.2</x:v>
      </x:c>
      <x:c r="K778" s="19" t="n">
        <x:v>0.25</x:v>
      </x:c>
    </x:row>
    <x:row r="779" ht="23" customHeight="1">
      <x:c r="A779" s="2" t="str">
        <x:v>D040_T07_C020_G025</x:v>
      </x:c>
      <x:c r="B779" s="2" t="str">
        <x:v>A0025</x:v>
      </x:c>
      <x:c r="C779" s="10" t="n">
        <x:v>7</x:v>
      </x:c>
      <x:c r="D779" s="10"/>
      <x:c r="E779" s="10" t="n">
        <x:v>3</x:v>
      </x:c>
      <x:c r="F779" s="10" t="n">
        <x:v>0</x:v>
      </x:c>
      <x:c r="G779" s="10" t="n">
        <x:f>MIN(E779,3)</x:f>
        <x:v>3</x:v>
      </x:c>
      <x:c r="H779" s="10" t="n">
        <x:v>3</x:v>
      </x:c>
      <x:c r="I779" s="19" t="n">
        <x:v>0.4</x:v>
      </x:c>
      <x:c r="J779" s="19" t="n">
        <x:v>0.2</x:v>
      </x:c>
      <x:c r="K779" s="19" t="n">
        <x:v>0.25</x:v>
      </x:c>
    </x:row>
    <x:row r="780" ht="23" customHeight="1">
      <x:c r="A780" s="2" t="str">
        <x:v>D040_T07_C020_G025</x:v>
      </x:c>
      <x:c r="B780" s="2" t="str">
        <x:v>A0026</x:v>
      </x:c>
      <x:c r="C780" s="10" t="n">
        <x:v>7</x:v>
      </x:c>
      <x:c r="D780" s="10"/>
      <x:c r="E780" s="10" t="n">
        <x:v>3</x:v>
      </x:c>
      <x:c r="F780" s="10" t="n">
        <x:v>0</x:v>
      </x:c>
      <x:c r="G780" s="10" t="n">
        <x:f>MIN(E780,3)</x:f>
        <x:v>3</x:v>
      </x:c>
      <x:c r="H780" s="10" t="n">
        <x:v>3</x:v>
      </x:c>
      <x:c r="I780" s="19" t="n">
        <x:v>0.4</x:v>
      </x:c>
      <x:c r="J780" s="19" t="n">
        <x:v>0.2</x:v>
      </x:c>
      <x:c r="K780" s="19" t="n">
        <x:v>0.25</x:v>
      </x:c>
    </x:row>
    <x:row r="781" ht="23" customHeight="1">
      <x:c r="A781" s="2" t="str">
        <x:v>D040_T07_C020_G025</x:v>
      </x:c>
      <x:c r="B781" s="2" t="str">
        <x:v>A0027</x:v>
      </x:c>
      <x:c r="C781" s="10" t="n">
        <x:v>7</x:v>
      </x:c>
      <x:c r="D781" s="10"/>
      <x:c r="E781" s="10" t="n">
        <x:v>3</x:v>
      </x:c>
      <x:c r="F781" s="10" t="n">
        <x:v>0</x:v>
      </x:c>
      <x:c r="G781" s="10" t="n">
        <x:f>MIN(E781,3)</x:f>
        <x:v>3</x:v>
      </x:c>
      <x:c r="H781" s="10" t="n">
        <x:v>3</x:v>
      </x:c>
      <x:c r="I781" s="19" t="n">
        <x:v>0.4</x:v>
      </x:c>
      <x:c r="J781" s="19" t="n">
        <x:v>0.2</x:v>
      </x:c>
      <x:c r="K781" s="19" t="n">
        <x:v>0.25</x:v>
      </x:c>
    </x:row>
    <x:row r="782" ht="23" customHeight="1">
      <x:c r="A782" s="2" t="str">
        <x:v>D040_T07_C020_G025</x:v>
      </x:c>
      <x:c r="B782" s="2" t="str">
        <x:v>A0029</x:v>
      </x:c>
      <x:c r="C782" s="10" t="n">
        <x:v>7</x:v>
      </x:c>
      <x:c r="D782" s="10"/>
      <x:c r="E782" s="10" t="n">
        <x:v>3</x:v>
      </x:c>
      <x:c r="F782" s="10" t="n">
        <x:v>0</x:v>
      </x:c>
      <x:c r="G782" s="10" t="n">
        <x:f>MIN(E782,3)</x:f>
        <x:v>3</x:v>
      </x:c>
      <x:c r="H782" s="10" t="n">
        <x:v>3</x:v>
      </x:c>
      <x:c r="I782" s="19" t="n">
        <x:v>0.4</x:v>
      </x:c>
      <x:c r="J782" s="19" t="n">
        <x:v>0.2</x:v>
      </x:c>
      <x:c r="K782" s="19" t="n">
        <x:v>0.25</x:v>
      </x:c>
    </x:row>
    <x:row r="783" ht="23" customHeight="1">
      <x:c r="A783" s="2" t="str">
        <x:v>D040_T07_C020_G025</x:v>
      </x:c>
      <x:c r="B783" s="2" t="str">
        <x:v>A0030</x:v>
      </x:c>
      <x:c r="C783" s="10" t="n">
        <x:v>7</x:v>
      </x:c>
      <x:c r="D783" s="10"/>
      <x:c r="E783" s="10" t="n">
        <x:v>3</x:v>
      </x:c>
      <x:c r="F783" s="10" t="n">
        <x:v>0</x:v>
      </x:c>
      <x:c r="G783" s="10" t="n">
        <x:f>MIN(E783,3)</x:f>
        <x:v>3</x:v>
      </x:c>
      <x:c r="H783" s="10" t="n">
        <x:v>3</x:v>
      </x:c>
      <x:c r="I783" s="19" t="n">
        <x:v>0.4</x:v>
      </x:c>
      <x:c r="J783" s="19" t="n">
        <x:v>0.2</x:v>
      </x:c>
      <x:c r="K783" s="19" t="n">
        <x:v>0.25</x:v>
      </x:c>
    </x:row>
    <x:row r="784" ht="23" customHeight="1">
      <x:c r="A784" s="2" t="str">
        <x:v>D040_T07_C020_G025</x:v>
      </x:c>
      <x:c r="B784" s="2" t="str">
        <x:v>A0031</x:v>
      </x:c>
      <x:c r="C784" s="10" t="n">
        <x:v>7</x:v>
      </x:c>
      <x:c r="D784" s="10" t="n">
        <x:v>9</x:v>
      </x:c>
      <x:c r="E784" s="10" t="n">
        <x:v>2</x:v>
      </x:c>
      <x:c r="F784" s="10" t="n">
        <x:v>1</x:v>
      </x:c>
      <x:c r="G784" s="10" t="n">
        <x:f>MIN(E784,3)</x:f>
        <x:v>2</x:v>
      </x:c>
      <x:c r="H784" s="10" t="n">
        <x:v>3</x:v>
      </x:c>
      <x:c r="I784" s="19" t="n">
        <x:v>0.4</x:v>
      </x:c>
      <x:c r="J784" s="19" t="n">
        <x:v>0.2</x:v>
      </x:c>
      <x:c r="K784" s="19" t="n">
        <x:v>0.25</x:v>
      </x:c>
    </x:row>
    <x:row r="785" ht="23" customHeight="1">
      <x:c r="A785" s="2" t="str">
        <x:v>D040_T07_C020_G025</x:v>
      </x:c>
      <x:c r="B785" s="2" t="str">
        <x:v>A0032</x:v>
      </x:c>
      <x:c r="C785" s="10" t="n">
        <x:v>7</x:v>
      </x:c>
      <x:c r="D785" s="10"/>
      <x:c r="E785" s="10" t="n">
        <x:v>3</x:v>
      </x:c>
      <x:c r="F785" s="10" t="n">
        <x:v>0</x:v>
      </x:c>
      <x:c r="G785" s="10" t="n">
        <x:f>MIN(E785,3)</x:f>
        <x:v>3</x:v>
      </x:c>
      <x:c r="H785" s="10" t="n">
        <x:v>3</x:v>
      </x:c>
      <x:c r="I785" s="19" t="n">
        <x:v>0.4</x:v>
      </x:c>
      <x:c r="J785" s="19" t="n">
        <x:v>0.2</x:v>
      </x:c>
      <x:c r="K785" s="19" t="n">
        <x:v>0.25</x:v>
      </x:c>
    </x:row>
    <x:row r="786" ht="23" customHeight="1">
      <x:c r="A786" s="2" t="str">
        <x:v>D040_T07_C020_G025</x:v>
      </x:c>
      <x:c r="B786" s="2" t="str">
        <x:v>A0033</x:v>
      </x:c>
      <x:c r="C786" s="10" t="n">
        <x:v>7</x:v>
      </x:c>
      <x:c r="D786" s="10"/>
      <x:c r="E786" s="10" t="n">
        <x:v>3</x:v>
      </x:c>
      <x:c r="F786" s="10" t="n">
        <x:v>0</x:v>
      </x:c>
      <x:c r="G786" s="10" t="n">
        <x:f>MIN(E786,3)</x:f>
        <x:v>3</x:v>
      </x:c>
      <x:c r="H786" s="10" t="n">
        <x:v>3</x:v>
      </x:c>
      <x:c r="I786" s="19" t="n">
        <x:v>0.4</x:v>
      </x:c>
      <x:c r="J786" s="19" t="n">
        <x:v>0.2</x:v>
      </x:c>
      <x:c r="K786" s="19" t="n">
        <x:v>0.25</x:v>
      </x:c>
    </x:row>
    <x:row r="787" ht="23" customHeight="1">
      <x:c r="A787" s="2" t="str">
        <x:v>D040_T07_C020_G025</x:v>
      </x:c>
      <x:c r="B787" s="2" t="str">
        <x:v>A0035</x:v>
      </x:c>
      <x:c r="C787" s="10" t="n">
        <x:v>7</x:v>
      </x:c>
      <x:c r="D787" s="10"/>
      <x:c r="E787" s="10" t="n">
        <x:v>3</x:v>
      </x:c>
      <x:c r="F787" s="10" t="n">
        <x:v>0</x:v>
      </x:c>
      <x:c r="G787" s="10" t="n">
        <x:f>MIN(E787,3)</x:f>
        <x:v>3</x:v>
      </x:c>
      <x:c r="H787" s="10" t="n">
        <x:v>3</x:v>
      </x:c>
      <x:c r="I787" s="19" t="n">
        <x:v>0.4</x:v>
      </x:c>
      <x:c r="J787" s="19" t="n">
        <x:v>0.2</x:v>
      </x:c>
      <x:c r="K787" s="19" t="n">
        <x:v>0.25</x:v>
      </x:c>
    </x:row>
    <x:row r="788" ht="23" customHeight="1">
      <x:c r="A788" s="2" t="str">
        <x:v>D040_T07_C020_G025</x:v>
      </x:c>
      <x:c r="B788" s="2" t="str">
        <x:v>A0036</x:v>
      </x:c>
      <x:c r="C788" s="10" t="n">
        <x:v>7</x:v>
      </x:c>
      <x:c r="D788" s="10"/>
      <x:c r="E788" s="10" t="n">
        <x:v>3</x:v>
      </x:c>
      <x:c r="F788" s="10" t="n">
        <x:v>0</x:v>
      </x:c>
      <x:c r="G788" s="10" t="n">
        <x:f>MIN(E788,3)</x:f>
        <x:v>3</x:v>
      </x:c>
      <x:c r="H788" s="10" t="n">
        <x:v>3</x:v>
      </x:c>
      <x:c r="I788" s="19" t="n">
        <x:v>0.4</x:v>
      </x:c>
      <x:c r="J788" s="19" t="n">
        <x:v>0.2</x:v>
      </x:c>
      <x:c r="K788" s="19" t="n">
        <x:v>0.25</x:v>
      </x:c>
    </x:row>
    <x:row r="789" ht="23" customHeight="1">
      <x:c r="A789" s="2" t="str">
        <x:v>D040_T07_C020_G025</x:v>
      </x:c>
      <x:c r="B789" s="2" t="str">
        <x:v>A0037</x:v>
      </x:c>
      <x:c r="C789" s="10" t="n">
        <x:v>7</x:v>
      </x:c>
      <x:c r="D789" s="10"/>
      <x:c r="E789" s="10" t="n">
        <x:v>3</x:v>
      </x:c>
      <x:c r="F789" s="10" t="n">
        <x:v>0</x:v>
      </x:c>
      <x:c r="G789" s="10" t="n">
        <x:f>MIN(E789,3)</x:f>
        <x:v>3</x:v>
      </x:c>
      <x:c r="H789" s="10" t="n">
        <x:v>3</x:v>
      </x:c>
      <x:c r="I789" s="19" t="n">
        <x:v>0.4</x:v>
      </x:c>
      <x:c r="J789" s="19" t="n">
        <x:v>0.2</x:v>
      </x:c>
      <x:c r="K789" s="19" t="n">
        <x:v>0.25</x:v>
      </x:c>
    </x:row>
    <x:row r="790" ht="23" customHeight="1">
      <x:c r="A790" s="2" t="str">
        <x:v>D040_T07_C020_G025</x:v>
      </x:c>
      <x:c r="B790" s="2" t="str">
        <x:v>A0038</x:v>
      </x:c>
      <x:c r="C790" s="10" t="n">
        <x:v>7</x:v>
      </x:c>
      <x:c r="D790" s="10"/>
      <x:c r="E790" s="10" t="n">
        <x:v>3</x:v>
      </x:c>
      <x:c r="F790" s="10" t="n">
        <x:v>0</x:v>
      </x:c>
      <x:c r="G790" s="10" t="n">
        <x:f>MIN(E790,3)</x:f>
        <x:v>3</x:v>
      </x:c>
      <x:c r="H790" s="10" t="n">
        <x:v>3</x:v>
      </x:c>
      <x:c r="I790" s="19" t="n">
        <x:v>0.4</x:v>
      </x:c>
      <x:c r="J790" s="19" t="n">
        <x:v>0.2</x:v>
      </x:c>
      <x:c r="K790" s="19" t="n">
        <x:v>0.25</x:v>
      </x:c>
    </x:row>
    <x:row r="791" ht="23" customHeight="1">
      <x:c r="A791" s="2" t="str">
        <x:v>D040_T07_C020_G025</x:v>
      </x:c>
      <x:c r="B791" s="2" t="str">
        <x:v>A0039</x:v>
      </x:c>
      <x:c r="C791" s="10" t="n">
        <x:v>7</x:v>
      </x:c>
      <x:c r="D791" s="10" t="n">
        <x:v>10</x:v>
      </x:c>
      <x:c r="E791" s="10" t="n">
        <x:v>3</x:v>
      </x:c>
      <x:c r="F791" s="10" t="n">
        <x:v>1</x:v>
      </x:c>
      <x:c r="G791" s="10" t="n">
        <x:f>MIN(E791,3)</x:f>
        <x:v>3</x:v>
      </x:c>
      <x:c r="H791" s="10" t="n">
        <x:v>3</x:v>
      </x:c>
      <x:c r="I791" s="19" t="n">
        <x:v>0.4</x:v>
      </x:c>
      <x:c r="J791" s="19" t="n">
        <x:v>0.2</x:v>
      </x:c>
      <x:c r="K791" s="19" t="n">
        <x:v>0.25</x:v>
      </x:c>
    </x:row>
    <x:row r="792" ht="23" customHeight="1">
      <x:c r="A792" s="2" t="str">
        <x:v>D040_T07_C020_G025</x:v>
      </x:c>
      <x:c r="B792" s="2" t="str">
        <x:v>A0040</x:v>
      </x:c>
      <x:c r="C792" s="10" t="n">
        <x:v>7</x:v>
      </x:c>
      <x:c r="D792" s="10"/>
      <x:c r="E792" s="10" t="n">
        <x:v>3</x:v>
      </x:c>
      <x:c r="F792" s="10" t="n">
        <x:v>0</x:v>
      </x:c>
      <x:c r="G792" s="10" t="n">
        <x:f>MIN(E792,3)</x:f>
        <x:v>3</x:v>
      </x:c>
      <x:c r="H792" s="10" t="n">
        <x:v>3</x:v>
      </x:c>
      <x:c r="I792" s="19" t="n">
        <x:v>0.4</x:v>
      </x:c>
      <x:c r="J792" s="19" t="n">
        <x:v>0.2</x:v>
      </x:c>
      <x:c r="K792" s="19" t="n">
        <x:v>0.25</x:v>
      </x:c>
    </x:row>
    <x:row r="793" ht="23" customHeight="1">
      <x:c r="A793" s="2" t="str">
        <x:v>D040_T07_C020_G025</x:v>
      </x:c>
      <x:c r="B793" s="2" t="str">
        <x:v>A0041</x:v>
      </x:c>
      <x:c r="C793" s="10" t="n">
        <x:v>7</x:v>
      </x:c>
      <x:c r="D793" s="10"/>
      <x:c r="E793" s="10" t="n">
        <x:v>3</x:v>
      </x:c>
      <x:c r="F793" s="10" t="n">
        <x:v>0</x:v>
      </x:c>
      <x:c r="G793" s="10" t="n">
        <x:f>MIN(E793,3)</x:f>
        <x:v>3</x:v>
      </x:c>
      <x:c r="H793" s="10" t="n">
        <x:v>3</x:v>
      </x:c>
      <x:c r="I793" s="19" t="n">
        <x:v>0.4</x:v>
      </x:c>
      <x:c r="J793" s="19" t="n">
        <x:v>0.2</x:v>
      </x:c>
      <x:c r="K793" s="19" t="n">
        <x:v>0.25</x:v>
      </x:c>
    </x:row>
    <x:row r="794" ht="23" customHeight="1">
      <x:c r="A794" s="2" t="str">
        <x:v>D040_T07_C020_G025</x:v>
      </x:c>
      <x:c r="B794" s="2" t="str">
        <x:v>A0071</x:v>
      </x:c>
      <x:c r="C794" s="10" t="n">
        <x:v>7</x:v>
      </x:c>
      <x:c r="D794" s="10"/>
      <x:c r="E794" s="10" t="n">
        <x:v>3</x:v>
      </x:c>
      <x:c r="F794" s="10" t="n">
        <x:v>0</x:v>
      </x:c>
      <x:c r="G794" s="10" t="n">
        <x:f>MIN(E794,3)</x:f>
        <x:v>3</x:v>
      </x:c>
      <x:c r="H794" s="10" t="n">
        <x:v>3</x:v>
      </x:c>
      <x:c r="I794" s="19" t="n">
        <x:v>0.4</x:v>
      </x:c>
      <x:c r="J794" s="19" t="n">
        <x:v>0.2</x:v>
      </x:c>
      <x:c r="K794" s="19" t="n">
        <x:v>0.25</x:v>
      </x:c>
    </x:row>
    <x:row r="795" ht="23" customHeight="1">
      <x:c r="A795" s="2" t="str">
        <x:v>D040_T07_C020_G025</x:v>
      </x:c>
      <x:c r="B795" s="2" t="str">
        <x:v>A0090</x:v>
      </x:c>
      <x:c r="C795" s="10" t="n">
        <x:v>7</x:v>
      </x:c>
      <x:c r="D795" s="10"/>
      <x:c r="E795" s="10" t="n">
        <x:v>3</x:v>
      </x:c>
      <x:c r="F795" s="10" t="n">
        <x:v>0</x:v>
      </x:c>
      <x:c r="G795" s="10" t="n">
        <x:f>MIN(E795,3)</x:f>
        <x:v>3</x:v>
      </x:c>
      <x:c r="H795" s="10" t="n">
        <x:v>3</x:v>
      </x:c>
      <x:c r="I795" s="19" t="n">
        <x:v>0.4</x:v>
      </x:c>
      <x:c r="J795" s="19" t="n">
        <x:v>0.2</x:v>
      </x:c>
      <x:c r="K795" s="19" t="n">
        <x:v>0.25</x:v>
      </x:c>
    </x:row>
    <x:row r="796" ht="23" customHeight="1">
      <x:c r="A796" s="2" t="str">
        <x:v>D040_T07_C020_G025</x:v>
      </x:c>
      <x:c r="B796" s="2" t="str">
        <x:v>A0206</x:v>
      </x:c>
      <x:c r="C796" s="10" t="n">
        <x:v>7</x:v>
      </x:c>
      <x:c r="D796" s="10" t="n">
        <x:v>8</x:v>
      </x:c>
      <x:c r="E796" s="10" t="n">
        <x:v>1</x:v>
      </x:c>
      <x:c r="F796" s="10" t="n">
        <x:v>1</x:v>
      </x:c>
      <x:c r="G796" s="10" t="n">
        <x:f>MIN(E796,3)</x:f>
        <x:v>1</x:v>
      </x:c>
      <x:c r="H796" s="10" t="n">
        <x:v>3</x:v>
      </x:c>
      <x:c r="I796" s="19" t="n">
        <x:v>0.4</x:v>
      </x:c>
      <x:c r="J796" s="19" t="n">
        <x:v>0.2</x:v>
      </x:c>
      <x:c r="K796" s="19" t="n">
        <x:v>0.25</x:v>
      </x:c>
    </x:row>
    <x:row r="797" ht="23" customHeight="1">
      <x:c r="A797" s="2" t="str">
        <x:v>D040_T07_C020_G050</x:v>
      </x:c>
      <x:c r="B797" s="2" t="str">
        <x:v>A0001</x:v>
      </x:c>
      <x:c r="C797" s="10" t="n">
        <x:v>7</x:v>
      </x:c>
      <x:c r="D797" s="10" t="n">
        <x:v>8</x:v>
      </x:c>
      <x:c r="E797" s="10" t="n">
        <x:v>1</x:v>
      </x:c>
      <x:c r="F797" s="10" t="n">
        <x:v>1</x:v>
      </x:c>
      <x:c r="G797" s="10" t="n">
        <x:f>MIN(E797,3)</x:f>
        <x:v>1</x:v>
      </x:c>
      <x:c r="H797" s="10" t="n">
        <x:v>3</x:v>
      </x:c>
      <x:c r="I797" s="19" t="n">
        <x:v>0.4</x:v>
      </x:c>
      <x:c r="J797" s="19" t="n">
        <x:v>0.2</x:v>
      </x:c>
      <x:c r="K797" s="19" t="n">
        <x:v>0.5</x:v>
      </x:c>
    </x:row>
    <x:row r="798" ht="23" customHeight="1">
      <x:c r="A798" s="2" t="str">
        <x:v>D040_T07_C020_G050</x:v>
      </x:c>
      <x:c r="B798" s="2" t="str">
        <x:v>A0005</x:v>
      </x:c>
      <x:c r="C798" s="10" t="n">
        <x:v>7</x:v>
      </x:c>
      <x:c r="D798" s="10"/>
      <x:c r="E798" s="10" t="n">
        <x:v>3</x:v>
      </x:c>
      <x:c r="F798" s="10" t="n">
        <x:v>0</x:v>
      </x:c>
      <x:c r="G798" s="10" t="n">
        <x:f>MIN(E798,3)</x:f>
        <x:v>3</x:v>
      </x:c>
      <x:c r="H798" s="10" t="n">
        <x:v>3</x:v>
      </x:c>
      <x:c r="I798" s="19" t="n">
        <x:v>0.4</x:v>
      </x:c>
      <x:c r="J798" s="19" t="n">
        <x:v>0.2</x:v>
      </x:c>
      <x:c r="K798" s="19" t="n">
        <x:v>0.5</x:v>
      </x:c>
    </x:row>
    <x:row r="799" ht="23" customHeight="1">
      <x:c r="A799" s="2" t="str">
        <x:v>D040_T07_C020_G050</x:v>
      </x:c>
      <x:c r="B799" s="2" t="str">
        <x:v>A0006</x:v>
      </x:c>
      <x:c r="C799" s="10" t="n">
        <x:v>7</x:v>
      </x:c>
      <x:c r="D799" s="10"/>
      <x:c r="E799" s="10" t="n">
        <x:v>3</x:v>
      </x:c>
      <x:c r="F799" s="10" t="n">
        <x:v>0</x:v>
      </x:c>
      <x:c r="G799" s="10" t="n">
        <x:f>MIN(E799,3)</x:f>
        <x:v>3</x:v>
      </x:c>
      <x:c r="H799" s="10" t="n">
        <x:v>3</x:v>
      </x:c>
      <x:c r="I799" s="19" t="n">
        <x:v>0.4</x:v>
      </x:c>
      <x:c r="J799" s="19" t="n">
        <x:v>0.2</x:v>
      </x:c>
      <x:c r="K799" s="19" t="n">
        <x:v>0.5</x:v>
      </x:c>
    </x:row>
    <x:row r="800" ht="23" customHeight="1">
      <x:c r="A800" s="2" t="str">
        <x:v>D040_T07_C020_G050</x:v>
      </x:c>
      <x:c r="B800" s="2" t="str">
        <x:v>A0009</x:v>
      </x:c>
      <x:c r="C800" s="10" t="n">
        <x:v>7</x:v>
      </x:c>
      <x:c r="D800" s="10" t="n">
        <x:v>9</x:v>
      </x:c>
      <x:c r="E800" s="10" t="n">
        <x:v>2</x:v>
      </x:c>
      <x:c r="F800" s="10" t="n">
        <x:v>1</x:v>
      </x:c>
      <x:c r="G800" s="10" t="n">
        <x:f>MIN(E800,3)</x:f>
        <x:v>2</x:v>
      </x:c>
      <x:c r="H800" s="10" t="n">
        <x:v>3</x:v>
      </x:c>
      <x:c r="I800" s="19" t="n">
        <x:v>0.4</x:v>
      </x:c>
      <x:c r="J800" s="19" t="n">
        <x:v>0.2</x:v>
      </x:c>
      <x:c r="K800" s="19" t="n">
        <x:v>0.5</x:v>
      </x:c>
    </x:row>
    <x:row r="801" ht="23" customHeight="1">
      <x:c r="A801" s="2" t="str">
        <x:v>D040_T07_C020_G050</x:v>
      </x:c>
      <x:c r="B801" s="2" t="str">
        <x:v>A0011</x:v>
      </x:c>
      <x:c r="C801" s="10" t="n">
        <x:v>7</x:v>
      </x:c>
      <x:c r="D801" s="10" t="n">
        <x:v>10</x:v>
      </x:c>
      <x:c r="E801" s="10" t="n">
        <x:v>3</x:v>
      </x:c>
      <x:c r="F801" s="10" t="n">
        <x:v>1</x:v>
      </x:c>
      <x:c r="G801" s="10" t="n">
        <x:f>MIN(E801,3)</x:f>
        <x:v>3</x:v>
      </x:c>
      <x:c r="H801" s="10" t="n">
        <x:v>3</x:v>
      </x:c>
      <x:c r="I801" s="19" t="n">
        <x:v>0.4</x:v>
      </x:c>
      <x:c r="J801" s="19" t="n">
        <x:v>0.2</x:v>
      </x:c>
      <x:c r="K801" s="19" t="n">
        <x:v>0.5</x:v>
      </x:c>
    </x:row>
    <x:row r="802" ht="23" customHeight="1">
      <x:c r="A802" s="2" t="str">
        <x:v>D040_T07_C020_G050</x:v>
      </x:c>
      <x:c r="B802" s="2" t="str">
        <x:v>A0012</x:v>
      </x:c>
      <x:c r="C802" s="10" t="n">
        <x:v>7</x:v>
      </x:c>
      <x:c r="D802" s="10"/>
      <x:c r="E802" s="10" t="n">
        <x:v>3</x:v>
      </x:c>
      <x:c r="F802" s="10" t="n">
        <x:v>0</x:v>
      </x:c>
      <x:c r="G802" s="10" t="n">
        <x:f>MIN(E802,3)</x:f>
        <x:v>3</x:v>
      </x:c>
      <x:c r="H802" s="10" t="n">
        <x:v>3</x:v>
      </x:c>
      <x:c r="I802" s="19" t="n">
        <x:v>0.4</x:v>
      </x:c>
      <x:c r="J802" s="19" t="n">
        <x:v>0.2</x:v>
      </x:c>
      <x:c r="K802" s="19" t="n">
        <x:v>0.5</x:v>
      </x:c>
    </x:row>
    <x:row r="803" ht="23" customHeight="1">
      <x:c r="A803" s="2" t="str">
        <x:v>D040_T07_C020_G050</x:v>
      </x:c>
      <x:c r="B803" s="2" t="str">
        <x:v>A0013</x:v>
      </x:c>
      <x:c r="C803" s="10" t="n">
        <x:v>7</x:v>
      </x:c>
      <x:c r="D803" s="10" t="n">
        <x:v>8</x:v>
      </x:c>
      <x:c r="E803" s="10" t="n">
        <x:v>1</x:v>
      </x:c>
      <x:c r="F803" s="10" t="n">
        <x:v>1</x:v>
      </x:c>
      <x:c r="G803" s="10" t="n">
        <x:f>MIN(E803,3)</x:f>
        <x:v>1</x:v>
      </x:c>
      <x:c r="H803" s="10" t="n">
        <x:v>3</x:v>
      </x:c>
      <x:c r="I803" s="19" t="n">
        <x:v>0.4</x:v>
      </x:c>
      <x:c r="J803" s="19" t="n">
        <x:v>0.2</x:v>
      </x:c>
      <x:c r="K803" s="19" t="n">
        <x:v>0.5</x:v>
      </x:c>
    </x:row>
    <x:row r="804" ht="23" customHeight="1">
      <x:c r="A804" s="2" t="str">
        <x:v>D040_T07_C020_G050</x:v>
      </x:c>
      <x:c r="B804" s="2" t="str">
        <x:v>A0014</x:v>
      </x:c>
      <x:c r="C804" s="10" t="n">
        <x:v>7</x:v>
      </x:c>
      <x:c r="D804" s="10" t="n">
        <x:v>7</x:v>
      </x:c>
      <x:c r="E804" s="10" t="n">
        <x:v>0</x:v>
      </x:c>
      <x:c r="F804" s="10" t="n">
        <x:v>1</x:v>
      </x:c>
      <x:c r="G804" s="10" t="n">
        <x:f>MIN(E804,3)</x:f>
        <x:v>0</x:v>
      </x:c>
      <x:c r="H804" s="10" t="n">
        <x:v>3</x:v>
      </x:c>
      <x:c r="I804" s="19" t="n">
        <x:v>0.4</x:v>
      </x:c>
      <x:c r="J804" s="19" t="n">
        <x:v>0.2</x:v>
      </x:c>
      <x:c r="K804" s="19" t="n">
        <x:v>0.5</x:v>
      </x:c>
    </x:row>
    <x:row r="805" ht="23" customHeight="1">
      <x:c r="A805" s="2" t="str">
        <x:v>D040_T07_C020_G050</x:v>
      </x:c>
      <x:c r="B805" s="2" t="str">
        <x:v>A0017</x:v>
      </x:c>
      <x:c r="C805" s="10" t="n">
        <x:v>7</x:v>
      </x:c>
      <x:c r="D805" s="10" t="n">
        <x:v>9</x:v>
      </x:c>
      <x:c r="E805" s="10" t="n">
        <x:v>2</x:v>
      </x:c>
      <x:c r="F805" s="10" t="n">
        <x:v>1</x:v>
      </x:c>
      <x:c r="G805" s="10" t="n">
        <x:f>MIN(E805,3)</x:f>
        <x:v>2</x:v>
      </x:c>
      <x:c r="H805" s="10" t="n">
        <x:v>3</x:v>
      </x:c>
      <x:c r="I805" s="19" t="n">
        <x:v>0.4</x:v>
      </x:c>
      <x:c r="J805" s="19" t="n">
        <x:v>0.2</x:v>
      </x:c>
      <x:c r="K805" s="19" t="n">
        <x:v>0.5</x:v>
      </x:c>
    </x:row>
    <x:row r="806" ht="23" customHeight="1">
      <x:c r="A806" s="2" t="str">
        <x:v>D040_T07_C020_G050</x:v>
      </x:c>
      <x:c r="B806" s="2" t="str">
        <x:v>A0018</x:v>
      </x:c>
      <x:c r="C806" s="10" t="n">
        <x:v>7</x:v>
      </x:c>
      <x:c r="D806" s="10" t="n">
        <x:v>9</x:v>
      </x:c>
      <x:c r="E806" s="10" t="n">
        <x:v>2</x:v>
      </x:c>
      <x:c r="F806" s="10" t="n">
        <x:v>1</x:v>
      </x:c>
      <x:c r="G806" s="10" t="n">
        <x:f>MIN(E806,3)</x:f>
        <x:v>2</x:v>
      </x:c>
      <x:c r="H806" s="10" t="n">
        <x:v>3</x:v>
      </x:c>
      <x:c r="I806" s="19" t="n">
        <x:v>0.4</x:v>
      </x:c>
      <x:c r="J806" s="19" t="n">
        <x:v>0.2</x:v>
      </x:c>
      <x:c r="K806" s="19" t="n">
        <x:v>0.5</x:v>
      </x:c>
    </x:row>
    <x:row r="807" ht="23" customHeight="1">
      <x:c r="A807" s="2" t="str">
        <x:v>D040_T07_C020_G050</x:v>
      </x:c>
      <x:c r="B807" s="2" t="str">
        <x:v>A0019</x:v>
      </x:c>
      <x:c r="C807" s="10" t="n">
        <x:v>7</x:v>
      </x:c>
      <x:c r="D807" s="10"/>
      <x:c r="E807" s="10" t="n">
        <x:v>3</x:v>
      </x:c>
      <x:c r="F807" s="10" t="n">
        <x:v>0</x:v>
      </x:c>
      <x:c r="G807" s="10" t="n">
        <x:f>MIN(E807,3)</x:f>
        <x:v>3</x:v>
      </x:c>
      <x:c r="H807" s="10" t="n">
        <x:v>3</x:v>
      </x:c>
      <x:c r="I807" s="19" t="n">
        <x:v>0.4</x:v>
      </x:c>
      <x:c r="J807" s="19" t="n">
        <x:v>0.2</x:v>
      </x:c>
      <x:c r="K807" s="19" t="n">
        <x:v>0.5</x:v>
      </x:c>
    </x:row>
    <x:row r="808" ht="23" customHeight="1">
      <x:c r="A808" s="2" t="str">
        <x:v>D040_T07_C020_G050</x:v>
      </x:c>
      <x:c r="B808" s="2" t="str">
        <x:v>A0020</x:v>
      </x:c>
      <x:c r="C808" s="10" t="n">
        <x:v>7</x:v>
      </x:c>
      <x:c r="D808" s="10" t="n">
        <x:v>8</x:v>
      </x:c>
      <x:c r="E808" s="10" t="n">
        <x:v>1</x:v>
      </x:c>
      <x:c r="F808" s="10" t="n">
        <x:v>1</x:v>
      </x:c>
      <x:c r="G808" s="10" t="n">
        <x:f>MIN(E808,3)</x:f>
        <x:v>1</x:v>
      </x:c>
      <x:c r="H808" s="10" t="n">
        <x:v>3</x:v>
      </x:c>
      <x:c r="I808" s="19" t="n">
        <x:v>0.4</x:v>
      </x:c>
      <x:c r="J808" s="19" t="n">
        <x:v>0.2</x:v>
      </x:c>
      <x:c r="K808" s="19" t="n">
        <x:v>0.5</x:v>
      </x:c>
    </x:row>
    <x:row r="809" ht="23" customHeight="1">
      <x:c r="A809" s="2" t="str">
        <x:v>D040_T07_C020_G050</x:v>
      </x:c>
      <x:c r="B809" s="2" t="str">
        <x:v>A0023</x:v>
      </x:c>
      <x:c r="C809" s="10" t="n">
        <x:v>7</x:v>
      </x:c>
      <x:c r="D809" s="10" t="n">
        <x:v>10</x:v>
      </x:c>
      <x:c r="E809" s="10" t="n">
        <x:v>3</x:v>
      </x:c>
      <x:c r="F809" s="10" t="n">
        <x:v>1</x:v>
      </x:c>
      <x:c r="G809" s="10" t="n">
        <x:f>MIN(E809,3)</x:f>
        <x:v>3</x:v>
      </x:c>
      <x:c r="H809" s="10" t="n">
        <x:v>3</x:v>
      </x:c>
      <x:c r="I809" s="19" t="n">
        <x:v>0.4</x:v>
      </x:c>
      <x:c r="J809" s="19" t="n">
        <x:v>0.2</x:v>
      </x:c>
      <x:c r="K809" s="19" t="n">
        <x:v>0.5</x:v>
      </x:c>
    </x:row>
    <x:row r="810" ht="23" customHeight="1">
      <x:c r="A810" s="2" t="str">
        <x:v>D040_T07_C020_G050</x:v>
      </x:c>
      <x:c r="B810" s="2" t="str">
        <x:v>A0024</x:v>
      </x:c>
      <x:c r="C810" s="10" t="n">
        <x:v>7</x:v>
      </x:c>
      <x:c r="D810" s="10"/>
      <x:c r="E810" s="10" t="n">
        <x:v>3</x:v>
      </x:c>
      <x:c r="F810" s="10" t="n">
        <x:v>0</x:v>
      </x:c>
      <x:c r="G810" s="10" t="n">
        <x:f>MIN(E810,3)</x:f>
        <x:v>3</x:v>
      </x:c>
      <x:c r="H810" s="10" t="n">
        <x:v>3</x:v>
      </x:c>
      <x:c r="I810" s="19" t="n">
        <x:v>0.4</x:v>
      </x:c>
      <x:c r="J810" s="19" t="n">
        <x:v>0.2</x:v>
      </x:c>
      <x:c r="K810" s="19" t="n">
        <x:v>0.5</x:v>
      </x:c>
    </x:row>
    <x:row r="811" ht="23" customHeight="1">
      <x:c r="A811" s="2" t="str">
        <x:v>D040_T07_C020_G050</x:v>
      </x:c>
      <x:c r="B811" s="2" t="str">
        <x:v>A0025</x:v>
      </x:c>
      <x:c r="C811" s="10" t="n">
        <x:v>7</x:v>
      </x:c>
      <x:c r="D811" s="10" t="n">
        <x:v>7</x:v>
      </x:c>
      <x:c r="E811" s="10" t="n">
        <x:v>0</x:v>
      </x:c>
      <x:c r="F811" s="10" t="n">
        <x:v>1</x:v>
      </x:c>
      <x:c r="G811" s="10" t="n">
        <x:f>MIN(E811,3)</x:f>
        <x:v>0</x:v>
      </x:c>
      <x:c r="H811" s="10" t="n">
        <x:v>3</x:v>
      </x:c>
      <x:c r="I811" s="19" t="n">
        <x:v>0.4</x:v>
      </x:c>
      <x:c r="J811" s="19" t="n">
        <x:v>0.2</x:v>
      </x:c>
      <x:c r="K811" s="19" t="n">
        <x:v>0.5</x:v>
      </x:c>
    </x:row>
    <x:row r="812" ht="23" customHeight="1">
      <x:c r="A812" s="2" t="str">
        <x:v>D040_T07_C020_G050</x:v>
      </x:c>
      <x:c r="B812" s="2" t="str">
        <x:v>A0027</x:v>
      </x:c>
      <x:c r="C812" s="10" t="n">
        <x:v>7</x:v>
      </x:c>
      <x:c r="D812" s="10" t="n">
        <x:v>10</x:v>
      </x:c>
      <x:c r="E812" s="10" t="n">
        <x:v>3</x:v>
      </x:c>
      <x:c r="F812" s="10" t="n">
        <x:v>1</x:v>
      </x:c>
      <x:c r="G812" s="10" t="n">
        <x:f>MIN(E812,3)</x:f>
        <x:v>3</x:v>
      </x:c>
      <x:c r="H812" s="10" t="n">
        <x:v>3</x:v>
      </x:c>
      <x:c r="I812" s="19" t="n">
        <x:v>0.4</x:v>
      </x:c>
      <x:c r="J812" s="19" t="n">
        <x:v>0.2</x:v>
      </x:c>
      <x:c r="K812" s="19" t="n">
        <x:v>0.5</x:v>
      </x:c>
    </x:row>
    <x:row r="813" ht="23" customHeight="1">
      <x:c r="A813" s="2" t="str">
        <x:v>D040_T07_C020_G050</x:v>
      </x:c>
      <x:c r="B813" s="2" t="str">
        <x:v>A0029</x:v>
      </x:c>
      <x:c r="C813" s="10" t="n">
        <x:v>7</x:v>
      </x:c>
      <x:c r="D813" s="10" t="n">
        <x:v>8</x:v>
      </x:c>
      <x:c r="E813" s="10" t="n">
        <x:v>1</x:v>
      </x:c>
      <x:c r="F813" s="10" t="n">
        <x:v>1</x:v>
      </x:c>
      <x:c r="G813" s="10" t="n">
        <x:f>MIN(E813,3)</x:f>
        <x:v>1</x:v>
      </x:c>
      <x:c r="H813" s="10" t="n">
        <x:v>3</x:v>
      </x:c>
      <x:c r="I813" s="19" t="n">
        <x:v>0.4</x:v>
      </x:c>
      <x:c r="J813" s="19" t="n">
        <x:v>0.2</x:v>
      </x:c>
      <x:c r="K813" s="19" t="n">
        <x:v>0.5</x:v>
      </x:c>
    </x:row>
    <x:row r="814" ht="23" customHeight="1">
      <x:c r="A814" s="2" t="str">
        <x:v>D040_T07_C020_G050</x:v>
      </x:c>
      <x:c r="B814" s="2" t="str">
        <x:v>A0030</x:v>
      </x:c>
      <x:c r="C814" s="10" t="n">
        <x:v>7</x:v>
      </x:c>
      <x:c r="D814" s="10" t="n">
        <x:v>9</x:v>
      </x:c>
      <x:c r="E814" s="10" t="n">
        <x:v>2</x:v>
      </x:c>
      <x:c r="F814" s="10" t="n">
        <x:v>1</x:v>
      </x:c>
      <x:c r="G814" s="10" t="n">
        <x:f>MIN(E814,3)</x:f>
        <x:v>2</x:v>
      </x:c>
      <x:c r="H814" s="10" t="n">
        <x:v>3</x:v>
      </x:c>
      <x:c r="I814" s="19" t="n">
        <x:v>0.4</x:v>
      </x:c>
      <x:c r="J814" s="19" t="n">
        <x:v>0.2</x:v>
      </x:c>
      <x:c r="K814" s="19" t="n">
        <x:v>0.5</x:v>
      </x:c>
    </x:row>
    <x:row r="815" ht="23" customHeight="1">
      <x:c r="A815" s="2" t="str">
        <x:v>D040_T07_C020_G050</x:v>
      </x:c>
      <x:c r="B815" s="2" t="str">
        <x:v>A0032</x:v>
      </x:c>
      <x:c r="C815" s="10" t="n">
        <x:v>7</x:v>
      </x:c>
      <x:c r="D815" s="10" t="n">
        <x:v>7</x:v>
      </x:c>
      <x:c r="E815" s="10" t="n">
        <x:v>0</x:v>
      </x:c>
      <x:c r="F815" s="10" t="n">
        <x:v>1</x:v>
      </x:c>
      <x:c r="G815" s="10" t="n">
        <x:f>MIN(E815,3)</x:f>
        <x:v>0</x:v>
      </x:c>
      <x:c r="H815" s="10" t="n">
        <x:v>3</x:v>
      </x:c>
      <x:c r="I815" s="19" t="n">
        <x:v>0.4</x:v>
      </x:c>
      <x:c r="J815" s="19" t="n">
        <x:v>0.2</x:v>
      </x:c>
      <x:c r="K815" s="19" t="n">
        <x:v>0.5</x:v>
      </x:c>
    </x:row>
    <x:row r="816" ht="23" customHeight="1">
      <x:c r="A816" s="2" t="str">
        <x:v>D040_T07_C020_G050</x:v>
      </x:c>
      <x:c r="B816" s="2" t="str">
        <x:v>A0033</x:v>
      </x:c>
      <x:c r="C816" s="10" t="n">
        <x:v>7</x:v>
      </x:c>
      <x:c r="D816" s="10" t="n">
        <x:v>8</x:v>
      </x:c>
      <x:c r="E816" s="10" t="n">
        <x:v>1</x:v>
      </x:c>
      <x:c r="F816" s="10" t="n">
        <x:v>1</x:v>
      </x:c>
      <x:c r="G816" s="10" t="n">
        <x:f>MIN(E816,3)</x:f>
        <x:v>1</x:v>
      </x:c>
      <x:c r="H816" s="10" t="n">
        <x:v>3</x:v>
      </x:c>
      <x:c r="I816" s="19" t="n">
        <x:v>0.4</x:v>
      </x:c>
      <x:c r="J816" s="19" t="n">
        <x:v>0.2</x:v>
      </x:c>
      <x:c r="K816" s="19" t="n">
        <x:v>0.5</x:v>
      </x:c>
    </x:row>
    <x:row r="817" ht="23" customHeight="1">
      <x:c r="A817" s="2" t="str">
        <x:v>D040_T07_C020_G050</x:v>
      </x:c>
      <x:c r="B817" s="2" t="str">
        <x:v>A0036</x:v>
      </x:c>
      <x:c r="C817" s="10" t="n">
        <x:v>7</x:v>
      </x:c>
      <x:c r="D817" s="10" t="n">
        <x:v>9</x:v>
      </x:c>
      <x:c r="E817" s="10" t="n">
        <x:v>2</x:v>
      </x:c>
      <x:c r="F817" s="10" t="n">
        <x:v>1</x:v>
      </x:c>
      <x:c r="G817" s="10" t="n">
        <x:f>MIN(E817,3)</x:f>
        <x:v>2</x:v>
      </x:c>
      <x:c r="H817" s="10" t="n">
        <x:v>3</x:v>
      </x:c>
      <x:c r="I817" s="19" t="n">
        <x:v>0.4</x:v>
      </x:c>
      <x:c r="J817" s="19" t="n">
        <x:v>0.2</x:v>
      </x:c>
      <x:c r="K817" s="19" t="n">
        <x:v>0.5</x:v>
      </x:c>
    </x:row>
    <x:row r="818" ht="23" customHeight="1">
      <x:c r="A818" s="2" t="str">
        <x:v>D040_T07_C020_G050</x:v>
      </x:c>
      <x:c r="B818" s="2" t="str">
        <x:v>A0037</x:v>
      </x:c>
      <x:c r="C818" s="10" t="n">
        <x:v>7</x:v>
      </x:c>
      <x:c r="D818" s="10" t="n">
        <x:v>9</x:v>
      </x:c>
      <x:c r="E818" s="10" t="n">
        <x:v>2</x:v>
      </x:c>
      <x:c r="F818" s="10" t="n">
        <x:v>1</x:v>
      </x:c>
      <x:c r="G818" s="10" t="n">
        <x:f>MIN(E818,3)</x:f>
        <x:v>2</x:v>
      </x:c>
      <x:c r="H818" s="10" t="n">
        <x:v>3</x:v>
      </x:c>
      <x:c r="I818" s="19" t="n">
        <x:v>0.4</x:v>
      </x:c>
      <x:c r="J818" s="19" t="n">
        <x:v>0.2</x:v>
      </x:c>
      <x:c r="K818" s="19" t="n">
        <x:v>0.5</x:v>
      </x:c>
    </x:row>
    <x:row r="819" ht="23" customHeight="1">
      <x:c r="A819" s="2" t="str">
        <x:v>D040_T07_C020_G050</x:v>
      </x:c>
      <x:c r="B819" s="2" t="str">
        <x:v>A0038</x:v>
      </x:c>
      <x:c r="C819" s="10" t="n">
        <x:v>7</x:v>
      </x:c>
      <x:c r="D819" s="10"/>
      <x:c r="E819" s="10" t="n">
        <x:v>3</x:v>
      </x:c>
      <x:c r="F819" s="10" t="n">
        <x:v>0</x:v>
      </x:c>
      <x:c r="G819" s="10" t="n">
        <x:f>MIN(E819,3)</x:f>
        <x:v>3</x:v>
      </x:c>
      <x:c r="H819" s="10" t="n">
        <x:v>3</x:v>
      </x:c>
      <x:c r="I819" s="19" t="n">
        <x:v>0.4</x:v>
      </x:c>
      <x:c r="J819" s="19" t="n">
        <x:v>0.2</x:v>
      </x:c>
      <x:c r="K819" s="19" t="n">
        <x:v>0.5</x:v>
      </x:c>
    </x:row>
    <x:row r="820" ht="23" customHeight="1">
      <x:c r="A820" s="2" t="str">
        <x:v>D040_T07_C020_G050</x:v>
      </x:c>
      <x:c r="B820" s="2" t="str">
        <x:v>A0039</x:v>
      </x:c>
      <x:c r="C820" s="10" t="n">
        <x:v>7</x:v>
      </x:c>
      <x:c r="D820" s="10" t="n">
        <x:v>10</x:v>
      </x:c>
      <x:c r="E820" s="10" t="n">
        <x:v>3</x:v>
      </x:c>
      <x:c r="F820" s="10" t="n">
        <x:v>1</x:v>
      </x:c>
      <x:c r="G820" s="10" t="n">
        <x:f>MIN(E820,3)</x:f>
        <x:v>3</x:v>
      </x:c>
      <x:c r="H820" s="10" t="n">
        <x:v>3</x:v>
      </x:c>
      <x:c r="I820" s="19" t="n">
        <x:v>0.4</x:v>
      </x:c>
      <x:c r="J820" s="19" t="n">
        <x:v>0.2</x:v>
      </x:c>
      <x:c r="K820" s="19" t="n">
        <x:v>0.5</x:v>
      </x:c>
    </x:row>
    <x:row r="821" ht="23" customHeight="1">
      <x:c r="A821" s="2" t="str">
        <x:v>D040_T07_C020_G050</x:v>
      </x:c>
      <x:c r="B821" s="2" t="str">
        <x:v>A0040</x:v>
      </x:c>
      <x:c r="C821" s="10" t="n">
        <x:v>7</x:v>
      </x:c>
      <x:c r="D821" s="10" t="n">
        <x:v>9</x:v>
      </x:c>
      <x:c r="E821" s="10" t="n">
        <x:v>2</x:v>
      </x:c>
      <x:c r="F821" s="10" t="n">
        <x:v>1</x:v>
      </x:c>
      <x:c r="G821" s="10" t="n">
        <x:f>MIN(E821,3)</x:f>
        <x:v>2</x:v>
      </x:c>
      <x:c r="H821" s="10" t="n">
        <x:v>3</x:v>
      </x:c>
      <x:c r="I821" s="19" t="n">
        <x:v>0.4</x:v>
      </x:c>
      <x:c r="J821" s="19" t="n">
        <x:v>0.2</x:v>
      </x:c>
      <x:c r="K821" s="19" t="n">
        <x:v>0.5</x:v>
      </x:c>
    </x:row>
    <x:row r="822" ht="23" customHeight="1">
      <x:c r="A822" s="2" t="str">
        <x:v>D040_T07_C020_G050</x:v>
      </x:c>
      <x:c r="B822" s="2" t="str">
        <x:v>A0041</x:v>
      </x:c>
      <x:c r="C822" s="10" t="n">
        <x:v>7</x:v>
      </x:c>
      <x:c r="D822" s="10"/>
      <x:c r="E822" s="10" t="n">
        <x:v>3</x:v>
      </x:c>
      <x:c r="F822" s="10" t="n">
        <x:v>0</x:v>
      </x:c>
      <x:c r="G822" s="10" t="n">
        <x:f>MIN(E822,3)</x:f>
        <x:v>3</x:v>
      </x:c>
      <x:c r="H822" s="10" t="n">
        <x:v>3</x:v>
      </x:c>
      <x:c r="I822" s="19" t="n">
        <x:v>0.4</x:v>
      </x:c>
      <x:c r="J822" s="19" t="n">
        <x:v>0.2</x:v>
      </x:c>
      <x:c r="K822" s="19" t="n">
        <x:v>0.5</x:v>
      </x:c>
    </x:row>
    <x:row r="823" ht="23" customHeight="1">
      <x:c r="A823" s="2" t="str">
        <x:v>D040_T07_C020_G050</x:v>
      </x:c>
      <x:c r="B823" s="2" t="str">
        <x:v>A0042</x:v>
      </x:c>
      <x:c r="C823" s="10" t="n">
        <x:v>7</x:v>
      </x:c>
      <x:c r="D823" s="10" t="n">
        <x:v>8</x:v>
      </x:c>
      <x:c r="E823" s="10" t="n">
        <x:v>1</x:v>
      </x:c>
      <x:c r="F823" s="10" t="n">
        <x:v>1</x:v>
      </x:c>
      <x:c r="G823" s="10" t="n">
        <x:f>MIN(E823,3)</x:f>
        <x:v>1</x:v>
      </x:c>
      <x:c r="H823" s="10" t="n">
        <x:v>3</x:v>
      </x:c>
      <x:c r="I823" s="19" t="n">
        <x:v>0.4</x:v>
      </x:c>
      <x:c r="J823" s="19" t="n">
        <x:v>0.2</x:v>
      </x:c>
      <x:c r="K823" s="19" t="n">
        <x:v>0.5</x:v>
      </x:c>
    </x:row>
    <x:row r="824" ht="23" customHeight="1">
      <x:c r="A824" s="2" t="str">
        <x:v>D040_T07_C020_G050</x:v>
      </x:c>
      <x:c r="B824" s="2" t="str">
        <x:v>A0071</x:v>
      </x:c>
      <x:c r="C824" s="10" t="n">
        <x:v>7</x:v>
      </x:c>
      <x:c r="D824" s="10"/>
      <x:c r="E824" s="10" t="n">
        <x:v>3</x:v>
      </x:c>
      <x:c r="F824" s="10" t="n">
        <x:v>0</x:v>
      </x:c>
      <x:c r="G824" s="10" t="n">
        <x:f>MIN(E824,3)</x:f>
        <x:v>3</x:v>
      </x:c>
      <x:c r="H824" s="10" t="n">
        <x:v>3</x:v>
      </x:c>
      <x:c r="I824" s="19" t="n">
        <x:v>0.4</x:v>
      </x:c>
      <x:c r="J824" s="19" t="n">
        <x:v>0.2</x:v>
      </x:c>
      <x:c r="K824" s="19" t="n">
        <x:v>0.5</x:v>
      </x:c>
    </x:row>
    <x:row r="825" ht="23" customHeight="1">
      <x:c r="A825" s="2" t="str">
        <x:v>D040_T07_C020_G050</x:v>
      </x:c>
      <x:c r="B825" s="2" t="str">
        <x:v>A0090</x:v>
      </x:c>
      <x:c r="C825" s="10" t="n">
        <x:v>7</x:v>
      </x:c>
      <x:c r="D825" s="10" t="n">
        <x:v>8</x:v>
      </x:c>
      <x:c r="E825" s="10" t="n">
        <x:v>1</x:v>
      </x:c>
      <x:c r="F825" s="10" t="n">
        <x:v>1</x:v>
      </x:c>
      <x:c r="G825" s="10" t="n">
        <x:f>MIN(E825,3)</x:f>
        <x:v>1</x:v>
      </x:c>
      <x:c r="H825" s="10" t="n">
        <x:v>3</x:v>
      </x:c>
      <x:c r="I825" s="19" t="n">
        <x:v>0.4</x:v>
      </x:c>
      <x:c r="J825" s="19" t="n">
        <x:v>0.2</x:v>
      </x:c>
      <x:c r="K825" s="19" t="n">
        <x:v>0.5</x:v>
      </x:c>
    </x:row>
    <x:row r="826" ht="23" customHeight="1">
      <x:c r="A826" s="2" t="str">
        <x:v>D040_T07_C020_G050</x:v>
      </x:c>
      <x:c r="B826" s="2" t="str">
        <x:v>A0189</x:v>
      </x:c>
      <x:c r="C826" s="10" t="n">
        <x:v>7</x:v>
      </x:c>
      <x:c r="D826" s="10" t="n">
        <x:v>10</x:v>
      </x:c>
      <x:c r="E826" s="10" t="n">
        <x:v>3</x:v>
      </x:c>
      <x:c r="F826" s="10" t="n">
        <x:v>1</x:v>
      </x:c>
      <x:c r="G826" s="10" t="n">
        <x:f>MIN(E826,3)</x:f>
        <x:v>3</x:v>
      </x:c>
      <x:c r="H826" s="10" t="n">
        <x:v>3</x:v>
      </x:c>
      <x:c r="I826" s="19" t="n">
        <x:v>0.4</x:v>
      </x:c>
      <x:c r="J826" s="19" t="n">
        <x:v>0.2</x:v>
      </x:c>
      <x:c r="K826" s="19" t="n">
        <x:v>0.5</x:v>
      </x:c>
    </x:row>
    <x:row r="827" ht="23" customHeight="1">
      <x:c r="A827" s="2" t="str">
        <x:v>D040_T07_C020_G050</x:v>
      </x:c>
      <x:c r="B827" s="2" t="str">
        <x:v>A0206</x:v>
      </x:c>
      <x:c r="C827" s="10" t="n">
        <x:v>7</x:v>
      </x:c>
      <x:c r="D827" s="10" t="n">
        <x:v>8</x:v>
      </x:c>
      <x:c r="E827" s="10" t="n">
        <x:v>1</x:v>
      </x:c>
      <x:c r="F827" s="10" t="n">
        <x:v>1</x:v>
      </x:c>
      <x:c r="G827" s="10" t="n">
        <x:f>MIN(E827,3)</x:f>
        <x:v>1</x:v>
      </x:c>
      <x:c r="H827" s="10" t="n">
        <x:v>3</x:v>
      </x:c>
      <x:c r="I827" s="19" t="n">
        <x:v>0.4</x:v>
      </x:c>
      <x:c r="J827" s="19" t="n">
        <x:v>0.2</x:v>
      </x:c>
      <x:c r="K827" s="19" t="n">
        <x:v>0.5</x:v>
      </x:c>
    </x:row>
    <x:row r="828" ht="23" customHeight="1">
      <x:c r="A828" s="2" t="str">
        <x:v>D040_T07_C020_G075</x:v>
      </x:c>
      <x:c r="B828" s="2" t="str">
        <x:v>A0001</x:v>
      </x:c>
      <x:c r="C828" s="10" t="n">
        <x:v>7</x:v>
      </x:c>
      <x:c r="D828" s="10" t="n">
        <x:v>8</x:v>
      </x:c>
      <x:c r="E828" s="10" t="n">
        <x:v>1</x:v>
      </x:c>
      <x:c r="F828" s="10" t="n">
        <x:v>1</x:v>
      </x:c>
      <x:c r="G828" s="10" t="n">
        <x:f>MIN(E828,3)</x:f>
        <x:v>1</x:v>
      </x:c>
      <x:c r="H828" s="10" t="n">
        <x:v>3</x:v>
      </x:c>
      <x:c r="I828" s="19" t="n">
        <x:v>0.4</x:v>
      </x:c>
      <x:c r="J828" s="19" t="n">
        <x:v>0.2</x:v>
      </x:c>
      <x:c r="K828" s="19" t="n">
        <x:v>0.75</x:v>
      </x:c>
    </x:row>
    <x:row r="829" ht="23" customHeight="1">
      <x:c r="A829" s="2" t="str">
        <x:v>D040_T07_C020_G075</x:v>
      </x:c>
      <x:c r="B829" s="2" t="str">
        <x:v>A0005</x:v>
      </x:c>
      <x:c r="C829" s="10" t="n">
        <x:v>7</x:v>
      </x:c>
      <x:c r="D829" s="10" t="n">
        <x:v>9</x:v>
      </x:c>
      <x:c r="E829" s="10" t="n">
        <x:v>2</x:v>
      </x:c>
      <x:c r="F829" s="10" t="n">
        <x:v>1</x:v>
      </x:c>
      <x:c r="G829" s="10" t="n">
        <x:f>MIN(E829,3)</x:f>
        <x:v>2</x:v>
      </x:c>
      <x:c r="H829" s="10" t="n">
        <x:v>3</x:v>
      </x:c>
      <x:c r="I829" s="19" t="n">
        <x:v>0.4</x:v>
      </x:c>
      <x:c r="J829" s="19" t="n">
        <x:v>0.2</x:v>
      </x:c>
      <x:c r="K829" s="19" t="n">
        <x:v>0.75</x:v>
      </x:c>
    </x:row>
    <x:row r="830" ht="23" customHeight="1">
      <x:c r="A830" s="2" t="str">
        <x:v>D040_T07_C020_G075</x:v>
      </x:c>
      <x:c r="B830" s="2" t="str">
        <x:v>A0009</x:v>
      </x:c>
      <x:c r="C830" s="10" t="n">
        <x:v>7</x:v>
      </x:c>
      <x:c r="D830" s="10" t="n">
        <x:v>8</x:v>
      </x:c>
      <x:c r="E830" s="10" t="n">
        <x:v>1</x:v>
      </x:c>
      <x:c r="F830" s="10" t="n">
        <x:v>1</x:v>
      </x:c>
      <x:c r="G830" s="10" t="n">
        <x:f>MIN(E830,3)</x:f>
        <x:v>1</x:v>
      </x:c>
      <x:c r="H830" s="10" t="n">
        <x:v>3</x:v>
      </x:c>
      <x:c r="I830" s="19" t="n">
        <x:v>0.4</x:v>
      </x:c>
      <x:c r="J830" s="19" t="n">
        <x:v>0.2</x:v>
      </x:c>
      <x:c r="K830" s="19" t="n">
        <x:v>0.75</x:v>
      </x:c>
    </x:row>
    <x:row r="831" ht="23" customHeight="1">
      <x:c r="A831" s="2" t="str">
        <x:v>D040_T07_C020_G075</x:v>
      </x:c>
      <x:c r="B831" s="2" t="str">
        <x:v>A0010</x:v>
      </x:c>
      <x:c r="C831" s="10" t="n">
        <x:v>7</x:v>
      </x:c>
      <x:c r="D831" s="10" t="n">
        <x:v>10</x:v>
      </x:c>
      <x:c r="E831" s="10" t="n">
        <x:v>3</x:v>
      </x:c>
      <x:c r="F831" s="10" t="n">
        <x:v>1</x:v>
      </x:c>
      <x:c r="G831" s="10" t="n">
        <x:f>MIN(E831,3)</x:f>
        <x:v>3</x:v>
      </x:c>
      <x:c r="H831" s="10" t="n">
        <x:v>3</x:v>
      </x:c>
      <x:c r="I831" s="19" t="n">
        <x:v>0.4</x:v>
      </x:c>
      <x:c r="J831" s="19" t="n">
        <x:v>0.2</x:v>
      </x:c>
      <x:c r="K831" s="19" t="n">
        <x:v>0.75</x:v>
      </x:c>
    </x:row>
    <x:row r="832" ht="23" customHeight="1">
      <x:c r="A832" s="2" t="str">
        <x:v>D040_T07_C020_G075</x:v>
      </x:c>
      <x:c r="B832" s="2" t="str">
        <x:v>A0011</x:v>
      </x:c>
      <x:c r="C832" s="10" t="n">
        <x:v>7</x:v>
      </x:c>
      <x:c r="D832" s="10" t="n">
        <x:v>7</x:v>
      </x:c>
      <x:c r="E832" s="10" t="n">
        <x:v>0</x:v>
      </x:c>
      <x:c r="F832" s="10" t="n">
        <x:v>1</x:v>
      </x:c>
      <x:c r="G832" s="10" t="n">
        <x:f>MIN(E832,3)</x:f>
        <x:v>0</x:v>
      </x:c>
      <x:c r="H832" s="10" t="n">
        <x:v>3</x:v>
      </x:c>
      <x:c r="I832" s="19" t="n">
        <x:v>0.4</x:v>
      </x:c>
      <x:c r="J832" s="19" t="n">
        <x:v>0.2</x:v>
      </x:c>
      <x:c r="K832" s="19" t="n">
        <x:v>0.75</x:v>
      </x:c>
    </x:row>
    <x:row r="833" ht="23" customHeight="1">
      <x:c r="A833" s="2" t="str">
        <x:v>D040_T07_C020_G075</x:v>
      </x:c>
      <x:c r="B833" s="2" t="str">
        <x:v>A0012</x:v>
      </x:c>
      <x:c r="C833" s="10" t="n">
        <x:v>7</x:v>
      </x:c>
      <x:c r="D833" s="10"/>
      <x:c r="E833" s="10" t="n">
        <x:v>3</x:v>
      </x:c>
      <x:c r="F833" s="10" t="n">
        <x:v>0</x:v>
      </x:c>
      <x:c r="G833" s="10" t="n">
        <x:f>MIN(E833,3)</x:f>
        <x:v>3</x:v>
      </x:c>
      <x:c r="H833" s="10" t="n">
        <x:v>3</x:v>
      </x:c>
      <x:c r="I833" s="19" t="n">
        <x:v>0.4</x:v>
      </x:c>
      <x:c r="J833" s="19" t="n">
        <x:v>0.2</x:v>
      </x:c>
      <x:c r="K833" s="19" t="n">
        <x:v>0.75</x:v>
      </x:c>
    </x:row>
    <x:row r="834" ht="23" customHeight="1">
      <x:c r="A834" s="2" t="str">
        <x:v>D040_T07_C020_G075</x:v>
      </x:c>
      <x:c r="B834" s="2" t="str">
        <x:v>A0014</x:v>
      </x:c>
      <x:c r="C834" s="10" t="n">
        <x:v>7</x:v>
      </x:c>
      <x:c r="D834" s="10" t="n">
        <x:v>7</x:v>
      </x:c>
      <x:c r="E834" s="10" t="n">
        <x:v>0</x:v>
      </x:c>
      <x:c r="F834" s="10" t="n">
        <x:v>1</x:v>
      </x:c>
      <x:c r="G834" s="10" t="n">
        <x:f>MIN(E834,3)</x:f>
        <x:v>0</x:v>
      </x:c>
      <x:c r="H834" s="10" t="n">
        <x:v>3</x:v>
      </x:c>
      <x:c r="I834" s="19" t="n">
        <x:v>0.4</x:v>
      </x:c>
      <x:c r="J834" s="19" t="n">
        <x:v>0.2</x:v>
      </x:c>
      <x:c r="K834" s="19" t="n">
        <x:v>0.75</x:v>
      </x:c>
    </x:row>
    <x:row r="835" ht="23" customHeight="1">
      <x:c r="A835" s="2" t="str">
        <x:v>D040_T07_C020_G075</x:v>
      </x:c>
      <x:c r="B835" s="2" t="str">
        <x:v>A0016</x:v>
      </x:c>
      <x:c r="C835" s="10" t="n">
        <x:v>7</x:v>
      </x:c>
      <x:c r="D835" s="10" t="n">
        <x:v>9</x:v>
      </x:c>
      <x:c r="E835" s="10" t="n">
        <x:v>2</x:v>
      </x:c>
      <x:c r="F835" s="10" t="n">
        <x:v>1</x:v>
      </x:c>
      <x:c r="G835" s="10" t="n">
        <x:f>MIN(E835,3)</x:f>
        <x:v>2</x:v>
      </x:c>
      <x:c r="H835" s="10" t="n">
        <x:v>3</x:v>
      </x:c>
      <x:c r="I835" s="19" t="n">
        <x:v>0.4</x:v>
      </x:c>
      <x:c r="J835" s="19" t="n">
        <x:v>0.2</x:v>
      </x:c>
      <x:c r="K835" s="19" t="n">
        <x:v>0.75</x:v>
      </x:c>
    </x:row>
    <x:row r="836" ht="23" customHeight="1">
      <x:c r="A836" s="2" t="str">
        <x:v>D040_T07_C020_G075</x:v>
      </x:c>
      <x:c r="B836" s="2" t="str">
        <x:v>A0017</x:v>
      </x:c>
      <x:c r="C836" s="10" t="n">
        <x:v>7</x:v>
      </x:c>
      <x:c r="D836" s="10" t="n">
        <x:v>9</x:v>
      </x:c>
      <x:c r="E836" s="10" t="n">
        <x:v>2</x:v>
      </x:c>
      <x:c r="F836" s="10" t="n">
        <x:v>1</x:v>
      </x:c>
      <x:c r="G836" s="10" t="n">
        <x:f>MIN(E836,3)</x:f>
        <x:v>2</x:v>
      </x:c>
      <x:c r="H836" s="10" t="n">
        <x:v>3</x:v>
      </x:c>
      <x:c r="I836" s="19" t="n">
        <x:v>0.4</x:v>
      </x:c>
      <x:c r="J836" s="19" t="n">
        <x:v>0.2</x:v>
      </x:c>
      <x:c r="K836" s="19" t="n">
        <x:v>0.75</x:v>
      </x:c>
    </x:row>
    <x:row r="837" ht="23" customHeight="1">
      <x:c r="A837" s="2" t="str">
        <x:v>D040_T07_C020_G075</x:v>
      </x:c>
      <x:c r="B837" s="2" t="str">
        <x:v>A0018</x:v>
      </x:c>
      <x:c r="C837" s="10" t="n">
        <x:v>7</x:v>
      </x:c>
      <x:c r="D837" s="10" t="n">
        <x:v>9</x:v>
      </x:c>
      <x:c r="E837" s="10" t="n">
        <x:v>2</x:v>
      </x:c>
      <x:c r="F837" s="10" t="n">
        <x:v>1</x:v>
      </x:c>
      <x:c r="G837" s="10" t="n">
        <x:f>MIN(E837,3)</x:f>
        <x:v>2</x:v>
      </x:c>
      <x:c r="H837" s="10" t="n">
        <x:v>3</x:v>
      </x:c>
      <x:c r="I837" s="19" t="n">
        <x:v>0.4</x:v>
      </x:c>
      <x:c r="J837" s="19" t="n">
        <x:v>0.2</x:v>
      </x:c>
      <x:c r="K837" s="19" t="n">
        <x:v>0.75</x:v>
      </x:c>
    </x:row>
    <x:row r="838" ht="23" customHeight="1">
      <x:c r="A838" s="2" t="str">
        <x:v>D040_T07_C020_G075</x:v>
      </x:c>
      <x:c r="B838" s="2" t="str">
        <x:v>A0021</x:v>
      </x:c>
      <x:c r="C838" s="10" t="n">
        <x:v>7</x:v>
      </x:c>
      <x:c r="D838" s="10" t="n">
        <x:v>8</x:v>
      </x:c>
      <x:c r="E838" s="10" t="n">
        <x:v>1</x:v>
      </x:c>
      <x:c r="F838" s="10" t="n">
        <x:v>1</x:v>
      </x:c>
      <x:c r="G838" s="10" t="n">
        <x:f>MIN(E838,3)</x:f>
        <x:v>1</x:v>
      </x:c>
      <x:c r="H838" s="10" t="n">
        <x:v>3</x:v>
      </x:c>
      <x:c r="I838" s="19" t="n">
        <x:v>0.4</x:v>
      </x:c>
      <x:c r="J838" s="19" t="n">
        <x:v>0.2</x:v>
      </x:c>
      <x:c r="K838" s="19" t="n">
        <x:v>0.75</x:v>
      </x:c>
    </x:row>
    <x:row r="839" ht="23" customHeight="1">
      <x:c r="A839" s="2" t="str">
        <x:v>D040_T07_C020_G075</x:v>
      </x:c>
      <x:c r="B839" s="2" t="str">
        <x:v>A0024</x:v>
      </x:c>
      <x:c r="C839" s="10" t="n">
        <x:v>7</x:v>
      </x:c>
      <x:c r="D839" s="10" t="n">
        <x:v>9</x:v>
      </x:c>
      <x:c r="E839" s="10" t="n">
        <x:v>2</x:v>
      </x:c>
      <x:c r="F839" s="10" t="n">
        <x:v>1</x:v>
      </x:c>
      <x:c r="G839" s="10" t="n">
        <x:f>MIN(E839,3)</x:f>
        <x:v>2</x:v>
      </x:c>
      <x:c r="H839" s="10" t="n">
        <x:v>3</x:v>
      </x:c>
      <x:c r="I839" s="19" t="n">
        <x:v>0.4</x:v>
      </x:c>
      <x:c r="J839" s="19" t="n">
        <x:v>0.2</x:v>
      </x:c>
      <x:c r="K839" s="19" t="n">
        <x:v>0.75</x:v>
      </x:c>
    </x:row>
    <x:row r="840" ht="23" customHeight="1">
      <x:c r="A840" s="2" t="str">
        <x:v>D040_T07_C020_G075</x:v>
      </x:c>
      <x:c r="B840" s="2" t="str">
        <x:v>A0025</x:v>
      </x:c>
      <x:c r="C840" s="10" t="n">
        <x:v>7</x:v>
      </x:c>
      <x:c r="D840" s="10" t="n">
        <x:v>9</x:v>
      </x:c>
      <x:c r="E840" s="10" t="n">
        <x:v>2</x:v>
      </x:c>
      <x:c r="F840" s="10" t="n">
        <x:v>1</x:v>
      </x:c>
      <x:c r="G840" s="10" t="n">
        <x:f>MIN(E840,3)</x:f>
        <x:v>2</x:v>
      </x:c>
      <x:c r="H840" s="10" t="n">
        <x:v>3</x:v>
      </x:c>
      <x:c r="I840" s="19" t="n">
        <x:v>0.4</x:v>
      </x:c>
      <x:c r="J840" s="19" t="n">
        <x:v>0.2</x:v>
      </x:c>
      <x:c r="K840" s="19" t="n">
        <x:v>0.75</x:v>
      </x:c>
    </x:row>
    <x:row r="841" ht="23" customHeight="1">
      <x:c r="A841" s="2" t="str">
        <x:v>D040_T07_C020_G075</x:v>
      </x:c>
      <x:c r="B841" s="2" t="str">
        <x:v>A0027</x:v>
      </x:c>
      <x:c r="C841" s="10" t="n">
        <x:v>7</x:v>
      </x:c>
      <x:c r="D841" s="10" t="n">
        <x:v>8</x:v>
      </x:c>
      <x:c r="E841" s="10" t="n">
        <x:v>1</x:v>
      </x:c>
      <x:c r="F841" s="10" t="n">
        <x:v>1</x:v>
      </x:c>
      <x:c r="G841" s="10" t="n">
        <x:f>MIN(E841,3)</x:f>
        <x:v>1</x:v>
      </x:c>
      <x:c r="H841" s="10" t="n">
        <x:v>3</x:v>
      </x:c>
      <x:c r="I841" s="19" t="n">
        <x:v>0.4</x:v>
      </x:c>
      <x:c r="J841" s="19" t="n">
        <x:v>0.2</x:v>
      </x:c>
      <x:c r="K841" s="19" t="n">
        <x:v>0.75</x:v>
      </x:c>
    </x:row>
    <x:row r="842" ht="23" customHeight="1">
      <x:c r="A842" s="2" t="str">
        <x:v>D040_T07_C020_G075</x:v>
      </x:c>
      <x:c r="B842" s="2" t="str">
        <x:v>A0029</x:v>
      </x:c>
      <x:c r="C842" s="10" t="n">
        <x:v>7</x:v>
      </x:c>
      <x:c r="D842" s="10" t="n">
        <x:v>8</x:v>
      </x:c>
      <x:c r="E842" s="10" t="n">
        <x:v>1</x:v>
      </x:c>
      <x:c r="F842" s="10" t="n">
        <x:v>1</x:v>
      </x:c>
      <x:c r="G842" s="10" t="n">
        <x:f>MIN(E842,3)</x:f>
        <x:v>1</x:v>
      </x:c>
      <x:c r="H842" s="10" t="n">
        <x:v>3</x:v>
      </x:c>
      <x:c r="I842" s="19" t="n">
        <x:v>0.4</x:v>
      </x:c>
      <x:c r="J842" s="19" t="n">
        <x:v>0.2</x:v>
      </x:c>
      <x:c r="K842" s="19" t="n">
        <x:v>0.75</x:v>
      </x:c>
    </x:row>
    <x:row r="843" ht="23" customHeight="1">
      <x:c r="A843" s="2" t="str">
        <x:v>D040_T07_C020_G075</x:v>
      </x:c>
      <x:c r="B843" s="2" t="str">
        <x:v>A0030</x:v>
      </x:c>
      <x:c r="C843" s="10" t="n">
        <x:v>7</x:v>
      </x:c>
      <x:c r="D843" s="10" t="n">
        <x:v>9</x:v>
      </x:c>
      <x:c r="E843" s="10" t="n">
        <x:v>2</x:v>
      </x:c>
      <x:c r="F843" s="10" t="n">
        <x:v>1</x:v>
      </x:c>
      <x:c r="G843" s="10" t="n">
        <x:f>MIN(E843,3)</x:f>
        <x:v>2</x:v>
      </x:c>
      <x:c r="H843" s="10" t="n">
        <x:v>3</x:v>
      </x:c>
      <x:c r="I843" s="19" t="n">
        <x:v>0.4</x:v>
      </x:c>
      <x:c r="J843" s="19" t="n">
        <x:v>0.2</x:v>
      </x:c>
      <x:c r="K843" s="19" t="n">
        <x:v>0.75</x:v>
      </x:c>
    </x:row>
    <x:row r="844" ht="23" customHeight="1">
      <x:c r="A844" s="2" t="str">
        <x:v>D040_T07_C020_G075</x:v>
      </x:c>
      <x:c r="B844" s="2" t="str">
        <x:v>A0032</x:v>
      </x:c>
      <x:c r="C844" s="10" t="n">
        <x:v>7</x:v>
      </x:c>
      <x:c r="D844" s="10" t="n">
        <x:v>7</x:v>
      </x:c>
      <x:c r="E844" s="10" t="n">
        <x:v>0</x:v>
      </x:c>
      <x:c r="F844" s="10" t="n">
        <x:v>1</x:v>
      </x:c>
      <x:c r="G844" s="10" t="n">
        <x:f>MIN(E844,3)</x:f>
        <x:v>0</x:v>
      </x:c>
      <x:c r="H844" s="10" t="n">
        <x:v>3</x:v>
      </x:c>
      <x:c r="I844" s="19" t="n">
        <x:v>0.4</x:v>
      </x:c>
      <x:c r="J844" s="19" t="n">
        <x:v>0.2</x:v>
      </x:c>
      <x:c r="K844" s="19" t="n">
        <x:v>0.75</x:v>
      </x:c>
    </x:row>
    <x:row r="845" ht="23" customHeight="1">
      <x:c r="A845" s="2" t="str">
        <x:v>D040_T07_C020_G075</x:v>
      </x:c>
      <x:c r="B845" s="2" t="str">
        <x:v>A0033</x:v>
      </x:c>
      <x:c r="C845" s="10" t="n">
        <x:v>7</x:v>
      </x:c>
      <x:c r="D845" s="10" t="n">
        <x:v>8</x:v>
      </x:c>
      <x:c r="E845" s="10" t="n">
        <x:v>1</x:v>
      </x:c>
      <x:c r="F845" s="10" t="n">
        <x:v>1</x:v>
      </x:c>
      <x:c r="G845" s="10" t="n">
        <x:f>MIN(E845,3)</x:f>
        <x:v>1</x:v>
      </x:c>
      <x:c r="H845" s="10" t="n">
        <x:v>3</x:v>
      </x:c>
      <x:c r="I845" s="19" t="n">
        <x:v>0.4</x:v>
      </x:c>
      <x:c r="J845" s="19" t="n">
        <x:v>0.2</x:v>
      </x:c>
      <x:c r="K845" s="19" t="n">
        <x:v>0.75</x:v>
      </x:c>
    </x:row>
    <x:row r="846" ht="23" customHeight="1">
      <x:c r="A846" s="2" t="str">
        <x:v>D040_T07_C020_G075</x:v>
      </x:c>
      <x:c r="B846" s="2" t="str">
        <x:v>A0035</x:v>
      </x:c>
      <x:c r="C846" s="10" t="n">
        <x:v>7</x:v>
      </x:c>
      <x:c r="D846" s="10" t="n">
        <x:v>8</x:v>
      </x:c>
      <x:c r="E846" s="10" t="n">
        <x:v>1</x:v>
      </x:c>
      <x:c r="F846" s="10" t="n">
        <x:v>1</x:v>
      </x:c>
      <x:c r="G846" s="10" t="n">
        <x:f>MIN(E846,3)</x:f>
        <x:v>1</x:v>
      </x:c>
      <x:c r="H846" s="10" t="n">
        <x:v>3</x:v>
      </x:c>
      <x:c r="I846" s="19" t="n">
        <x:v>0.4</x:v>
      </x:c>
      <x:c r="J846" s="19" t="n">
        <x:v>0.2</x:v>
      </x:c>
      <x:c r="K846" s="19" t="n">
        <x:v>0.75</x:v>
      </x:c>
    </x:row>
    <x:row r="847" ht="23" customHeight="1">
      <x:c r="A847" s="2" t="str">
        <x:v>D040_T07_C020_G075</x:v>
      </x:c>
      <x:c r="B847" s="2" t="str">
        <x:v>A0037</x:v>
      </x:c>
      <x:c r="C847" s="10" t="n">
        <x:v>7</x:v>
      </x:c>
      <x:c r="D847" s="10" t="n">
        <x:v>8</x:v>
      </x:c>
      <x:c r="E847" s="10" t="n">
        <x:v>1</x:v>
      </x:c>
      <x:c r="F847" s="10" t="n">
        <x:v>1</x:v>
      </x:c>
      <x:c r="G847" s="10" t="n">
        <x:f>MIN(E847,3)</x:f>
        <x:v>1</x:v>
      </x:c>
      <x:c r="H847" s="10" t="n">
        <x:v>3</x:v>
      </x:c>
      <x:c r="I847" s="19" t="n">
        <x:v>0.4</x:v>
      </x:c>
      <x:c r="J847" s="19" t="n">
        <x:v>0.2</x:v>
      </x:c>
      <x:c r="K847" s="19" t="n">
        <x:v>0.75</x:v>
      </x:c>
    </x:row>
    <x:row r="848" ht="23" customHeight="1">
      <x:c r="A848" s="2" t="str">
        <x:v>D040_T07_C020_G075</x:v>
      </x:c>
      <x:c r="B848" s="2" t="str">
        <x:v>A0038</x:v>
      </x:c>
      <x:c r="C848" s="10" t="n">
        <x:v>7</x:v>
      </x:c>
      <x:c r="D848" s="10" t="n">
        <x:v>9</x:v>
      </x:c>
      <x:c r="E848" s="10" t="n">
        <x:v>2</x:v>
      </x:c>
      <x:c r="F848" s="10" t="n">
        <x:v>1</x:v>
      </x:c>
      <x:c r="G848" s="10" t="n">
        <x:f>MIN(E848,3)</x:f>
        <x:v>2</x:v>
      </x:c>
      <x:c r="H848" s="10" t="n">
        <x:v>3</x:v>
      </x:c>
      <x:c r="I848" s="19" t="n">
        <x:v>0.4</x:v>
      </x:c>
      <x:c r="J848" s="19" t="n">
        <x:v>0.2</x:v>
      </x:c>
      <x:c r="K848" s="19" t="n">
        <x:v>0.75</x:v>
      </x:c>
    </x:row>
    <x:row r="849" ht="23" customHeight="1">
      <x:c r="A849" s="2" t="str">
        <x:v>D040_T07_C020_G075</x:v>
      </x:c>
      <x:c r="B849" s="2" t="str">
        <x:v>A0040</x:v>
      </x:c>
      <x:c r="C849" s="10" t="n">
        <x:v>7</x:v>
      </x:c>
      <x:c r="D849" s="10" t="n">
        <x:v>9</x:v>
      </x:c>
      <x:c r="E849" s="10" t="n">
        <x:v>2</x:v>
      </x:c>
      <x:c r="F849" s="10" t="n">
        <x:v>1</x:v>
      </x:c>
      <x:c r="G849" s="10" t="n">
        <x:f>MIN(E849,3)</x:f>
        <x:v>2</x:v>
      </x:c>
      <x:c r="H849" s="10" t="n">
        <x:v>3</x:v>
      </x:c>
      <x:c r="I849" s="19" t="n">
        <x:v>0.4</x:v>
      </x:c>
      <x:c r="J849" s="19" t="n">
        <x:v>0.2</x:v>
      </x:c>
      <x:c r="K849" s="19" t="n">
        <x:v>0.75</x:v>
      </x:c>
    </x:row>
    <x:row r="850" ht="23" customHeight="1">
      <x:c r="A850" s="2" t="str">
        <x:v>D040_T07_C020_G075</x:v>
      </x:c>
      <x:c r="B850" s="2" t="str">
        <x:v>A0041</x:v>
      </x:c>
      <x:c r="C850" s="10" t="n">
        <x:v>7</x:v>
      </x:c>
      <x:c r="D850" s="10"/>
      <x:c r="E850" s="10" t="n">
        <x:v>3</x:v>
      </x:c>
      <x:c r="F850" s="10" t="n">
        <x:v>0</x:v>
      </x:c>
      <x:c r="G850" s="10" t="n">
        <x:f>MIN(E850,3)</x:f>
        <x:v>3</x:v>
      </x:c>
      <x:c r="H850" s="10" t="n">
        <x:v>3</x:v>
      </x:c>
      <x:c r="I850" s="19" t="n">
        <x:v>0.4</x:v>
      </x:c>
      <x:c r="J850" s="19" t="n">
        <x:v>0.2</x:v>
      </x:c>
      <x:c r="K850" s="19" t="n">
        <x:v>0.75</x:v>
      </x:c>
    </x:row>
    <x:row r="851" ht="23" customHeight="1">
      <x:c r="A851" s="2" t="str">
        <x:v>D040_T07_C020_G075</x:v>
      </x:c>
      <x:c r="B851" s="2" t="str">
        <x:v>A0043</x:v>
      </x:c>
      <x:c r="C851" s="10" t="n">
        <x:v>7</x:v>
      </x:c>
      <x:c r="D851" s="10" t="n">
        <x:v>8</x:v>
      </x:c>
      <x:c r="E851" s="10" t="n">
        <x:v>1</x:v>
      </x:c>
      <x:c r="F851" s="10" t="n">
        <x:v>1</x:v>
      </x:c>
      <x:c r="G851" s="10" t="n">
        <x:f>MIN(E851,3)</x:f>
        <x:v>1</x:v>
      </x:c>
      <x:c r="H851" s="10" t="n">
        <x:v>3</x:v>
      </x:c>
      <x:c r="I851" s="19" t="n">
        <x:v>0.4</x:v>
      </x:c>
      <x:c r="J851" s="19" t="n">
        <x:v>0.2</x:v>
      </x:c>
      <x:c r="K851" s="19" t="n">
        <x:v>0.75</x:v>
      </x:c>
    </x:row>
    <x:row r="852" ht="23" customHeight="1">
      <x:c r="A852" s="2" t="str">
        <x:v>D040_T07_C020_G075</x:v>
      </x:c>
      <x:c r="B852" s="2" t="str">
        <x:v>A0071</x:v>
      </x:c>
      <x:c r="C852" s="10" t="n">
        <x:v>7</x:v>
      </x:c>
      <x:c r="D852" s="10" t="n">
        <x:v>8</x:v>
      </x:c>
      <x:c r="E852" s="10" t="n">
        <x:v>1</x:v>
      </x:c>
      <x:c r="F852" s="10" t="n">
        <x:v>1</x:v>
      </x:c>
      <x:c r="G852" s="10" t="n">
        <x:f>MIN(E852,3)</x:f>
        <x:v>1</x:v>
      </x:c>
      <x:c r="H852" s="10" t="n">
        <x:v>3</x:v>
      </x:c>
      <x:c r="I852" s="19" t="n">
        <x:v>0.4</x:v>
      </x:c>
      <x:c r="J852" s="19" t="n">
        <x:v>0.2</x:v>
      </x:c>
      <x:c r="K852" s="19" t="n">
        <x:v>0.75</x:v>
      </x:c>
    </x:row>
    <x:row r="853" ht="23" customHeight="1">
      <x:c r="A853" s="2" t="str">
        <x:v>D040_T07_C020_G075</x:v>
      </x:c>
      <x:c r="B853" s="2" t="str">
        <x:v>A0090</x:v>
      </x:c>
      <x:c r="C853" s="10" t="n">
        <x:v>7</x:v>
      </x:c>
      <x:c r="D853" s="10" t="n">
        <x:v>9</x:v>
      </x:c>
      <x:c r="E853" s="10" t="n">
        <x:v>2</x:v>
      </x:c>
      <x:c r="F853" s="10" t="n">
        <x:v>1</x:v>
      </x:c>
      <x:c r="G853" s="10" t="n">
        <x:f>MIN(E853,3)</x:f>
        <x:v>2</x:v>
      </x:c>
      <x:c r="H853" s="10" t="n">
        <x:v>3</x:v>
      </x:c>
      <x:c r="I853" s="19" t="n">
        <x:v>0.4</x:v>
      </x:c>
      <x:c r="J853" s="19" t="n">
        <x:v>0.2</x:v>
      </x:c>
      <x:c r="K853" s="19" t="n">
        <x:v>0.75</x:v>
      </x:c>
    </x:row>
    <x:row r="854" ht="23" customHeight="1">
      <x:c r="A854" s="2" t="str">
        <x:v>D040_T07_C020_G075</x:v>
      </x:c>
      <x:c r="B854" s="2" t="str">
        <x:v>A0189</x:v>
      </x:c>
      <x:c r="C854" s="10" t="n">
        <x:v>7</x:v>
      </x:c>
      <x:c r="D854" s="10" t="n">
        <x:v>8</x:v>
      </x:c>
      <x:c r="E854" s="10" t="n">
        <x:v>1</x:v>
      </x:c>
      <x:c r="F854" s="10" t="n">
        <x:v>1</x:v>
      </x:c>
      <x:c r="G854" s="10" t="n">
        <x:f>MIN(E854,3)</x:f>
        <x:v>1</x:v>
      </x:c>
      <x:c r="H854" s="10" t="n">
        <x:v>3</x:v>
      </x:c>
      <x:c r="I854" s="19" t="n">
        <x:v>0.4</x:v>
      </x:c>
      <x:c r="J854" s="19" t="n">
        <x:v>0.2</x:v>
      </x:c>
      <x:c r="K854" s="19" t="n">
        <x:v>0.75</x:v>
      </x:c>
    </x:row>
    <x:row r="855" ht="23" customHeight="1">
      <x:c r="A855" s="2" t="str">
        <x:v>D040_T07_C020_G075</x:v>
      </x:c>
      <x:c r="B855" s="2" t="str">
        <x:v>A0206</x:v>
      </x:c>
      <x:c r="C855" s="10" t="n">
        <x:v>7</x:v>
      </x:c>
      <x:c r="D855" s="10" t="n">
        <x:v>9</x:v>
      </x:c>
      <x:c r="E855" s="10" t="n">
        <x:v>2</x:v>
      </x:c>
      <x:c r="F855" s="10" t="n">
        <x:v>1</x:v>
      </x:c>
      <x:c r="G855" s="10" t="n">
        <x:f>MIN(E855,3)</x:f>
        <x:v>2</x:v>
      </x:c>
      <x:c r="H855" s="10" t="n">
        <x:v>3</x:v>
      </x:c>
      <x:c r="I855" s="19" t="n">
        <x:v>0.4</x:v>
      </x:c>
      <x:c r="J855" s="19" t="n">
        <x:v>0.2</x:v>
      </x:c>
      <x:c r="K855" s="19" t="n">
        <x:v>0.75</x:v>
      </x:c>
    </x:row>
    <x:row r="856" ht="23" customHeight="1">
      <x:c r="A856" s="2" t="str">
        <x:v>D040_T07_C080_G025</x:v>
      </x:c>
      <x:c r="B856" s="2" t="str">
        <x:v>A0001</x:v>
      </x:c>
      <x:c r="C856" s="10" t="n">
        <x:v>7</x:v>
      </x:c>
      <x:c r="D856" s="10" t="n">
        <x:v>8</x:v>
      </x:c>
      <x:c r="E856" s="10" t="n">
        <x:v>1</x:v>
      </x:c>
      <x:c r="F856" s="10" t="n">
        <x:v>1</x:v>
      </x:c>
      <x:c r="G856" s="10" t="n">
        <x:f>MIN(E856,3)</x:f>
        <x:v>1</x:v>
      </x:c>
      <x:c r="H856" s="10" t="n">
        <x:v>3</x:v>
      </x:c>
      <x:c r="I856" s="19" t="n">
        <x:v>0.4</x:v>
      </x:c>
      <x:c r="J856" s="19" t="n">
        <x:v>0.8</x:v>
      </x:c>
      <x:c r="K856" s="19" t="n">
        <x:v>0.25</x:v>
      </x:c>
    </x:row>
    <x:row r="857" ht="23" customHeight="1">
      <x:c r="A857" s="2" t="str">
        <x:v>D040_T07_C080_G025</x:v>
      </x:c>
      <x:c r="B857" s="2" t="str">
        <x:v>A0002</x:v>
      </x:c>
      <x:c r="C857" s="10" t="n">
        <x:v>7</x:v>
      </x:c>
      <x:c r="D857" s="10"/>
      <x:c r="E857" s="10" t="n">
        <x:v>3</x:v>
      </x:c>
      <x:c r="F857" s="10" t="n">
        <x:v>0</x:v>
      </x:c>
      <x:c r="G857" s="10" t="n">
        <x:f>MIN(E857,3)</x:f>
        <x:v>3</x:v>
      </x:c>
      <x:c r="H857" s="10" t="n">
        <x:v>3</x:v>
      </x:c>
      <x:c r="I857" s="19" t="n">
        <x:v>0.4</x:v>
      </x:c>
      <x:c r="J857" s="19" t="n">
        <x:v>0.8</x:v>
      </x:c>
      <x:c r="K857" s="19" t="n">
        <x:v>0.25</x:v>
      </x:c>
    </x:row>
    <x:row r="858" ht="23" customHeight="1">
      <x:c r="A858" s="2" t="str">
        <x:v>D040_T07_C080_G025</x:v>
      </x:c>
      <x:c r="B858" s="2" t="str">
        <x:v>A0005</x:v>
      </x:c>
      <x:c r="C858" s="10" t="n">
        <x:v>7</x:v>
      </x:c>
      <x:c r="D858" s="10"/>
      <x:c r="E858" s="10" t="n">
        <x:v>3</x:v>
      </x:c>
      <x:c r="F858" s="10" t="n">
        <x:v>0</x:v>
      </x:c>
      <x:c r="G858" s="10" t="n">
        <x:f>MIN(E858,3)</x:f>
        <x:v>3</x:v>
      </x:c>
      <x:c r="H858" s="10" t="n">
        <x:v>3</x:v>
      </x:c>
      <x:c r="I858" s="19" t="n">
        <x:v>0.4</x:v>
      </x:c>
      <x:c r="J858" s="19" t="n">
        <x:v>0.8</x:v>
      </x:c>
      <x:c r="K858" s="19" t="n">
        <x:v>0.25</x:v>
      </x:c>
    </x:row>
    <x:row r="859" ht="23" customHeight="1">
      <x:c r="A859" s="2" t="str">
        <x:v>D040_T07_C080_G025</x:v>
      </x:c>
      <x:c r="B859" s="2" t="str">
        <x:v>A0006</x:v>
      </x:c>
      <x:c r="C859" s="10" t="n">
        <x:v>7</x:v>
      </x:c>
      <x:c r="D859" s="10"/>
      <x:c r="E859" s="10" t="n">
        <x:v>3</x:v>
      </x:c>
      <x:c r="F859" s="10" t="n">
        <x:v>0</x:v>
      </x:c>
      <x:c r="G859" s="10" t="n">
        <x:f>MIN(E859,3)</x:f>
        <x:v>3</x:v>
      </x:c>
      <x:c r="H859" s="10" t="n">
        <x:v>3</x:v>
      </x:c>
      <x:c r="I859" s="19" t="n">
        <x:v>0.4</x:v>
      </x:c>
      <x:c r="J859" s="19" t="n">
        <x:v>0.8</x:v>
      </x:c>
      <x:c r="K859" s="19" t="n">
        <x:v>0.25</x:v>
      </x:c>
    </x:row>
    <x:row r="860" ht="23" customHeight="1">
      <x:c r="A860" s="2" t="str">
        <x:v>D040_T07_C080_G025</x:v>
      </x:c>
      <x:c r="B860" s="2" t="str">
        <x:v>A0008</x:v>
      </x:c>
      <x:c r="C860" s="10" t="n">
        <x:v>7</x:v>
      </x:c>
      <x:c r="D860" s="10" t="n">
        <x:v>7</x:v>
      </x:c>
      <x:c r="E860" s="10" t="n">
        <x:v>0</x:v>
      </x:c>
      <x:c r="F860" s="10" t="n">
        <x:v>1</x:v>
      </x:c>
      <x:c r="G860" s="10" t="n">
        <x:f>MIN(E860,3)</x:f>
        <x:v>0</x:v>
      </x:c>
      <x:c r="H860" s="10" t="n">
        <x:v>3</x:v>
      </x:c>
      <x:c r="I860" s="19" t="n">
        <x:v>0.4</x:v>
      </x:c>
      <x:c r="J860" s="19" t="n">
        <x:v>0.8</x:v>
      </x:c>
      <x:c r="K860" s="19" t="n">
        <x:v>0.25</x:v>
      </x:c>
    </x:row>
    <x:row r="861" ht="23" customHeight="1">
      <x:c r="A861" s="2" t="str">
        <x:v>D040_T07_C080_G025</x:v>
      </x:c>
      <x:c r="B861" s="2" t="str">
        <x:v>A0009</x:v>
      </x:c>
      <x:c r="C861" s="10" t="n">
        <x:v>7</x:v>
      </x:c>
      <x:c r="D861" s="10" t="n">
        <x:v>10</x:v>
      </x:c>
      <x:c r="E861" s="10" t="n">
        <x:v>3</x:v>
      </x:c>
      <x:c r="F861" s="10" t="n">
        <x:v>1</x:v>
      </x:c>
      <x:c r="G861" s="10" t="n">
        <x:f>MIN(E861,3)</x:f>
        <x:v>3</x:v>
      </x:c>
      <x:c r="H861" s="10" t="n">
        <x:v>3</x:v>
      </x:c>
      <x:c r="I861" s="19" t="n">
        <x:v>0.4</x:v>
      </x:c>
      <x:c r="J861" s="19" t="n">
        <x:v>0.8</x:v>
      </x:c>
      <x:c r="K861" s="19" t="n">
        <x:v>0.25</x:v>
      </x:c>
    </x:row>
    <x:row r="862" ht="23" customHeight="1">
      <x:c r="A862" s="2" t="str">
        <x:v>D040_T07_C080_G025</x:v>
      </x:c>
      <x:c r="B862" s="2" t="str">
        <x:v>A0011</x:v>
      </x:c>
      <x:c r="C862" s="10" t="n">
        <x:v>7</x:v>
      </x:c>
      <x:c r="D862" s="10"/>
      <x:c r="E862" s="10" t="n">
        <x:v>3</x:v>
      </x:c>
      <x:c r="F862" s="10" t="n">
        <x:v>0</x:v>
      </x:c>
      <x:c r="G862" s="10" t="n">
        <x:f>MIN(E862,3)</x:f>
        <x:v>3</x:v>
      </x:c>
      <x:c r="H862" s="10" t="n">
        <x:v>3</x:v>
      </x:c>
      <x:c r="I862" s="19" t="n">
        <x:v>0.4</x:v>
      </x:c>
      <x:c r="J862" s="19" t="n">
        <x:v>0.8</x:v>
      </x:c>
      <x:c r="K862" s="19" t="n">
        <x:v>0.25</x:v>
      </x:c>
    </x:row>
    <x:row r="863" ht="23" customHeight="1">
      <x:c r="A863" s="2" t="str">
        <x:v>D040_T07_C080_G025</x:v>
      </x:c>
      <x:c r="B863" s="2" t="str">
        <x:v>A0012</x:v>
      </x:c>
      <x:c r="C863" s="10" t="n">
        <x:v>7</x:v>
      </x:c>
      <x:c r="D863" s="10"/>
      <x:c r="E863" s="10" t="n">
        <x:v>3</x:v>
      </x:c>
      <x:c r="F863" s="10" t="n">
        <x:v>0</x:v>
      </x:c>
      <x:c r="G863" s="10" t="n">
        <x:f>MIN(E863,3)</x:f>
        <x:v>3</x:v>
      </x:c>
      <x:c r="H863" s="10" t="n">
        <x:v>3</x:v>
      </x:c>
      <x:c r="I863" s="19" t="n">
        <x:v>0.4</x:v>
      </x:c>
      <x:c r="J863" s="19" t="n">
        <x:v>0.8</x:v>
      </x:c>
      <x:c r="K863" s="19" t="n">
        <x:v>0.25</x:v>
      </x:c>
    </x:row>
    <x:row r="864" ht="23" customHeight="1">
      <x:c r="A864" s="2" t="str">
        <x:v>D040_T07_C080_G025</x:v>
      </x:c>
      <x:c r="B864" s="2" t="str">
        <x:v>A0014</x:v>
      </x:c>
      <x:c r="C864" s="10" t="n">
        <x:v>7</x:v>
      </x:c>
      <x:c r="D864" s="10" t="n">
        <x:v>7</x:v>
      </x:c>
      <x:c r="E864" s="10" t="n">
        <x:v>0</x:v>
      </x:c>
      <x:c r="F864" s="10" t="n">
        <x:v>1</x:v>
      </x:c>
      <x:c r="G864" s="10" t="n">
        <x:f>MIN(E864,3)</x:f>
        <x:v>0</x:v>
      </x:c>
      <x:c r="H864" s="10" t="n">
        <x:v>3</x:v>
      </x:c>
      <x:c r="I864" s="19" t="n">
        <x:v>0.4</x:v>
      </x:c>
      <x:c r="J864" s="19" t="n">
        <x:v>0.8</x:v>
      </x:c>
      <x:c r="K864" s="19" t="n">
        <x:v>0.25</x:v>
      </x:c>
    </x:row>
    <x:row r="865" ht="23" customHeight="1">
      <x:c r="A865" s="2" t="str">
        <x:v>D040_T07_C080_G025</x:v>
      </x:c>
      <x:c r="B865" s="2" t="str">
        <x:v>A0016</x:v>
      </x:c>
      <x:c r="C865" s="10" t="n">
        <x:v>7</x:v>
      </x:c>
      <x:c r="D865" s="10" t="n">
        <x:v>8</x:v>
      </x:c>
      <x:c r="E865" s="10" t="n">
        <x:v>1</x:v>
      </x:c>
      <x:c r="F865" s="10" t="n">
        <x:v>1</x:v>
      </x:c>
      <x:c r="G865" s="10" t="n">
        <x:f>MIN(E865,3)</x:f>
        <x:v>1</x:v>
      </x:c>
      <x:c r="H865" s="10" t="n">
        <x:v>3</x:v>
      </x:c>
      <x:c r="I865" s="19" t="n">
        <x:v>0.4</x:v>
      </x:c>
      <x:c r="J865" s="19" t="n">
        <x:v>0.8</x:v>
      </x:c>
      <x:c r="K865" s="19" t="n">
        <x:v>0.25</x:v>
      </x:c>
    </x:row>
    <x:row r="866" ht="23" customHeight="1">
      <x:c r="A866" s="2" t="str">
        <x:v>D040_T07_C080_G025</x:v>
      </x:c>
      <x:c r="B866" s="2" t="str">
        <x:v>A0017</x:v>
      </x:c>
      <x:c r="C866" s="10" t="n">
        <x:v>7</x:v>
      </x:c>
      <x:c r="D866" s="10"/>
      <x:c r="E866" s="10" t="n">
        <x:v>3</x:v>
      </x:c>
      <x:c r="F866" s="10" t="n">
        <x:v>0</x:v>
      </x:c>
      <x:c r="G866" s="10" t="n">
        <x:f>MIN(E866,3)</x:f>
        <x:v>3</x:v>
      </x:c>
      <x:c r="H866" s="10" t="n">
        <x:v>3</x:v>
      </x:c>
      <x:c r="I866" s="19" t="n">
        <x:v>0.4</x:v>
      </x:c>
      <x:c r="J866" s="19" t="n">
        <x:v>0.8</x:v>
      </x:c>
      <x:c r="K866" s="19" t="n">
        <x:v>0.25</x:v>
      </x:c>
    </x:row>
    <x:row r="867" ht="23" customHeight="1">
      <x:c r="A867" s="2" t="str">
        <x:v>D040_T07_C080_G025</x:v>
      </x:c>
      <x:c r="B867" s="2" t="str">
        <x:v>A0018</x:v>
      </x:c>
      <x:c r="C867" s="10" t="n">
        <x:v>7</x:v>
      </x:c>
      <x:c r="D867" s="10"/>
      <x:c r="E867" s="10" t="n">
        <x:v>3</x:v>
      </x:c>
      <x:c r="F867" s="10" t="n">
        <x:v>0</x:v>
      </x:c>
      <x:c r="G867" s="10" t="n">
        <x:f>MIN(E867,3)</x:f>
        <x:v>3</x:v>
      </x:c>
      <x:c r="H867" s="10" t="n">
        <x:v>3</x:v>
      </x:c>
      <x:c r="I867" s="19" t="n">
        <x:v>0.4</x:v>
      </x:c>
      <x:c r="J867" s="19" t="n">
        <x:v>0.8</x:v>
      </x:c>
      <x:c r="K867" s="19" t="n">
        <x:v>0.25</x:v>
      </x:c>
    </x:row>
    <x:row r="868" ht="23" customHeight="1">
      <x:c r="A868" s="2" t="str">
        <x:v>D040_T07_C080_G025</x:v>
      </x:c>
      <x:c r="B868" s="2" t="str">
        <x:v>A0019</x:v>
      </x:c>
      <x:c r="C868" s="10" t="n">
        <x:v>7</x:v>
      </x:c>
      <x:c r="D868" s="10" t="n">
        <x:v>9</x:v>
      </x:c>
      <x:c r="E868" s="10" t="n">
        <x:v>2</x:v>
      </x:c>
      <x:c r="F868" s="10" t="n">
        <x:v>1</x:v>
      </x:c>
      <x:c r="G868" s="10" t="n">
        <x:f>MIN(E868,3)</x:f>
        <x:v>2</x:v>
      </x:c>
      <x:c r="H868" s="10" t="n">
        <x:v>3</x:v>
      </x:c>
      <x:c r="I868" s="19" t="n">
        <x:v>0.4</x:v>
      </x:c>
      <x:c r="J868" s="19" t="n">
        <x:v>0.8</x:v>
      </x:c>
      <x:c r="K868" s="19" t="n">
        <x:v>0.25</x:v>
      </x:c>
    </x:row>
    <x:row r="869" ht="23" customHeight="1">
      <x:c r="A869" s="2" t="str">
        <x:v>D040_T07_C080_G025</x:v>
      </x:c>
      <x:c r="B869" s="2" t="str">
        <x:v>A0020</x:v>
      </x:c>
      <x:c r="C869" s="10" t="n">
        <x:v>7</x:v>
      </x:c>
      <x:c r="D869" s="10"/>
      <x:c r="E869" s="10" t="n">
        <x:v>3</x:v>
      </x:c>
      <x:c r="F869" s="10" t="n">
        <x:v>0</x:v>
      </x:c>
      <x:c r="G869" s="10" t="n">
        <x:f>MIN(E869,3)</x:f>
        <x:v>3</x:v>
      </x:c>
      <x:c r="H869" s="10" t="n">
        <x:v>3</x:v>
      </x:c>
      <x:c r="I869" s="19" t="n">
        <x:v>0.4</x:v>
      </x:c>
      <x:c r="J869" s="19" t="n">
        <x:v>0.8</x:v>
      </x:c>
      <x:c r="K869" s="19" t="n">
        <x:v>0.25</x:v>
      </x:c>
    </x:row>
    <x:row r="870" ht="23" customHeight="1">
      <x:c r="A870" s="2" t="str">
        <x:v>D040_T07_C080_G025</x:v>
      </x:c>
      <x:c r="B870" s="2" t="str">
        <x:v>A0022</x:v>
      </x:c>
      <x:c r="C870" s="10" t="n">
        <x:v>7</x:v>
      </x:c>
      <x:c r="D870" s="10" t="n">
        <x:v>7</x:v>
      </x:c>
      <x:c r="E870" s="10" t="n">
        <x:v>0</x:v>
      </x:c>
      <x:c r="F870" s="10" t="n">
        <x:v>1</x:v>
      </x:c>
      <x:c r="G870" s="10" t="n">
        <x:f>MIN(E870,3)</x:f>
        <x:v>0</x:v>
      </x:c>
      <x:c r="H870" s="10" t="n">
        <x:v>3</x:v>
      </x:c>
      <x:c r="I870" s="19" t="n">
        <x:v>0.4</x:v>
      </x:c>
      <x:c r="J870" s="19" t="n">
        <x:v>0.8</x:v>
      </x:c>
      <x:c r="K870" s="19" t="n">
        <x:v>0.25</x:v>
      </x:c>
    </x:row>
    <x:row r="871" ht="23" customHeight="1">
      <x:c r="A871" s="2" t="str">
        <x:v>D040_T07_C080_G025</x:v>
      </x:c>
      <x:c r="B871" s="2" t="str">
        <x:v>A0024</x:v>
      </x:c>
      <x:c r="C871" s="10" t="n">
        <x:v>7</x:v>
      </x:c>
      <x:c r="D871" s="10"/>
      <x:c r="E871" s="10" t="n">
        <x:v>3</x:v>
      </x:c>
      <x:c r="F871" s="10" t="n">
        <x:v>0</x:v>
      </x:c>
      <x:c r="G871" s="10" t="n">
        <x:f>MIN(E871,3)</x:f>
        <x:v>3</x:v>
      </x:c>
      <x:c r="H871" s="10" t="n">
        <x:v>3</x:v>
      </x:c>
      <x:c r="I871" s="19" t="n">
        <x:v>0.4</x:v>
      </x:c>
      <x:c r="J871" s="19" t="n">
        <x:v>0.8</x:v>
      </x:c>
      <x:c r="K871" s="19" t="n">
        <x:v>0.25</x:v>
      </x:c>
    </x:row>
    <x:row r="872" ht="23" customHeight="1">
      <x:c r="A872" s="2" t="str">
        <x:v>D040_T07_C080_G025</x:v>
      </x:c>
      <x:c r="B872" s="2" t="str">
        <x:v>A0025</x:v>
      </x:c>
      <x:c r="C872" s="10" t="n">
        <x:v>7</x:v>
      </x:c>
      <x:c r="D872" s="10" t="n">
        <x:v>9</x:v>
      </x:c>
      <x:c r="E872" s="10" t="n">
        <x:v>2</x:v>
      </x:c>
      <x:c r="F872" s="10" t="n">
        <x:v>1</x:v>
      </x:c>
      <x:c r="G872" s="10" t="n">
        <x:f>MIN(E872,3)</x:f>
        <x:v>2</x:v>
      </x:c>
      <x:c r="H872" s="10" t="n">
        <x:v>3</x:v>
      </x:c>
      <x:c r="I872" s="19" t="n">
        <x:v>0.4</x:v>
      </x:c>
      <x:c r="J872" s="19" t="n">
        <x:v>0.8</x:v>
      </x:c>
      <x:c r="K872" s="19" t="n">
        <x:v>0.25</x:v>
      </x:c>
    </x:row>
    <x:row r="873" ht="23" customHeight="1">
      <x:c r="A873" s="2" t="str">
        <x:v>D040_T07_C080_G025</x:v>
      </x:c>
      <x:c r="B873" s="2" t="str">
        <x:v>A0026</x:v>
      </x:c>
      <x:c r="C873" s="10" t="n">
        <x:v>7</x:v>
      </x:c>
      <x:c r="D873" s="10"/>
      <x:c r="E873" s="10" t="n">
        <x:v>3</x:v>
      </x:c>
      <x:c r="F873" s="10" t="n">
        <x:v>0</x:v>
      </x:c>
      <x:c r="G873" s="10" t="n">
        <x:f>MIN(E873,3)</x:f>
        <x:v>3</x:v>
      </x:c>
      <x:c r="H873" s="10" t="n">
        <x:v>3</x:v>
      </x:c>
      <x:c r="I873" s="19" t="n">
        <x:v>0.4</x:v>
      </x:c>
      <x:c r="J873" s="19" t="n">
        <x:v>0.8</x:v>
      </x:c>
      <x:c r="K873" s="19" t="n">
        <x:v>0.25</x:v>
      </x:c>
    </x:row>
    <x:row r="874" ht="23" customHeight="1">
      <x:c r="A874" s="2" t="str">
        <x:v>D040_T07_C080_G025</x:v>
      </x:c>
      <x:c r="B874" s="2" t="str">
        <x:v>A0027</x:v>
      </x:c>
      <x:c r="C874" s="10" t="n">
        <x:v>7</x:v>
      </x:c>
      <x:c r="D874" s="10"/>
      <x:c r="E874" s="10" t="n">
        <x:v>3</x:v>
      </x:c>
      <x:c r="F874" s="10" t="n">
        <x:v>0</x:v>
      </x:c>
      <x:c r="G874" s="10" t="n">
        <x:f>MIN(E874,3)</x:f>
        <x:v>3</x:v>
      </x:c>
      <x:c r="H874" s="10" t="n">
        <x:v>3</x:v>
      </x:c>
      <x:c r="I874" s="19" t="n">
        <x:v>0.4</x:v>
      </x:c>
      <x:c r="J874" s="19" t="n">
        <x:v>0.8</x:v>
      </x:c>
      <x:c r="K874" s="19" t="n">
        <x:v>0.25</x:v>
      </x:c>
    </x:row>
    <x:row r="875" ht="23" customHeight="1">
      <x:c r="A875" s="2" t="str">
        <x:v>D040_T07_C080_G025</x:v>
      </x:c>
      <x:c r="B875" s="2" t="str">
        <x:v>A0029</x:v>
      </x:c>
      <x:c r="C875" s="10" t="n">
        <x:v>7</x:v>
      </x:c>
      <x:c r="D875" s="10" t="n">
        <x:v>10</x:v>
      </x:c>
      <x:c r="E875" s="10" t="n">
        <x:v>3</x:v>
      </x:c>
      <x:c r="F875" s="10" t="n">
        <x:v>1</x:v>
      </x:c>
      <x:c r="G875" s="10" t="n">
        <x:f>MIN(E875,3)</x:f>
        <x:v>3</x:v>
      </x:c>
      <x:c r="H875" s="10" t="n">
        <x:v>3</x:v>
      </x:c>
      <x:c r="I875" s="19" t="n">
        <x:v>0.4</x:v>
      </x:c>
      <x:c r="J875" s="19" t="n">
        <x:v>0.8</x:v>
      </x:c>
      <x:c r="K875" s="19" t="n">
        <x:v>0.25</x:v>
      </x:c>
    </x:row>
    <x:row r="876" ht="23" customHeight="1">
      <x:c r="A876" s="2" t="str">
        <x:v>D040_T07_C080_G025</x:v>
      </x:c>
      <x:c r="B876" s="2" t="str">
        <x:v>A0030</x:v>
      </x:c>
      <x:c r="C876" s="10" t="n">
        <x:v>7</x:v>
      </x:c>
      <x:c r="D876" s="10"/>
      <x:c r="E876" s="10" t="n">
        <x:v>3</x:v>
      </x:c>
      <x:c r="F876" s="10" t="n">
        <x:v>0</x:v>
      </x:c>
      <x:c r="G876" s="10" t="n">
        <x:f>MIN(E876,3)</x:f>
        <x:v>3</x:v>
      </x:c>
      <x:c r="H876" s="10" t="n">
        <x:v>3</x:v>
      </x:c>
      <x:c r="I876" s="19" t="n">
        <x:v>0.4</x:v>
      </x:c>
      <x:c r="J876" s="19" t="n">
        <x:v>0.8</x:v>
      </x:c>
      <x:c r="K876" s="19" t="n">
        <x:v>0.25</x:v>
      </x:c>
    </x:row>
    <x:row r="877" ht="23" customHeight="1">
      <x:c r="A877" s="2" t="str">
        <x:v>D040_T07_C080_G025</x:v>
      </x:c>
      <x:c r="B877" s="2" t="str">
        <x:v>A0032</x:v>
      </x:c>
      <x:c r="C877" s="10" t="n">
        <x:v>7</x:v>
      </x:c>
      <x:c r="D877" s="10"/>
      <x:c r="E877" s="10" t="n">
        <x:v>3</x:v>
      </x:c>
      <x:c r="F877" s="10" t="n">
        <x:v>0</x:v>
      </x:c>
      <x:c r="G877" s="10" t="n">
        <x:f>MIN(E877,3)</x:f>
        <x:v>3</x:v>
      </x:c>
      <x:c r="H877" s="10" t="n">
        <x:v>3</x:v>
      </x:c>
      <x:c r="I877" s="19" t="n">
        <x:v>0.4</x:v>
      </x:c>
      <x:c r="J877" s="19" t="n">
        <x:v>0.8</x:v>
      </x:c>
      <x:c r="K877" s="19" t="n">
        <x:v>0.25</x:v>
      </x:c>
    </x:row>
    <x:row r="878" ht="23" customHeight="1">
      <x:c r="A878" s="2" t="str">
        <x:v>D040_T07_C080_G025</x:v>
      </x:c>
      <x:c r="B878" s="2" t="str">
        <x:v>A0033</x:v>
      </x:c>
      <x:c r="C878" s="10" t="n">
        <x:v>7</x:v>
      </x:c>
      <x:c r="D878" s="10" t="n">
        <x:v>7</x:v>
      </x:c>
      <x:c r="E878" s="10" t="n">
        <x:v>0</x:v>
      </x:c>
      <x:c r="F878" s="10" t="n">
        <x:v>1</x:v>
      </x:c>
      <x:c r="G878" s="10" t="n">
        <x:f>MIN(E878,3)</x:f>
        <x:v>0</x:v>
      </x:c>
      <x:c r="H878" s="10" t="n">
        <x:v>3</x:v>
      </x:c>
      <x:c r="I878" s="19" t="n">
        <x:v>0.4</x:v>
      </x:c>
      <x:c r="J878" s="19" t="n">
        <x:v>0.8</x:v>
      </x:c>
      <x:c r="K878" s="19" t="n">
        <x:v>0.25</x:v>
      </x:c>
    </x:row>
    <x:row r="879" ht="23" customHeight="1">
      <x:c r="A879" s="2" t="str">
        <x:v>D040_T07_C080_G025</x:v>
      </x:c>
      <x:c r="B879" s="2" t="str">
        <x:v>A0034</x:v>
      </x:c>
      <x:c r="C879" s="10" t="n">
        <x:v>7</x:v>
      </x:c>
      <x:c r="D879" s="10"/>
      <x:c r="E879" s="10" t="n">
        <x:v>3</x:v>
      </x:c>
      <x:c r="F879" s="10" t="n">
        <x:v>0</x:v>
      </x:c>
      <x:c r="G879" s="10" t="n">
        <x:f>MIN(E879,3)</x:f>
        <x:v>3</x:v>
      </x:c>
      <x:c r="H879" s="10" t="n">
        <x:v>3</x:v>
      </x:c>
      <x:c r="I879" s="19" t="n">
        <x:v>0.4</x:v>
      </x:c>
      <x:c r="J879" s="19" t="n">
        <x:v>0.8</x:v>
      </x:c>
      <x:c r="K879" s="19" t="n">
        <x:v>0.25</x:v>
      </x:c>
    </x:row>
    <x:row r="880" ht="23" customHeight="1">
      <x:c r="A880" s="2" t="str">
        <x:v>D040_T07_C080_G025</x:v>
      </x:c>
      <x:c r="B880" s="2" t="str">
        <x:v>A0035</x:v>
      </x:c>
      <x:c r="C880" s="10" t="n">
        <x:v>7</x:v>
      </x:c>
      <x:c r="D880" s="10" t="n">
        <x:v>8</x:v>
      </x:c>
      <x:c r="E880" s="10" t="n">
        <x:v>1</x:v>
      </x:c>
      <x:c r="F880" s="10" t="n">
        <x:v>1</x:v>
      </x:c>
      <x:c r="G880" s="10" t="n">
        <x:f>MIN(E880,3)</x:f>
        <x:v>1</x:v>
      </x:c>
      <x:c r="H880" s="10" t="n">
        <x:v>3</x:v>
      </x:c>
      <x:c r="I880" s="19" t="n">
        <x:v>0.4</x:v>
      </x:c>
      <x:c r="J880" s="19" t="n">
        <x:v>0.8</x:v>
      </x:c>
      <x:c r="K880" s="19" t="n">
        <x:v>0.25</x:v>
      </x:c>
    </x:row>
    <x:row r="881" ht="23" customHeight="1">
      <x:c r="A881" s="2" t="str">
        <x:v>D040_T07_C080_G025</x:v>
      </x:c>
      <x:c r="B881" s="2" t="str">
        <x:v>A0036</x:v>
      </x:c>
      <x:c r="C881" s="10" t="n">
        <x:v>7</x:v>
      </x:c>
      <x:c r="D881" s="10" t="n">
        <x:v>10</x:v>
      </x:c>
      <x:c r="E881" s="10" t="n">
        <x:v>3</x:v>
      </x:c>
      <x:c r="F881" s="10" t="n">
        <x:v>1</x:v>
      </x:c>
      <x:c r="G881" s="10" t="n">
        <x:f>MIN(E881,3)</x:f>
        <x:v>3</x:v>
      </x:c>
      <x:c r="H881" s="10" t="n">
        <x:v>3</x:v>
      </x:c>
      <x:c r="I881" s="19" t="n">
        <x:v>0.4</x:v>
      </x:c>
      <x:c r="J881" s="19" t="n">
        <x:v>0.8</x:v>
      </x:c>
      <x:c r="K881" s="19" t="n">
        <x:v>0.25</x:v>
      </x:c>
    </x:row>
    <x:row r="882" ht="23" customHeight="1">
      <x:c r="A882" s="2" t="str">
        <x:v>D040_T07_C080_G025</x:v>
      </x:c>
      <x:c r="B882" s="2" t="str">
        <x:v>A0037</x:v>
      </x:c>
      <x:c r="C882" s="10" t="n">
        <x:v>7</x:v>
      </x:c>
      <x:c r="D882" s="10"/>
      <x:c r="E882" s="10" t="n">
        <x:v>3</x:v>
      </x:c>
      <x:c r="F882" s="10" t="n">
        <x:v>0</x:v>
      </x:c>
      <x:c r="G882" s="10" t="n">
        <x:f>MIN(E882,3)</x:f>
        <x:v>3</x:v>
      </x:c>
      <x:c r="H882" s="10" t="n">
        <x:v>3</x:v>
      </x:c>
      <x:c r="I882" s="19" t="n">
        <x:v>0.4</x:v>
      </x:c>
      <x:c r="J882" s="19" t="n">
        <x:v>0.8</x:v>
      </x:c>
      <x:c r="K882" s="19" t="n">
        <x:v>0.25</x:v>
      </x:c>
    </x:row>
    <x:row r="883" ht="23" customHeight="1">
      <x:c r="A883" s="2" t="str">
        <x:v>D040_T07_C080_G025</x:v>
      </x:c>
      <x:c r="B883" s="2" t="str">
        <x:v>A0038</x:v>
      </x:c>
      <x:c r="C883" s="10" t="n">
        <x:v>7</x:v>
      </x:c>
      <x:c r="D883" s="10"/>
      <x:c r="E883" s="10" t="n">
        <x:v>3</x:v>
      </x:c>
      <x:c r="F883" s="10" t="n">
        <x:v>0</x:v>
      </x:c>
      <x:c r="G883" s="10" t="n">
        <x:f>MIN(E883,3)</x:f>
        <x:v>3</x:v>
      </x:c>
      <x:c r="H883" s="10" t="n">
        <x:v>3</x:v>
      </x:c>
      <x:c r="I883" s="19" t="n">
        <x:v>0.4</x:v>
      </x:c>
      <x:c r="J883" s="19" t="n">
        <x:v>0.8</x:v>
      </x:c>
      <x:c r="K883" s="19" t="n">
        <x:v>0.25</x:v>
      </x:c>
    </x:row>
    <x:row r="884" ht="23" customHeight="1">
      <x:c r="A884" s="2" t="str">
        <x:v>D040_T07_C080_G025</x:v>
      </x:c>
      <x:c r="B884" s="2" t="str">
        <x:v>A0040</x:v>
      </x:c>
      <x:c r="C884" s="10" t="n">
        <x:v>7</x:v>
      </x:c>
      <x:c r="D884" s="10"/>
      <x:c r="E884" s="10" t="n">
        <x:v>3</x:v>
      </x:c>
      <x:c r="F884" s="10" t="n">
        <x:v>0</x:v>
      </x:c>
      <x:c r="G884" s="10" t="n">
        <x:f>MIN(E884,3)</x:f>
        <x:v>3</x:v>
      </x:c>
      <x:c r="H884" s="10" t="n">
        <x:v>3</x:v>
      </x:c>
      <x:c r="I884" s="19" t="n">
        <x:v>0.4</x:v>
      </x:c>
      <x:c r="J884" s="19" t="n">
        <x:v>0.8</x:v>
      </x:c>
      <x:c r="K884" s="19" t="n">
        <x:v>0.25</x:v>
      </x:c>
    </x:row>
    <x:row r="885" ht="23" customHeight="1">
      <x:c r="A885" s="2" t="str">
        <x:v>D040_T07_C080_G025</x:v>
      </x:c>
      <x:c r="B885" s="2" t="str">
        <x:v>A0041</x:v>
      </x:c>
      <x:c r="C885" s="10" t="n">
        <x:v>7</x:v>
      </x:c>
      <x:c r="D885" s="10"/>
      <x:c r="E885" s="10" t="n">
        <x:v>3</x:v>
      </x:c>
      <x:c r="F885" s="10" t="n">
        <x:v>0</x:v>
      </x:c>
      <x:c r="G885" s="10" t="n">
        <x:f>MIN(E885,3)</x:f>
        <x:v>3</x:v>
      </x:c>
      <x:c r="H885" s="10" t="n">
        <x:v>3</x:v>
      </x:c>
      <x:c r="I885" s="19" t="n">
        <x:v>0.4</x:v>
      </x:c>
      <x:c r="J885" s="19" t="n">
        <x:v>0.8</x:v>
      </x:c>
      <x:c r="K885" s="19" t="n">
        <x:v>0.25</x:v>
      </x:c>
    </x:row>
    <x:row r="886" ht="23" customHeight="1">
      <x:c r="A886" s="2" t="str">
        <x:v>D040_T07_C080_G025</x:v>
      </x:c>
      <x:c r="B886" s="2" t="str">
        <x:v>A0071</x:v>
      </x:c>
      <x:c r="C886" s="10" t="n">
        <x:v>7</x:v>
      </x:c>
      <x:c r="D886" s="10"/>
      <x:c r="E886" s="10" t="n">
        <x:v>3</x:v>
      </x:c>
      <x:c r="F886" s="10" t="n">
        <x:v>0</x:v>
      </x:c>
      <x:c r="G886" s="10" t="n">
        <x:f>MIN(E886,3)</x:f>
        <x:v>3</x:v>
      </x:c>
      <x:c r="H886" s="10" t="n">
        <x:v>3</x:v>
      </x:c>
      <x:c r="I886" s="19" t="n">
        <x:v>0.4</x:v>
      </x:c>
      <x:c r="J886" s="19" t="n">
        <x:v>0.8</x:v>
      </x:c>
      <x:c r="K886" s="19" t="n">
        <x:v>0.25</x:v>
      </x:c>
    </x:row>
    <x:row r="887" ht="23" customHeight="1">
      <x:c r="A887" s="2" t="str">
        <x:v>D040_T07_C080_G025</x:v>
      </x:c>
      <x:c r="B887" s="2" t="str">
        <x:v>A0090</x:v>
      </x:c>
      <x:c r="C887" s="10" t="n">
        <x:v>7</x:v>
      </x:c>
      <x:c r="D887" s="10"/>
      <x:c r="E887" s="10" t="n">
        <x:v>3</x:v>
      </x:c>
      <x:c r="F887" s="10" t="n">
        <x:v>0</x:v>
      </x:c>
      <x:c r="G887" s="10" t="n">
        <x:f>MIN(E887,3)</x:f>
        <x:v>3</x:v>
      </x:c>
      <x:c r="H887" s="10" t="n">
        <x:v>3</x:v>
      </x:c>
      <x:c r="I887" s="19" t="n">
        <x:v>0.4</x:v>
      </x:c>
      <x:c r="J887" s="19" t="n">
        <x:v>0.8</x:v>
      </x:c>
      <x:c r="K887" s="19" t="n">
        <x:v>0.25</x:v>
      </x:c>
    </x:row>
    <x:row r="888" ht="23" customHeight="1">
      <x:c r="A888" s="2" t="str">
        <x:v>D040_T07_C080_G025</x:v>
      </x:c>
      <x:c r="B888" s="2" t="str">
        <x:v>A0189</x:v>
      </x:c>
      <x:c r="C888" s="10" t="n">
        <x:v>7</x:v>
      </x:c>
      <x:c r="D888" s="10"/>
      <x:c r="E888" s="10" t="n">
        <x:v>3</x:v>
      </x:c>
      <x:c r="F888" s="10" t="n">
        <x:v>0</x:v>
      </x:c>
      <x:c r="G888" s="10" t="n">
        <x:f>MIN(E888,3)</x:f>
        <x:v>3</x:v>
      </x:c>
      <x:c r="H888" s="10" t="n">
        <x:v>3</x:v>
      </x:c>
      <x:c r="I888" s="19" t="n">
        <x:v>0.4</x:v>
      </x:c>
      <x:c r="J888" s="19" t="n">
        <x:v>0.8</x:v>
      </x:c>
      <x:c r="K888" s="19" t="n">
        <x:v>0.25</x:v>
      </x:c>
    </x:row>
    <x:row r="889" ht="23" customHeight="1">
      <x:c r="A889" s="2" t="str">
        <x:v>D040_T07_C080_G025</x:v>
      </x:c>
      <x:c r="B889" s="2" t="str">
        <x:v>A0206</x:v>
      </x:c>
      <x:c r="C889" s="10" t="n">
        <x:v>7</x:v>
      </x:c>
      <x:c r="D889" s="10" t="n">
        <x:v>7</x:v>
      </x:c>
      <x:c r="E889" s="10" t="n">
        <x:v>0</x:v>
      </x:c>
      <x:c r="F889" s="10" t="n">
        <x:v>1</x:v>
      </x:c>
      <x:c r="G889" s="10" t="n">
        <x:f>MIN(E889,3)</x:f>
        <x:v>0</x:v>
      </x:c>
      <x:c r="H889" s="10" t="n">
        <x:v>3</x:v>
      </x:c>
      <x:c r="I889" s="19" t="n">
        <x:v>0.4</x:v>
      </x:c>
      <x:c r="J889" s="19" t="n">
        <x:v>0.8</x:v>
      </x:c>
      <x:c r="K889" s="19" t="n">
        <x:v>0.25</x:v>
      </x:c>
    </x:row>
    <x:row r="890" ht="23" customHeight="1">
      <x:c r="A890" s="2" t="str">
        <x:v>D040_T07_C080_G050</x:v>
      </x:c>
      <x:c r="B890" s="2" t="str">
        <x:v>A0001</x:v>
      </x:c>
      <x:c r="C890" s="10" t="n">
        <x:v>7</x:v>
      </x:c>
      <x:c r="D890" s="10" t="n">
        <x:v>7</x:v>
      </x:c>
      <x:c r="E890" s="10" t="n">
        <x:v>0</x:v>
      </x:c>
      <x:c r="F890" s="10" t="n">
        <x:v>1</x:v>
      </x:c>
      <x:c r="G890" s="10" t="n">
        <x:f>MIN(E890,3)</x:f>
        <x:v>0</x:v>
      </x:c>
      <x:c r="H890" s="10" t="n">
        <x:v>3</x:v>
      </x:c>
      <x:c r="I890" s="19" t="n">
        <x:v>0.4</x:v>
      </x:c>
      <x:c r="J890" s="19" t="n">
        <x:v>0.8</x:v>
      </x:c>
      <x:c r="K890" s="19" t="n">
        <x:v>0.5</x:v>
      </x:c>
    </x:row>
    <x:row r="891" ht="23" customHeight="1">
      <x:c r="A891" s="2" t="str">
        <x:v>D040_T07_C080_G050</x:v>
      </x:c>
      <x:c r="B891" s="2" t="str">
        <x:v>A0002</x:v>
      </x:c>
      <x:c r="C891" s="10" t="n">
        <x:v>7</x:v>
      </x:c>
      <x:c r="D891" s="10" t="n">
        <x:v>8</x:v>
      </x:c>
      <x:c r="E891" s="10" t="n">
        <x:v>1</x:v>
      </x:c>
      <x:c r="F891" s="10" t="n">
        <x:v>1</x:v>
      </x:c>
      <x:c r="G891" s="10" t="n">
        <x:f>MIN(E891,3)</x:f>
        <x:v>1</x:v>
      </x:c>
      <x:c r="H891" s="10" t="n">
        <x:v>3</x:v>
      </x:c>
      <x:c r="I891" s="19" t="n">
        <x:v>0.4</x:v>
      </x:c>
      <x:c r="J891" s="19" t="n">
        <x:v>0.8</x:v>
      </x:c>
      <x:c r="K891" s="19" t="n">
        <x:v>0.5</x:v>
      </x:c>
    </x:row>
    <x:row r="892" ht="23" customHeight="1">
      <x:c r="A892" s="2" t="str">
        <x:v>D040_T07_C080_G050</x:v>
      </x:c>
      <x:c r="B892" s="2" t="str">
        <x:v>A0005</x:v>
      </x:c>
      <x:c r="C892" s="10" t="n">
        <x:v>7</x:v>
      </x:c>
      <x:c r="D892" s="10" t="n">
        <x:v>8</x:v>
      </x:c>
      <x:c r="E892" s="10" t="n">
        <x:v>1</x:v>
      </x:c>
      <x:c r="F892" s="10" t="n">
        <x:v>1</x:v>
      </x:c>
      <x:c r="G892" s="10" t="n">
        <x:f>MIN(E892,3)</x:f>
        <x:v>1</x:v>
      </x:c>
      <x:c r="H892" s="10" t="n">
        <x:v>3</x:v>
      </x:c>
      <x:c r="I892" s="19" t="n">
        <x:v>0.4</x:v>
      </x:c>
      <x:c r="J892" s="19" t="n">
        <x:v>0.8</x:v>
      </x:c>
      <x:c r="K892" s="19" t="n">
        <x:v>0.5</x:v>
      </x:c>
    </x:row>
    <x:row r="893" ht="23" customHeight="1">
      <x:c r="A893" s="2" t="str">
        <x:v>D040_T07_C080_G050</x:v>
      </x:c>
      <x:c r="B893" s="2" t="str">
        <x:v>A0007</x:v>
      </x:c>
      <x:c r="C893" s="10" t="n">
        <x:v>7</x:v>
      </x:c>
      <x:c r="D893" s="10" t="n">
        <x:v>7</x:v>
      </x:c>
      <x:c r="E893" s="10" t="n">
        <x:v>0</x:v>
      </x:c>
      <x:c r="F893" s="10" t="n">
        <x:v>1</x:v>
      </x:c>
      <x:c r="G893" s="10" t="n">
        <x:f>MIN(E893,3)</x:f>
        <x:v>0</x:v>
      </x:c>
      <x:c r="H893" s="10" t="n">
        <x:v>3</x:v>
      </x:c>
      <x:c r="I893" s="19" t="n">
        <x:v>0.4</x:v>
      </x:c>
      <x:c r="J893" s="19" t="n">
        <x:v>0.8</x:v>
      </x:c>
      <x:c r="K893" s="19" t="n">
        <x:v>0.5</x:v>
      </x:c>
    </x:row>
    <x:row r="894" ht="23" customHeight="1">
      <x:c r="A894" s="2" t="str">
        <x:v>D040_T07_C080_G050</x:v>
      </x:c>
      <x:c r="B894" s="2" t="str">
        <x:v>A0008</x:v>
      </x:c>
      <x:c r="C894" s="10" t="n">
        <x:v>7</x:v>
      </x:c>
      <x:c r="D894" s="10" t="n">
        <x:v>7</x:v>
      </x:c>
      <x:c r="E894" s="10" t="n">
        <x:v>0</x:v>
      </x:c>
      <x:c r="F894" s="10" t="n">
        <x:v>1</x:v>
      </x:c>
      <x:c r="G894" s="10" t="n">
        <x:f>MIN(E894,3)</x:f>
        <x:v>0</x:v>
      </x:c>
      <x:c r="H894" s="10" t="n">
        <x:v>3</x:v>
      </x:c>
      <x:c r="I894" s="19" t="n">
        <x:v>0.4</x:v>
      </x:c>
      <x:c r="J894" s="19" t="n">
        <x:v>0.8</x:v>
      </x:c>
      <x:c r="K894" s="19" t="n">
        <x:v>0.5</x:v>
      </x:c>
    </x:row>
    <x:row r="895" ht="23" customHeight="1">
      <x:c r="A895" s="2" t="str">
        <x:v>D040_T07_C080_G050</x:v>
      </x:c>
      <x:c r="B895" s="2" t="str">
        <x:v>A0010</x:v>
      </x:c>
      <x:c r="C895" s="10" t="n">
        <x:v>7</x:v>
      </x:c>
      <x:c r="D895" s="10" t="n">
        <x:v>8</x:v>
      </x:c>
      <x:c r="E895" s="10" t="n">
        <x:v>1</x:v>
      </x:c>
      <x:c r="F895" s="10" t="n">
        <x:v>1</x:v>
      </x:c>
      <x:c r="G895" s="10" t="n">
        <x:f>MIN(E895,3)</x:f>
        <x:v>1</x:v>
      </x:c>
      <x:c r="H895" s="10" t="n">
        <x:v>3</x:v>
      </x:c>
      <x:c r="I895" s="19" t="n">
        <x:v>0.4</x:v>
      </x:c>
      <x:c r="J895" s="19" t="n">
        <x:v>0.8</x:v>
      </x:c>
      <x:c r="K895" s="19" t="n">
        <x:v>0.5</x:v>
      </x:c>
    </x:row>
    <x:row r="896" ht="23" customHeight="1">
      <x:c r="A896" s="2" t="str">
        <x:v>D040_T07_C080_G050</x:v>
      </x:c>
      <x:c r="B896" s="2" t="str">
        <x:v>A0011</x:v>
      </x:c>
      <x:c r="C896" s="10" t="n">
        <x:v>7</x:v>
      </x:c>
      <x:c r="D896" s="10"/>
      <x:c r="E896" s="10" t="n">
        <x:v>3</x:v>
      </x:c>
      <x:c r="F896" s="10" t="n">
        <x:v>0</x:v>
      </x:c>
      <x:c r="G896" s="10" t="n">
        <x:f>MIN(E896,3)</x:f>
        <x:v>3</x:v>
      </x:c>
      <x:c r="H896" s="10" t="n">
        <x:v>3</x:v>
      </x:c>
      <x:c r="I896" s="19" t="n">
        <x:v>0.4</x:v>
      </x:c>
      <x:c r="J896" s="19" t="n">
        <x:v>0.8</x:v>
      </x:c>
      <x:c r="K896" s="19" t="n">
        <x:v>0.5</x:v>
      </x:c>
    </x:row>
    <x:row r="897" ht="23" customHeight="1">
      <x:c r="A897" s="2" t="str">
        <x:v>D040_T07_C080_G050</x:v>
      </x:c>
      <x:c r="B897" s="2" t="str">
        <x:v>A0012</x:v>
      </x:c>
      <x:c r="C897" s="10" t="n">
        <x:v>7</x:v>
      </x:c>
      <x:c r="D897" s="10" t="n">
        <x:v>10</x:v>
      </x:c>
      <x:c r="E897" s="10" t="n">
        <x:v>3</x:v>
      </x:c>
      <x:c r="F897" s="10" t="n">
        <x:v>1</x:v>
      </x:c>
      <x:c r="G897" s="10" t="n">
        <x:f>MIN(E897,3)</x:f>
        <x:v>3</x:v>
      </x:c>
      <x:c r="H897" s="10" t="n">
        <x:v>3</x:v>
      </x:c>
      <x:c r="I897" s="19" t="n">
        <x:v>0.4</x:v>
      </x:c>
      <x:c r="J897" s="19" t="n">
        <x:v>0.8</x:v>
      </x:c>
      <x:c r="K897" s="19" t="n">
        <x:v>0.5</x:v>
      </x:c>
    </x:row>
    <x:row r="898" ht="23" customHeight="1">
      <x:c r="A898" s="2" t="str">
        <x:v>D040_T07_C080_G050</x:v>
      </x:c>
      <x:c r="B898" s="2" t="str">
        <x:v>A0016</x:v>
      </x:c>
      <x:c r="C898" s="10" t="n">
        <x:v>7</x:v>
      </x:c>
      <x:c r="D898" s="10" t="n">
        <x:v>8</x:v>
      </x:c>
      <x:c r="E898" s="10" t="n">
        <x:v>1</x:v>
      </x:c>
      <x:c r="F898" s="10" t="n">
        <x:v>1</x:v>
      </x:c>
      <x:c r="G898" s="10" t="n">
        <x:f>MIN(E898,3)</x:f>
        <x:v>1</x:v>
      </x:c>
      <x:c r="H898" s="10" t="n">
        <x:v>3</x:v>
      </x:c>
      <x:c r="I898" s="19" t="n">
        <x:v>0.4</x:v>
      </x:c>
      <x:c r="J898" s="19" t="n">
        <x:v>0.8</x:v>
      </x:c>
      <x:c r="K898" s="19" t="n">
        <x:v>0.5</x:v>
      </x:c>
    </x:row>
    <x:row r="899" ht="23" customHeight="1">
      <x:c r="A899" s="2" t="str">
        <x:v>D040_T07_C080_G050</x:v>
      </x:c>
      <x:c r="B899" s="2" t="str">
        <x:v>A0017</x:v>
      </x:c>
      <x:c r="C899" s="10" t="n">
        <x:v>7</x:v>
      </x:c>
      <x:c r="D899" s="10" t="n">
        <x:v>9</x:v>
      </x:c>
      <x:c r="E899" s="10" t="n">
        <x:v>2</x:v>
      </x:c>
      <x:c r="F899" s="10" t="n">
        <x:v>1</x:v>
      </x:c>
      <x:c r="G899" s="10" t="n">
        <x:f>MIN(E899,3)</x:f>
        <x:v>2</x:v>
      </x:c>
      <x:c r="H899" s="10" t="n">
        <x:v>3</x:v>
      </x:c>
      <x:c r="I899" s="19" t="n">
        <x:v>0.4</x:v>
      </x:c>
      <x:c r="J899" s="19" t="n">
        <x:v>0.8</x:v>
      </x:c>
      <x:c r="K899" s="19" t="n">
        <x:v>0.5</x:v>
      </x:c>
    </x:row>
    <x:row r="900" ht="23" customHeight="1">
      <x:c r="A900" s="2" t="str">
        <x:v>D040_T07_C080_G050</x:v>
      </x:c>
      <x:c r="B900" s="2" t="str">
        <x:v>A0018</x:v>
      </x:c>
      <x:c r="C900" s="10" t="n">
        <x:v>7</x:v>
      </x:c>
      <x:c r="D900" s="10" t="n">
        <x:v>7</x:v>
      </x:c>
      <x:c r="E900" s="10" t="n">
        <x:v>0</x:v>
      </x:c>
      <x:c r="F900" s="10" t="n">
        <x:v>1</x:v>
      </x:c>
      <x:c r="G900" s="10" t="n">
        <x:f>MIN(E900,3)</x:f>
        <x:v>0</x:v>
      </x:c>
      <x:c r="H900" s="10" t="n">
        <x:v>3</x:v>
      </x:c>
      <x:c r="I900" s="19" t="n">
        <x:v>0.4</x:v>
      </x:c>
      <x:c r="J900" s="19" t="n">
        <x:v>0.8</x:v>
      </x:c>
      <x:c r="K900" s="19" t="n">
        <x:v>0.5</x:v>
      </x:c>
    </x:row>
    <x:row r="901" ht="23" customHeight="1">
      <x:c r="A901" s="2" t="str">
        <x:v>D040_T07_C080_G050</x:v>
      </x:c>
      <x:c r="B901" s="2" t="str">
        <x:v>A0019</x:v>
      </x:c>
      <x:c r="C901" s="10" t="n">
        <x:v>7</x:v>
      </x:c>
      <x:c r="D901" s="10" t="n">
        <x:v>7</x:v>
      </x:c>
      <x:c r="E901" s="10" t="n">
        <x:v>0</x:v>
      </x:c>
      <x:c r="F901" s="10" t="n">
        <x:v>1</x:v>
      </x:c>
      <x:c r="G901" s="10" t="n">
        <x:f>MIN(E901,3)</x:f>
        <x:v>0</x:v>
      </x:c>
      <x:c r="H901" s="10" t="n">
        <x:v>3</x:v>
      </x:c>
      <x:c r="I901" s="19" t="n">
        <x:v>0.4</x:v>
      </x:c>
      <x:c r="J901" s="19" t="n">
        <x:v>0.8</x:v>
      </x:c>
      <x:c r="K901" s="19" t="n">
        <x:v>0.5</x:v>
      </x:c>
    </x:row>
    <x:row r="902" ht="23" customHeight="1">
      <x:c r="A902" s="2" t="str">
        <x:v>D040_T07_C080_G050</x:v>
      </x:c>
      <x:c r="B902" s="2" t="str">
        <x:v>A0020</x:v>
      </x:c>
      <x:c r="C902" s="10" t="n">
        <x:v>7</x:v>
      </x:c>
      <x:c r="D902" s="10" t="n">
        <x:v>8</x:v>
      </x:c>
      <x:c r="E902" s="10" t="n">
        <x:v>1</x:v>
      </x:c>
      <x:c r="F902" s="10" t="n">
        <x:v>1</x:v>
      </x:c>
      <x:c r="G902" s="10" t="n">
        <x:f>MIN(E902,3)</x:f>
        <x:v>1</x:v>
      </x:c>
      <x:c r="H902" s="10" t="n">
        <x:v>3</x:v>
      </x:c>
      <x:c r="I902" s="19" t="n">
        <x:v>0.4</x:v>
      </x:c>
      <x:c r="J902" s="19" t="n">
        <x:v>0.8</x:v>
      </x:c>
      <x:c r="K902" s="19" t="n">
        <x:v>0.5</x:v>
      </x:c>
    </x:row>
    <x:row r="903" ht="23" customHeight="1">
      <x:c r="A903" s="2" t="str">
        <x:v>D040_T07_C080_G050</x:v>
      </x:c>
      <x:c r="B903" s="2" t="str">
        <x:v>A0022</x:v>
      </x:c>
      <x:c r="C903" s="10" t="n">
        <x:v>7</x:v>
      </x:c>
      <x:c r="D903" s="10" t="n">
        <x:v>8</x:v>
      </x:c>
      <x:c r="E903" s="10" t="n">
        <x:v>1</x:v>
      </x:c>
      <x:c r="F903" s="10" t="n">
        <x:v>1</x:v>
      </x:c>
      <x:c r="G903" s="10" t="n">
        <x:f>MIN(E903,3)</x:f>
        <x:v>1</x:v>
      </x:c>
      <x:c r="H903" s="10" t="n">
        <x:v>3</x:v>
      </x:c>
      <x:c r="I903" s="19" t="n">
        <x:v>0.4</x:v>
      </x:c>
      <x:c r="J903" s="19" t="n">
        <x:v>0.8</x:v>
      </x:c>
      <x:c r="K903" s="19" t="n">
        <x:v>0.5</x:v>
      </x:c>
    </x:row>
    <x:row r="904" ht="23" customHeight="1">
      <x:c r="A904" s="2" t="str">
        <x:v>D040_T07_C080_G050</x:v>
      </x:c>
      <x:c r="B904" s="2" t="str">
        <x:v>A0024</x:v>
      </x:c>
      <x:c r="C904" s="10" t="n">
        <x:v>7</x:v>
      </x:c>
      <x:c r="D904" s="10"/>
      <x:c r="E904" s="10" t="n">
        <x:v>3</x:v>
      </x:c>
      <x:c r="F904" s="10" t="n">
        <x:v>0</x:v>
      </x:c>
      <x:c r="G904" s="10" t="n">
        <x:f>MIN(E904,3)</x:f>
        <x:v>3</x:v>
      </x:c>
      <x:c r="H904" s="10" t="n">
        <x:v>3</x:v>
      </x:c>
      <x:c r="I904" s="19" t="n">
        <x:v>0.4</x:v>
      </x:c>
      <x:c r="J904" s="19" t="n">
        <x:v>0.8</x:v>
      </x:c>
      <x:c r="K904" s="19" t="n">
        <x:v>0.5</x:v>
      </x:c>
    </x:row>
    <x:row r="905" ht="23" customHeight="1">
      <x:c r="A905" s="2" t="str">
        <x:v>D040_T07_C080_G050</x:v>
      </x:c>
      <x:c r="B905" s="2" t="str">
        <x:v>A0025</x:v>
      </x:c>
      <x:c r="C905" s="10" t="n">
        <x:v>7</x:v>
      </x:c>
      <x:c r="D905" s="10" t="n">
        <x:v>7</x:v>
      </x:c>
      <x:c r="E905" s="10" t="n">
        <x:v>0</x:v>
      </x:c>
      <x:c r="F905" s="10" t="n">
        <x:v>1</x:v>
      </x:c>
      <x:c r="G905" s="10" t="n">
        <x:f>MIN(E905,3)</x:f>
        <x:v>0</x:v>
      </x:c>
      <x:c r="H905" s="10" t="n">
        <x:v>3</x:v>
      </x:c>
      <x:c r="I905" s="19" t="n">
        <x:v>0.4</x:v>
      </x:c>
      <x:c r="J905" s="19" t="n">
        <x:v>0.8</x:v>
      </x:c>
      <x:c r="K905" s="19" t="n">
        <x:v>0.5</x:v>
      </x:c>
    </x:row>
    <x:row r="906" ht="23" customHeight="1">
      <x:c r="A906" s="2" t="str">
        <x:v>D040_T07_C080_G050</x:v>
      </x:c>
      <x:c r="B906" s="2" t="str">
        <x:v>A0026</x:v>
      </x:c>
      <x:c r="C906" s="10" t="n">
        <x:v>7</x:v>
      </x:c>
      <x:c r="D906" s="10" t="n">
        <x:v>7</x:v>
      </x:c>
      <x:c r="E906" s="10" t="n">
        <x:v>0</x:v>
      </x:c>
      <x:c r="F906" s="10" t="n">
        <x:v>1</x:v>
      </x:c>
      <x:c r="G906" s="10" t="n">
        <x:f>MIN(E906,3)</x:f>
        <x:v>0</x:v>
      </x:c>
      <x:c r="H906" s="10" t="n">
        <x:v>3</x:v>
      </x:c>
      <x:c r="I906" s="19" t="n">
        <x:v>0.4</x:v>
      </x:c>
      <x:c r="J906" s="19" t="n">
        <x:v>0.8</x:v>
      </x:c>
      <x:c r="K906" s="19" t="n">
        <x:v>0.5</x:v>
      </x:c>
    </x:row>
    <x:row r="907" ht="23" customHeight="1">
      <x:c r="A907" s="2" t="str">
        <x:v>D040_T07_C080_G050</x:v>
      </x:c>
      <x:c r="B907" s="2" t="str">
        <x:v>A0030</x:v>
      </x:c>
      <x:c r="C907" s="10" t="n">
        <x:v>7</x:v>
      </x:c>
      <x:c r="D907" s="10" t="n">
        <x:v>8</x:v>
      </x:c>
      <x:c r="E907" s="10" t="n">
        <x:v>1</x:v>
      </x:c>
      <x:c r="F907" s="10" t="n">
        <x:v>1</x:v>
      </x:c>
      <x:c r="G907" s="10" t="n">
        <x:f>MIN(E907,3)</x:f>
        <x:v>1</x:v>
      </x:c>
      <x:c r="H907" s="10" t="n">
        <x:v>3</x:v>
      </x:c>
      <x:c r="I907" s="19" t="n">
        <x:v>0.4</x:v>
      </x:c>
      <x:c r="J907" s="19" t="n">
        <x:v>0.8</x:v>
      </x:c>
      <x:c r="K907" s="19" t="n">
        <x:v>0.5</x:v>
      </x:c>
    </x:row>
    <x:row r="908" ht="23" customHeight="1">
      <x:c r="A908" s="2" t="str">
        <x:v>D040_T07_C080_G050</x:v>
      </x:c>
      <x:c r="B908" s="2" t="str">
        <x:v>A0032</x:v>
      </x:c>
      <x:c r="C908" s="10" t="n">
        <x:v>7</x:v>
      </x:c>
      <x:c r="D908" s="10" t="n">
        <x:v>8</x:v>
      </x:c>
      <x:c r="E908" s="10" t="n">
        <x:v>1</x:v>
      </x:c>
      <x:c r="F908" s="10" t="n">
        <x:v>1</x:v>
      </x:c>
      <x:c r="G908" s="10" t="n">
        <x:f>MIN(E908,3)</x:f>
        <x:v>1</x:v>
      </x:c>
      <x:c r="H908" s="10" t="n">
        <x:v>3</x:v>
      </x:c>
      <x:c r="I908" s="19" t="n">
        <x:v>0.4</x:v>
      </x:c>
      <x:c r="J908" s="19" t="n">
        <x:v>0.8</x:v>
      </x:c>
      <x:c r="K908" s="19" t="n">
        <x:v>0.5</x:v>
      </x:c>
    </x:row>
    <x:row r="909" ht="23" customHeight="1">
      <x:c r="A909" s="2" t="str">
        <x:v>D040_T07_C080_G050</x:v>
      </x:c>
      <x:c r="B909" s="2" t="str">
        <x:v>A0033</x:v>
      </x:c>
      <x:c r="C909" s="10" t="n">
        <x:v>7</x:v>
      </x:c>
      <x:c r="D909" s="10" t="n">
        <x:v>7</x:v>
      </x:c>
      <x:c r="E909" s="10" t="n">
        <x:v>0</x:v>
      </x:c>
      <x:c r="F909" s="10" t="n">
        <x:v>1</x:v>
      </x:c>
      <x:c r="G909" s="10" t="n">
        <x:f>MIN(E909,3)</x:f>
        <x:v>0</x:v>
      </x:c>
      <x:c r="H909" s="10" t="n">
        <x:v>3</x:v>
      </x:c>
      <x:c r="I909" s="19" t="n">
        <x:v>0.4</x:v>
      </x:c>
      <x:c r="J909" s="19" t="n">
        <x:v>0.8</x:v>
      </x:c>
      <x:c r="K909" s="19" t="n">
        <x:v>0.5</x:v>
      </x:c>
    </x:row>
    <x:row r="910" ht="23" customHeight="1">
      <x:c r="A910" s="2" t="str">
        <x:v>D040_T07_C080_G050</x:v>
      </x:c>
      <x:c r="B910" s="2" t="str">
        <x:v>A0036</x:v>
      </x:c>
      <x:c r="C910" s="10" t="n">
        <x:v>7</x:v>
      </x:c>
      <x:c r="D910" s="10" t="n">
        <x:v>7</x:v>
      </x:c>
      <x:c r="E910" s="10" t="n">
        <x:v>0</x:v>
      </x:c>
      <x:c r="F910" s="10" t="n">
        <x:v>1</x:v>
      </x:c>
      <x:c r="G910" s="10" t="n">
        <x:f>MIN(E910,3)</x:f>
        <x:v>0</x:v>
      </x:c>
      <x:c r="H910" s="10" t="n">
        <x:v>3</x:v>
      </x:c>
      <x:c r="I910" s="19" t="n">
        <x:v>0.4</x:v>
      </x:c>
      <x:c r="J910" s="19" t="n">
        <x:v>0.8</x:v>
      </x:c>
      <x:c r="K910" s="19" t="n">
        <x:v>0.5</x:v>
      </x:c>
    </x:row>
    <x:row r="911" ht="23" customHeight="1">
      <x:c r="A911" s="2" t="str">
        <x:v>D040_T07_C080_G050</x:v>
      </x:c>
      <x:c r="B911" s="2" t="str">
        <x:v>A0037</x:v>
      </x:c>
      <x:c r="C911" s="10" t="n">
        <x:v>7</x:v>
      </x:c>
      <x:c r="D911" s="10" t="n">
        <x:v>7</x:v>
      </x:c>
      <x:c r="E911" s="10" t="n">
        <x:v>0</x:v>
      </x:c>
      <x:c r="F911" s="10" t="n">
        <x:v>1</x:v>
      </x:c>
      <x:c r="G911" s="10" t="n">
        <x:f>MIN(E911,3)</x:f>
        <x:v>0</x:v>
      </x:c>
      <x:c r="H911" s="10" t="n">
        <x:v>3</x:v>
      </x:c>
      <x:c r="I911" s="19" t="n">
        <x:v>0.4</x:v>
      </x:c>
      <x:c r="J911" s="19" t="n">
        <x:v>0.8</x:v>
      </x:c>
      <x:c r="K911" s="19" t="n">
        <x:v>0.5</x:v>
      </x:c>
    </x:row>
    <x:row r="912" ht="23" customHeight="1">
      <x:c r="A912" s="2" t="str">
        <x:v>D040_T07_C080_G050</x:v>
      </x:c>
      <x:c r="B912" s="2" t="str">
        <x:v>A0038</x:v>
      </x:c>
      <x:c r="C912" s="10" t="n">
        <x:v>7</x:v>
      </x:c>
      <x:c r="D912" s="10" t="n">
        <x:v>8</x:v>
      </x:c>
      <x:c r="E912" s="10" t="n">
        <x:v>1</x:v>
      </x:c>
      <x:c r="F912" s="10" t="n">
        <x:v>1</x:v>
      </x:c>
      <x:c r="G912" s="10" t="n">
        <x:f>MIN(E912,3)</x:f>
        <x:v>1</x:v>
      </x:c>
      <x:c r="H912" s="10" t="n">
        <x:v>3</x:v>
      </x:c>
      <x:c r="I912" s="19" t="n">
        <x:v>0.4</x:v>
      </x:c>
      <x:c r="J912" s="19" t="n">
        <x:v>0.8</x:v>
      </x:c>
      <x:c r="K912" s="19" t="n">
        <x:v>0.5</x:v>
      </x:c>
    </x:row>
    <x:row r="913" ht="23" customHeight="1">
      <x:c r="A913" s="2" t="str">
        <x:v>D040_T07_C080_G050</x:v>
      </x:c>
      <x:c r="B913" s="2" t="str">
        <x:v>A0039</x:v>
      </x:c>
      <x:c r="C913" s="10" t="n">
        <x:v>7</x:v>
      </x:c>
      <x:c r="D913" s="10" t="n">
        <x:v>7</x:v>
      </x:c>
      <x:c r="E913" s="10" t="n">
        <x:v>0</x:v>
      </x:c>
      <x:c r="F913" s="10" t="n">
        <x:v>1</x:v>
      </x:c>
      <x:c r="G913" s="10" t="n">
        <x:f>MIN(E913,3)</x:f>
        <x:v>0</x:v>
      </x:c>
      <x:c r="H913" s="10" t="n">
        <x:v>3</x:v>
      </x:c>
      <x:c r="I913" s="19" t="n">
        <x:v>0.4</x:v>
      </x:c>
      <x:c r="J913" s="19" t="n">
        <x:v>0.8</x:v>
      </x:c>
      <x:c r="K913" s="19" t="n">
        <x:v>0.5</x:v>
      </x:c>
    </x:row>
    <x:row r="914" ht="23" customHeight="1">
      <x:c r="A914" s="2" t="str">
        <x:v>D040_T07_C080_G050</x:v>
      </x:c>
      <x:c r="B914" s="2" t="str">
        <x:v>A0040</x:v>
      </x:c>
      <x:c r="C914" s="10" t="n">
        <x:v>7</x:v>
      </x:c>
      <x:c r="D914" s="10" t="n">
        <x:v>7</x:v>
      </x:c>
      <x:c r="E914" s="10" t="n">
        <x:v>0</x:v>
      </x:c>
      <x:c r="F914" s="10" t="n">
        <x:v>1</x:v>
      </x:c>
      <x:c r="G914" s="10" t="n">
        <x:f>MIN(E914,3)</x:f>
        <x:v>0</x:v>
      </x:c>
      <x:c r="H914" s="10" t="n">
        <x:v>3</x:v>
      </x:c>
      <x:c r="I914" s="19" t="n">
        <x:v>0.4</x:v>
      </x:c>
      <x:c r="J914" s="19" t="n">
        <x:v>0.8</x:v>
      </x:c>
      <x:c r="K914" s="19" t="n">
        <x:v>0.5</x:v>
      </x:c>
    </x:row>
    <x:row r="915" ht="23" customHeight="1">
      <x:c r="A915" s="2" t="str">
        <x:v>D040_T07_C080_G050</x:v>
      </x:c>
      <x:c r="B915" s="2" t="str">
        <x:v>A0041</x:v>
      </x:c>
      <x:c r="C915" s="10" t="n">
        <x:v>7</x:v>
      </x:c>
      <x:c r="D915" s="10" t="n">
        <x:v>7</x:v>
      </x:c>
      <x:c r="E915" s="10" t="n">
        <x:v>0</x:v>
      </x:c>
      <x:c r="F915" s="10" t="n">
        <x:v>1</x:v>
      </x:c>
      <x:c r="G915" s="10" t="n">
        <x:f>MIN(E915,3)</x:f>
        <x:v>0</x:v>
      </x:c>
      <x:c r="H915" s="10" t="n">
        <x:v>3</x:v>
      </x:c>
      <x:c r="I915" s="19" t="n">
        <x:v>0.4</x:v>
      </x:c>
      <x:c r="J915" s="19" t="n">
        <x:v>0.8</x:v>
      </x:c>
      <x:c r="K915" s="19" t="n">
        <x:v>0.5</x:v>
      </x:c>
    </x:row>
    <x:row r="916" ht="23" customHeight="1">
      <x:c r="A916" s="2" t="str">
        <x:v>D040_T07_C080_G050</x:v>
      </x:c>
      <x:c r="B916" s="2" t="str">
        <x:v>A0042</x:v>
      </x:c>
      <x:c r="C916" s="10" t="n">
        <x:v>7</x:v>
      </x:c>
      <x:c r="D916" s="10" t="n">
        <x:v>7</x:v>
      </x:c>
      <x:c r="E916" s="10" t="n">
        <x:v>0</x:v>
      </x:c>
      <x:c r="F916" s="10" t="n">
        <x:v>1</x:v>
      </x:c>
      <x:c r="G916" s="10" t="n">
        <x:f>MIN(E916,3)</x:f>
        <x:v>0</x:v>
      </x:c>
      <x:c r="H916" s="10" t="n">
        <x:v>3</x:v>
      </x:c>
      <x:c r="I916" s="19" t="n">
        <x:v>0.4</x:v>
      </x:c>
      <x:c r="J916" s="19" t="n">
        <x:v>0.8</x:v>
      </x:c>
      <x:c r="K916" s="19" t="n">
        <x:v>0.5</x:v>
      </x:c>
    </x:row>
    <x:row r="917" ht="23" customHeight="1">
      <x:c r="A917" s="2" t="str">
        <x:v>D040_T07_C080_G050</x:v>
      </x:c>
      <x:c r="B917" s="2" t="str">
        <x:v>A0071</x:v>
      </x:c>
      <x:c r="C917" s="10" t="n">
        <x:v>7</x:v>
      </x:c>
      <x:c r="D917" s="10" t="n">
        <x:v>8</x:v>
      </x:c>
      <x:c r="E917" s="10" t="n">
        <x:v>1</x:v>
      </x:c>
      <x:c r="F917" s="10" t="n">
        <x:v>1</x:v>
      </x:c>
      <x:c r="G917" s="10" t="n">
        <x:f>MIN(E917,3)</x:f>
        <x:v>1</x:v>
      </x:c>
      <x:c r="H917" s="10" t="n">
        <x:v>3</x:v>
      </x:c>
      <x:c r="I917" s="19" t="n">
        <x:v>0.4</x:v>
      </x:c>
      <x:c r="J917" s="19" t="n">
        <x:v>0.8</x:v>
      </x:c>
      <x:c r="K917" s="19" t="n">
        <x:v>0.5</x:v>
      </x:c>
    </x:row>
    <x:row r="918" ht="23" customHeight="1">
      <x:c r="A918" s="2" t="str">
        <x:v>D040_T07_C080_G050</x:v>
      </x:c>
      <x:c r="B918" s="2" t="str">
        <x:v>A0090</x:v>
      </x:c>
      <x:c r="C918" s="10" t="n">
        <x:v>7</x:v>
      </x:c>
      <x:c r="D918" s="10"/>
      <x:c r="E918" s="10" t="n">
        <x:v>3</x:v>
      </x:c>
      <x:c r="F918" s="10" t="n">
        <x:v>0</x:v>
      </x:c>
      <x:c r="G918" s="10" t="n">
        <x:f>MIN(E918,3)</x:f>
        <x:v>3</x:v>
      </x:c>
      <x:c r="H918" s="10" t="n">
        <x:v>3</x:v>
      </x:c>
      <x:c r="I918" s="19" t="n">
        <x:v>0.4</x:v>
      </x:c>
      <x:c r="J918" s="19" t="n">
        <x:v>0.8</x:v>
      </x:c>
      <x:c r="K918" s="19" t="n">
        <x:v>0.5</x:v>
      </x:c>
    </x:row>
    <x:row r="919" ht="23" customHeight="1">
      <x:c r="A919" s="2" t="str">
        <x:v>D040_T07_C080_G050</x:v>
      </x:c>
      <x:c r="B919" s="2" t="str">
        <x:v>A0189</x:v>
      </x:c>
      <x:c r="C919" s="10" t="n">
        <x:v>7</x:v>
      </x:c>
      <x:c r="D919" s="10" t="n">
        <x:v>8</x:v>
      </x:c>
      <x:c r="E919" s="10" t="n">
        <x:v>1</x:v>
      </x:c>
      <x:c r="F919" s="10" t="n">
        <x:v>1</x:v>
      </x:c>
      <x:c r="G919" s="10" t="n">
        <x:f>MIN(E919,3)</x:f>
        <x:v>1</x:v>
      </x:c>
      <x:c r="H919" s="10" t="n">
        <x:v>3</x:v>
      </x:c>
      <x:c r="I919" s="19" t="n">
        <x:v>0.4</x:v>
      </x:c>
      <x:c r="J919" s="19" t="n">
        <x:v>0.8</x:v>
      </x:c>
      <x:c r="K919" s="19" t="n">
        <x:v>0.5</x:v>
      </x:c>
    </x:row>
    <x:row r="920" ht="23" customHeight="1">
      <x:c r="A920" s="2" t="str">
        <x:v>D040_T07_C080_G050</x:v>
      </x:c>
      <x:c r="B920" s="2" t="str">
        <x:v>A0206</x:v>
      </x:c>
      <x:c r="C920" s="10" t="n">
        <x:v>7</x:v>
      </x:c>
      <x:c r="D920" s="10" t="n">
        <x:v>7</x:v>
      </x:c>
      <x:c r="E920" s="10" t="n">
        <x:v>0</x:v>
      </x:c>
      <x:c r="F920" s="10" t="n">
        <x:v>1</x:v>
      </x:c>
      <x:c r="G920" s="10" t="n">
        <x:f>MIN(E920,3)</x:f>
        <x:v>0</x:v>
      </x:c>
      <x:c r="H920" s="10" t="n">
        <x:v>3</x:v>
      </x:c>
      <x:c r="I920" s="19" t="n">
        <x:v>0.4</x:v>
      </x:c>
      <x:c r="J920" s="19" t="n">
        <x:v>0.8</x:v>
      </x:c>
      <x:c r="K920" s="19" t="n">
        <x:v>0.5</x:v>
      </x:c>
    </x:row>
    <x:row r="921" ht="23" customHeight="1">
      <x:c r="A921" s="2" t="str">
        <x:v>D040_T07_C080_G075</x:v>
      </x:c>
      <x:c r="B921" s="2" t="str">
        <x:v>A0001</x:v>
      </x:c>
      <x:c r="C921" s="10" t="n">
        <x:v>7</x:v>
      </x:c>
      <x:c r="D921" s="10" t="n">
        <x:v>7</x:v>
      </x:c>
      <x:c r="E921" s="10" t="n">
        <x:v>0</x:v>
      </x:c>
      <x:c r="F921" s="10" t="n">
        <x:v>1</x:v>
      </x:c>
      <x:c r="G921" s="10" t="n">
        <x:f>MIN(E921,3)</x:f>
        <x:v>0</x:v>
      </x:c>
      <x:c r="H921" s="10" t="n">
        <x:v>3</x:v>
      </x:c>
      <x:c r="I921" s="19" t="n">
        <x:v>0.4</x:v>
      </x:c>
      <x:c r="J921" s="19" t="n">
        <x:v>0.8</x:v>
      </x:c>
      <x:c r="K921" s="19" t="n">
        <x:v>0.75</x:v>
      </x:c>
    </x:row>
    <x:row r="922" ht="23" customHeight="1">
      <x:c r="A922" s="2" t="str">
        <x:v>D040_T07_C080_G075</x:v>
      </x:c>
      <x:c r="B922" s="2" t="str">
        <x:v>A0002</x:v>
      </x:c>
      <x:c r="C922" s="10" t="n">
        <x:v>7</x:v>
      </x:c>
      <x:c r="D922" s="10" t="n">
        <x:v>8</x:v>
      </x:c>
      <x:c r="E922" s="10" t="n">
        <x:v>1</x:v>
      </x:c>
      <x:c r="F922" s="10" t="n">
        <x:v>1</x:v>
      </x:c>
      <x:c r="G922" s="10" t="n">
        <x:f>MIN(E922,3)</x:f>
        <x:v>1</x:v>
      </x:c>
      <x:c r="H922" s="10" t="n">
        <x:v>3</x:v>
      </x:c>
      <x:c r="I922" s="19" t="n">
        <x:v>0.4</x:v>
      </x:c>
      <x:c r="J922" s="19" t="n">
        <x:v>0.8</x:v>
      </x:c>
      <x:c r="K922" s="19" t="n">
        <x:v>0.75</x:v>
      </x:c>
    </x:row>
    <x:row r="923" ht="23" customHeight="1">
      <x:c r="A923" s="2" t="str">
        <x:v>D040_T07_C080_G075</x:v>
      </x:c>
      <x:c r="B923" s="2" t="str">
        <x:v>A0003</x:v>
      </x:c>
      <x:c r="C923" s="10" t="n">
        <x:v>7</x:v>
      </x:c>
      <x:c r="D923" s="10" t="n">
        <x:v>7</x:v>
      </x:c>
      <x:c r="E923" s="10" t="n">
        <x:v>0</x:v>
      </x:c>
      <x:c r="F923" s="10" t="n">
        <x:v>1</x:v>
      </x:c>
      <x:c r="G923" s="10" t="n">
        <x:f>MIN(E923,3)</x:f>
        <x:v>0</x:v>
      </x:c>
      <x:c r="H923" s="10" t="n">
        <x:v>3</x:v>
      </x:c>
      <x:c r="I923" s="19" t="n">
        <x:v>0.4</x:v>
      </x:c>
      <x:c r="J923" s="19" t="n">
        <x:v>0.8</x:v>
      </x:c>
      <x:c r="K923" s="19" t="n">
        <x:v>0.75</x:v>
      </x:c>
    </x:row>
    <x:row r="924" ht="23" customHeight="1">
      <x:c r="A924" s="2" t="str">
        <x:v>D040_T07_C080_G075</x:v>
      </x:c>
      <x:c r="B924" s="2" t="str">
        <x:v>A0005</x:v>
      </x:c>
      <x:c r="C924" s="10" t="n">
        <x:v>7</x:v>
      </x:c>
      <x:c r="D924" s="10" t="n">
        <x:v>7</x:v>
      </x:c>
      <x:c r="E924" s="10" t="n">
        <x:v>0</x:v>
      </x:c>
      <x:c r="F924" s="10" t="n">
        <x:v>1</x:v>
      </x:c>
      <x:c r="G924" s="10" t="n">
        <x:f>MIN(E924,3)</x:f>
        <x:v>0</x:v>
      </x:c>
      <x:c r="H924" s="10" t="n">
        <x:v>3</x:v>
      </x:c>
      <x:c r="I924" s="19" t="n">
        <x:v>0.4</x:v>
      </x:c>
      <x:c r="J924" s="19" t="n">
        <x:v>0.8</x:v>
      </x:c>
      <x:c r="K924" s="19" t="n">
        <x:v>0.75</x:v>
      </x:c>
    </x:row>
    <x:row r="925" ht="23" customHeight="1">
      <x:c r="A925" s="2" t="str">
        <x:v>D040_T07_C080_G075</x:v>
      </x:c>
      <x:c r="B925" s="2" t="str">
        <x:v>A0008</x:v>
      </x:c>
      <x:c r="C925" s="10" t="n">
        <x:v>7</x:v>
      </x:c>
      <x:c r="D925" s="10" t="n">
        <x:v>7</x:v>
      </x:c>
      <x:c r="E925" s="10" t="n">
        <x:v>0</x:v>
      </x:c>
      <x:c r="F925" s="10" t="n">
        <x:v>1</x:v>
      </x:c>
      <x:c r="G925" s="10" t="n">
        <x:f>MIN(E925,3)</x:f>
        <x:v>0</x:v>
      </x:c>
      <x:c r="H925" s="10" t="n">
        <x:v>3</x:v>
      </x:c>
      <x:c r="I925" s="19" t="n">
        <x:v>0.4</x:v>
      </x:c>
      <x:c r="J925" s="19" t="n">
        <x:v>0.8</x:v>
      </x:c>
      <x:c r="K925" s="19" t="n">
        <x:v>0.75</x:v>
      </x:c>
    </x:row>
    <x:row r="926" ht="23" customHeight="1">
      <x:c r="A926" s="2" t="str">
        <x:v>D040_T07_C080_G075</x:v>
      </x:c>
      <x:c r="B926" s="2" t="str">
        <x:v>A0010</x:v>
      </x:c>
      <x:c r="C926" s="10" t="n">
        <x:v>7</x:v>
      </x:c>
      <x:c r="D926" s="10" t="n">
        <x:v>8</x:v>
      </x:c>
      <x:c r="E926" s="10" t="n">
        <x:v>1</x:v>
      </x:c>
      <x:c r="F926" s="10" t="n">
        <x:v>1</x:v>
      </x:c>
      <x:c r="G926" s="10" t="n">
        <x:f>MIN(E926,3)</x:f>
        <x:v>1</x:v>
      </x:c>
      <x:c r="H926" s="10" t="n">
        <x:v>3</x:v>
      </x:c>
      <x:c r="I926" s="19" t="n">
        <x:v>0.4</x:v>
      </x:c>
      <x:c r="J926" s="19" t="n">
        <x:v>0.8</x:v>
      </x:c>
      <x:c r="K926" s="19" t="n">
        <x:v>0.75</x:v>
      </x:c>
    </x:row>
    <x:row r="927" ht="23" customHeight="1">
      <x:c r="A927" s="2" t="str">
        <x:v>D040_T07_C080_G075</x:v>
      </x:c>
      <x:c r="B927" s="2" t="str">
        <x:v>A0011</x:v>
      </x:c>
      <x:c r="C927" s="10" t="n">
        <x:v>7</x:v>
      </x:c>
      <x:c r="D927" s="10" t="n">
        <x:v>8</x:v>
      </x:c>
      <x:c r="E927" s="10" t="n">
        <x:v>1</x:v>
      </x:c>
      <x:c r="F927" s="10" t="n">
        <x:v>1</x:v>
      </x:c>
      <x:c r="G927" s="10" t="n">
        <x:f>MIN(E927,3)</x:f>
        <x:v>1</x:v>
      </x:c>
      <x:c r="H927" s="10" t="n">
        <x:v>3</x:v>
      </x:c>
      <x:c r="I927" s="19" t="n">
        <x:v>0.4</x:v>
      </x:c>
      <x:c r="J927" s="19" t="n">
        <x:v>0.8</x:v>
      </x:c>
      <x:c r="K927" s="19" t="n">
        <x:v>0.75</x:v>
      </x:c>
    </x:row>
    <x:row r="928" ht="23" customHeight="1">
      <x:c r="A928" s="2" t="str">
        <x:v>D040_T07_C080_G075</x:v>
      </x:c>
      <x:c r="B928" s="2" t="str">
        <x:v>A0012</x:v>
      </x:c>
      <x:c r="C928" s="10" t="n">
        <x:v>7</x:v>
      </x:c>
      <x:c r="D928" s="10"/>
      <x:c r="E928" s="10" t="n">
        <x:v>3</x:v>
      </x:c>
      <x:c r="F928" s="10" t="n">
        <x:v>0</x:v>
      </x:c>
      <x:c r="G928" s="10" t="n">
        <x:f>MIN(E928,3)</x:f>
        <x:v>3</x:v>
      </x:c>
      <x:c r="H928" s="10" t="n">
        <x:v>3</x:v>
      </x:c>
      <x:c r="I928" s="19" t="n">
        <x:v>0.4</x:v>
      </x:c>
      <x:c r="J928" s="19" t="n">
        <x:v>0.8</x:v>
      </x:c>
      <x:c r="K928" s="19" t="n">
        <x:v>0.75</x:v>
      </x:c>
    </x:row>
    <x:row r="929" ht="23" customHeight="1">
      <x:c r="A929" s="2" t="str">
        <x:v>D040_T07_C080_G075</x:v>
      </x:c>
      <x:c r="B929" s="2" t="str">
        <x:v>A0014</x:v>
      </x:c>
      <x:c r="C929" s="10" t="n">
        <x:v>7</x:v>
      </x:c>
      <x:c r="D929" s="10" t="n">
        <x:v>7</x:v>
      </x:c>
      <x:c r="E929" s="10" t="n">
        <x:v>0</x:v>
      </x:c>
      <x:c r="F929" s="10" t="n">
        <x:v>1</x:v>
      </x:c>
      <x:c r="G929" s="10" t="n">
        <x:f>MIN(E929,3)</x:f>
        <x:v>0</x:v>
      </x:c>
      <x:c r="H929" s="10" t="n">
        <x:v>3</x:v>
      </x:c>
      <x:c r="I929" s="19" t="n">
        <x:v>0.4</x:v>
      </x:c>
      <x:c r="J929" s="19" t="n">
        <x:v>0.8</x:v>
      </x:c>
      <x:c r="K929" s="19" t="n">
        <x:v>0.75</x:v>
      </x:c>
    </x:row>
    <x:row r="930" ht="23" customHeight="1">
      <x:c r="A930" s="2" t="str">
        <x:v>D040_T07_C080_G075</x:v>
      </x:c>
      <x:c r="B930" s="2" t="str">
        <x:v>A0016</x:v>
      </x:c>
      <x:c r="C930" s="10" t="n">
        <x:v>7</x:v>
      </x:c>
      <x:c r="D930" s="10" t="n">
        <x:v>7</x:v>
      </x:c>
      <x:c r="E930" s="10" t="n">
        <x:v>0</x:v>
      </x:c>
      <x:c r="F930" s="10" t="n">
        <x:v>1</x:v>
      </x:c>
      <x:c r="G930" s="10" t="n">
        <x:f>MIN(E930,3)</x:f>
        <x:v>0</x:v>
      </x:c>
      <x:c r="H930" s="10" t="n">
        <x:v>3</x:v>
      </x:c>
      <x:c r="I930" s="19" t="n">
        <x:v>0.4</x:v>
      </x:c>
      <x:c r="J930" s="19" t="n">
        <x:v>0.8</x:v>
      </x:c>
      <x:c r="K930" s="19" t="n">
        <x:v>0.75</x:v>
      </x:c>
    </x:row>
    <x:row r="931" ht="23" customHeight="1">
      <x:c r="A931" s="2" t="str">
        <x:v>D040_T07_C080_G075</x:v>
      </x:c>
      <x:c r="B931" s="2" t="str">
        <x:v>A0017</x:v>
      </x:c>
      <x:c r="C931" s="10" t="n">
        <x:v>7</x:v>
      </x:c>
      <x:c r="D931" s="10" t="n">
        <x:v>8</x:v>
      </x:c>
      <x:c r="E931" s="10" t="n">
        <x:v>1</x:v>
      </x:c>
      <x:c r="F931" s="10" t="n">
        <x:v>1</x:v>
      </x:c>
      <x:c r="G931" s="10" t="n">
        <x:f>MIN(E931,3)</x:f>
        <x:v>1</x:v>
      </x:c>
      <x:c r="H931" s="10" t="n">
        <x:v>3</x:v>
      </x:c>
      <x:c r="I931" s="19" t="n">
        <x:v>0.4</x:v>
      </x:c>
      <x:c r="J931" s="19" t="n">
        <x:v>0.8</x:v>
      </x:c>
      <x:c r="K931" s="19" t="n">
        <x:v>0.75</x:v>
      </x:c>
    </x:row>
    <x:row r="932" ht="23" customHeight="1">
      <x:c r="A932" s="2" t="str">
        <x:v>D040_T07_C080_G075</x:v>
      </x:c>
      <x:c r="B932" s="2" t="str">
        <x:v>A0018</x:v>
      </x:c>
      <x:c r="C932" s="10" t="n">
        <x:v>7</x:v>
      </x:c>
      <x:c r="D932" s="10" t="n">
        <x:v>7</x:v>
      </x:c>
      <x:c r="E932" s="10" t="n">
        <x:v>0</x:v>
      </x:c>
      <x:c r="F932" s="10" t="n">
        <x:v>1</x:v>
      </x:c>
      <x:c r="G932" s="10" t="n">
        <x:f>MIN(E932,3)</x:f>
        <x:v>0</x:v>
      </x:c>
      <x:c r="H932" s="10" t="n">
        <x:v>3</x:v>
      </x:c>
      <x:c r="I932" s="19" t="n">
        <x:v>0.4</x:v>
      </x:c>
      <x:c r="J932" s="19" t="n">
        <x:v>0.8</x:v>
      </x:c>
      <x:c r="K932" s="19" t="n">
        <x:v>0.75</x:v>
      </x:c>
    </x:row>
    <x:row r="933" ht="23" customHeight="1">
      <x:c r="A933" s="2" t="str">
        <x:v>D040_T07_C080_G075</x:v>
      </x:c>
      <x:c r="B933" s="2" t="str">
        <x:v>A0019</x:v>
      </x:c>
      <x:c r="C933" s="10" t="n">
        <x:v>7</x:v>
      </x:c>
      <x:c r="D933" s="10" t="n">
        <x:v>7</x:v>
      </x:c>
      <x:c r="E933" s="10" t="n">
        <x:v>0</x:v>
      </x:c>
      <x:c r="F933" s="10" t="n">
        <x:v>1</x:v>
      </x:c>
      <x:c r="G933" s="10" t="n">
        <x:f>MIN(E933,3)</x:f>
        <x:v>0</x:v>
      </x:c>
      <x:c r="H933" s="10" t="n">
        <x:v>3</x:v>
      </x:c>
      <x:c r="I933" s="19" t="n">
        <x:v>0.4</x:v>
      </x:c>
      <x:c r="J933" s="19" t="n">
        <x:v>0.8</x:v>
      </x:c>
      <x:c r="K933" s="19" t="n">
        <x:v>0.75</x:v>
      </x:c>
    </x:row>
    <x:row r="934" ht="23" customHeight="1">
      <x:c r="A934" s="2" t="str">
        <x:v>D040_T07_C080_G075</x:v>
      </x:c>
      <x:c r="B934" s="2" t="str">
        <x:v>A0020</x:v>
      </x:c>
      <x:c r="C934" s="10" t="n">
        <x:v>7</x:v>
      </x:c>
      <x:c r="D934" s="10" t="n">
        <x:v>7</x:v>
      </x:c>
      <x:c r="E934" s="10" t="n">
        <x:v>0</x:v>
      </x:c>
      <x:c r="F934" s="10" t="n">
        <x:v>1</x:v>
      </x:c>
      <x:c r="G934" s="10" t="n">
        <x:f>MIN(E934,3)</x:f>
        <x:v>0</x:v>
      </x:c>
      <x:c r="H934" s="10" t="n">
        <x:v>3</x:v>
      </x:c>
      <x:c r="I934" s="19" t="n">
        <x:v>0.4</x:v>
      </x:c>
      <x:c r="J934" s="19" t="n">
        <x:v>0.8</x:v>
      </x:c>
      <x:c r="K934" s="19" t="n">
        <x:v>0.75</x:v>
      </x:c>
    </x:row>
    <x:row r="935" ht="23" customHeight="1">
      <x:c r="A935" s="2" t="str">
        <x:v>D040_T07_C080_G075</x:v>
      </x:c>
      <x:c r="B935" s="2" t="str">
        <x:v>A0022</x:v>
      </x:c>
      <x:c r="C935" s="10" t="n">
        <x:v>7</x:v>
      </x:c>
      <x:c r="D935" s="10" t="n">
        <x:v>7</x:v>
      </x:c>
      <x:c r="E935" s="10" t="n">
        <x:v>0</x:v>
      </x:c>
      <x:c r="F935" s="10" t="n">
        <x:v>1</x:v>
      </x:c>
      <x:c r="G935" s="10" t="n">
        <x:f>MIN(E935,3)</x:f>
        <x:v>0</x:v>
      </x:c>
      <x:c r="H935" s="10" t="n">
        <x:v>3</x:v>
      </x:c>
      <x:c r="I935" s="19" t="n">
        <x:v>0.4</x:v>
      </x:c>
      <x:c r="J935" s="19" t="n">
        <x:v>0.8</x:v>
      </x:c>
      <x:c r="K935" s="19" t="n">
        <x:v>0.75</x:v>
      </x:c>
    </x:row>
    <x:row r="936" ht="23" customHeight="1">
      <x:c r="A936" s="2" t="str">
        <x:v>D040_T07_C080_G075</x:v>
      </x:c>
      <x:c r="B936" s="2" t="str">
        <x:v>A0023</x:v>
      </x:c>
      <x:c r="C936" s="10" t="n">
        <x:v>7</x:v>
      </x:c>
      <x:c r="D936" s="10" t="n">
        <x:v>7</x:v>
      </x:c>
      <x:c r="E936" s="10" t="n">
        <x:v>0</x:v>
      </x:c>
      <x:c r="F936" s="10" t="n">
        <x:v>1</x:v>
      </x:c>
      <x:c r="G936" s="10" t="n">
        <x:f>MIN(E936,3)</x:f>
        <x:v>0</x:v>
      </x:c>
      <x:c r="H936" s="10" t="n">
        <x:v>3</x:v>
      </x:c>
      <x:c r="I936" s="19" t="n">
        <x:v>0.4</x:v>
      </x:c>
      <x:c r="J936" s="19" t="n">
        <x:v>0.8</x:v>
      </x:c>
      <x:c r="K936" s="19" t="n">
        <x:v>0.75</x:v>
      </x:c>
    </x:row>
    <x:row r="937" ht="23" customHeight="1">
      <x:c r="A937" s="2" t="str">
        <x:v>D040_T07_C080_G075</x:v>
      </x:c>
      <x:c r="B937" s="2" t="str">
        <x:v>A0024</x:v>
      </x:c>
      <x:c r="C937" s="10" t="n">
        <x:v>7</x:v>
      </x:c>
      <x:c r="D937" s="10" t="n">
        <x:v>8</x:v>
      </x:c>
      <x:c r="E937" s="10" t="n">
        <x:v>1</x:v>
      </x:c>
      <x:c r="F937" s="10" t="n">
        <x:v>1</x:v>
      </x:c>
      <x:c r="G937" s="10" t="n">
        <x:f>MIN(E937,3)</x:f>
        <x:v>1</x:v>
      </x:c>
      <x:c r="H937" s="10" t="n">
        <x:v>3</x:v>
      </x:c>
      <x:c r="I937" s="19" t="n">
        <x:v>0.4</x:v>
      </x:c>
      <x:c r="J937" s="19" t="n">
        <x:v>0.8</x:v>
      </x:c>
      <x:c r="K937" s="19" t="n">
        <x:v>0.75</x:v>
      </x:c>
    </x:row>
    <x:row r="938" ht="23" customHeight="1">
      <x:c r="A938" s="2" t="str">
        <x:v>D040_T07_C080_G075</x:v>
      </x:c>
      <x:c r="B938" s="2" t="str">
        <x:v>A0025</x:v>
      </x:c>
      <x:c r="C938" s="10" t="n">
        <x:v>7</x:v>
      </x:c>
      <x:c r="D938" s="10" t="n">
        <x:v>7</x:v>
      </x:c>
      <x:c r="E938" s="10" t="n">
        <x:v>0</x:v>
      </x:c>
      <x:c r="F938" s="10" t="n">
        <x:v>1</x:v>
      </x:c>
      <x:c r="G938" s="10" t="n">
        <x:f>MIN(E938,3)</x:f>
        <x:v>0</x:v>
      </x:c>
      <x:c r="H938" s="10" t="n">
        <x:v>3</x:v>
      </x:c>
      <x:c r="I938" s="19" t="n">
        <x:v>0.4</x:v>
      </x:c>
      <x:c r="J938" s="19" t="n">
        <x:v>0.8</x:v>
      </x:c>
      <x:c r="K938" s="19" t="n">
        <x:v>0.75</x:v>
      </x:c>
    </x:row>
    <x:row r="939" ht="23" customHeight="1">
      <x:c r="A939" s="2" t="str">
        <x:v>D040_T07_C080_G075</x:v>
      </x:c>
      <x:c r="B939" s="2" t="str">
        <x:v>A0026</x:v>
      </x:c>
      <x:c r="C939" s="10" t="n">
        <x:v>7</x:v>
      </x:c>
      <x:c r="D939" s="10" t="n">
        <x:v>7</x:v>
      </x:c>
      <x:c r="E939" s="10" t="n">
        <x:v>0</x:v>
      </x:c>
      <x:c r="F939" s="10" t="n">
        <x:v>1</x:v>
      </x:c>
      <x:c r="G939" s="10" t="n">
        <x:f>MIN(E939,3)</x:f>
        <x:v>0</x:v>
      </x:c>
      <x:c r="H939" s="10" t="n">
        <x:v>3</x:v>
      </x:c>
      <x:c r="I939" s="19" t="n">
        <x:v>0.4</x:v>
      </x:c>
      <x:c r="J939" s="19" t="n">
        <x:v>0.8</x:v>
      </x:c>
      <x:c r="K939" s="19" t="n">
        <x:v>0.75</x:v>
      </x:c>
    </x:row>
    <x:row r="940" ht="23" customHeight="1">
      <x:c r="A940" s="2" t="str">
        <x:v>D040_T07_C080_G075</x:v>
      </x:c>
      <x:c r="B940" s="2" t="str">
        <x:v>A0027</x:v>
      </x:c>
      <x:c r="C940" s="10" t="n">
        <x:v>7</x:v>
      </x:c>
      <x:c r="D940" s="10" t="n">
        <x:v>7</x:v>
      </x:c>
      <x:c r="E940" s="10" t="n">
        <x:v>0</x:v>
      </x:c>
      <x:c r="F940" s="10" t="n">
        <x:v>1</x:v>
      </x:c>
      <x:c r="G940" s="10" t="n">
        <x:f>MIN(E940,3)</x:f>
        <x:v>0</x:v>
      </x:c>
      <x:c r="H940" s="10" t="n">
        <x:v>3</x:v>
      </x:c>
      <x:c r="I940" s="19" t="n">
        <x:v>0.4</x:v>
      </x:c>
      <x:c r="J940" s="19" t="n">
        <x:v>0.8</x:v>
      </x:c>
      <x:c r="K940" s="19" t="n">
        <x:v>0.75</x:v>
      </x:c>
    </x:row>
    <x:row r="941" ht="23" customHeight="1">
      <x:c r="A941" s="2" t="str">
        <x:v>D040_T07_C080_G075</x:v>
      </x:c>
      <x:c r="B941" s="2" t="str">
        <x:v>A0029</x:v>
      </x:c>
      <x:c r="C941" s="10" t="n">
        <x:v>7</x:v>
      </x:c>
      <x:c r="D941" s="10" t="n">
        <x:v>8</x:v>
      </x:c>
      <x:c r="E941" s="10" t="n">
        <x:v>1</x:v>
      </x:c>
      <x:c r="F941" s="10" t="n">
        <x:v>1</x:v>
      </x:c>
      <x:c r="G941" s="10" t="n">
        <x:f>MIN(E941,3)</x:f>
        <x:v>1</x:v>
      </x:c>
      <x:c r="H941" s="10" t="n">
        <x:v>3</x:v>
      </x:c>
      <x:c r="I941" s="19" t="n">
        <x:v>0.4</x:v>
      </x:c>
      <x:c r="J941" s="19" t="n">
        <x:v>0.8</x:v>
      </x:c>
      <x:c r="K941" s="19" t="n">
        <x:v>0.75</x:v>
      </x:c>
    </x:row>
    <x:row r="942" ht="23" customHeight="1">
      <x:c r="A942" s="2" t="str">
        <x:v>D040_T07_C080_G075</x:v>
      </x:c>
      <x:c r="B942" s="2" t="str">
        <x:v>A0030</x:v>
      </x:c>
      <x:c r="C942" s="10" t="n">
        <x:v>7</x:v>
      </x:c>
      <x:c r="D942" s="10" t="n">
        <x:v>7</x:v>
      </x:c>
      <x:c r="E942" s="10" t="n">
        <x:v>0</x:v>
      </x:c>
      <x:c r="F942" s="10" t="n">
        <x:v>1</x:v>
      </x:c>
      <x:c r="G942" s="10" t="n">
        <x:f>MIN(E942,3)</x:f>
        <x:v>0</x:v>
      </x:c>
      <x:c r="H942" s="10" t="n">
        <x:v>3</x:v>
      </x:c>
      <x:c r="I942" s="19" t="n">
        <x:v>0.4</x:v>
      </x:c>
      <x:c r="J942" s="19" t="n">
        <x:v>0.8</x:v>
      </x:c>
      <x:c r="K942" s="19" t="n">
        <x:v>0.75</x:v>
      </x:c>
    </x:row>
    <x:row r="943" ht="23" customHeight="1">
      <x:c r="A943" s="2" t="str">
        <x:v>D040_T07_C080_G075</x:v>
      </x:c>
      <x:c r="B943" s="2" t="str">
        <x:v>A0032</x:v>
      </x:c>
      <x:c r="C943" s="10" t="n">
        <x:v>7</x:v>
      </x:c>
      <x:c r="D943" s="10" t="n">
        <x:v>7</x:v>
      </x:c>
      <x:c r="E943" s="10" t="n">
        <x:v>0</x:v>
      </x:c>
      <x:c r="F943" s="10" t="n">
        <x:v>1</x:v>
      </x:c>
      <x:c r="G943" s="10" t="n">
        <x:f>MIN(E943,3)</x:f>
        <x:v>0</x:v>
      </x:c>
      <x:c r="H943" s="10" t="n">
        <x:v>3</x:v>
      </x:c>
      <x:c r="I943" s="19" t="n">
        <x:v>0.4</x:v>
      </x:c>
      <x:c r="J943" s="19" t="n">
        <x:v>0.8</x:v>
      </x:c>
      <x:c r="K943" s="19" t="n">
        <x:v>0.75</x:v>
      </x:c>
    </x:row>
    <x:row r="944" ht="23" customHeight="1">
      <x:c r="A944" s="2" t="str">
        <x:v>D040_T07_C080_G075</x:v>
      </x:c>
      <x:c r="B944" s="2" t="str">
        <x:v>A0033</x:v>
      </x:c>
      <x:c r="C944" s="10" t="n">
        <x:v>7</x:v>
      </x:c>
      <x:c r="D944" s="10" t="n">
        <x:v>7</x:v>
      </x:c>
      <x:c r="E944" s="10" t="n">
        <x:v>0</x:v>
      </x:c>
      <x:c r="F944" s="10" t="n">
        <x:v>1</x:v>
      </x:c>
      <x:c r="G944" s="10" t="n">
        <x:f>MIN(E944,3)</x:f>
        <x:v>0</x:v>
      </x:c>
      <x:c r="H944" s="10" t="n">
        <x:v>3</x:v>
      </x:c>
      <x:c r="I944" s="19" t="n">
        <x:v>0.4</x:v>
      </x:c>
      <x:c r="J944" s="19" t="n">
        <x:v>0.8</x:v>
      </x:c>
      <x:c r="K944" s="19" t="n">
        <x:v>0.75</x:v>
      </x:c>
    </x:row>
    <x:row r="945" ht="23" customHeight="1">
      <x:c r="A945" s="2" t="str">
        <x:v>D040_T07_C080_G075</x:v>
      </x:c>
      <x:c r="B945" s="2" t="str">
        <x:v>A0034</x:v>
      </x:c>
      <x:c r="C945" s="10" t="n">
        <x:v>7</x:v>
      </x:c>
      <x:c r="D945" s="10" t="n">
        <x:v>7</x:v>
      </x:c>
      <x:c r="E945" s="10" t="n">
        <x:v>0</x:v>
      </x:c>
      <x:c r="F945" s="10" t="n">
        <x:v>1</x:v>
      </x:c>
      <x:c r="G945" s="10" t="n">
        <x:f>MIN(E945,3)</x:f>
        <x:v>0</x:v>
      </x:c>
      <x:c r="H945" s="10" t="n">
        <x:v>3</x:v>
      </x:c>
      <x:c r="I945" s="19" t="n">
        <x:v>0.4</x:v>
      </x:c>
      <x:c r="J945" s="19" t="n">
        <x:v>0.8</x:v>
      </x:c>
      <x:c r="K945" s="19" t="n">
        <x:v>0.75</x:v>
      </x:c>
    </x:row>
    <x:row r="946" ht="23" customHeight="1">
      <x:c r="A946" s="2" t="str">
        <x:v>D040_T07_C080_G075</x:v>
      </x:c>
      <x:c r="B946" s="2" t="str">
        <x:v>A0035</x:v>
      </x:c>
      <x:c r="C946" s="10" t="n">
        <x:v>7</x:v>
      </x:c>
      <x:c r="D946" s="10" t="n">
        <x:v>7</x:v>
      </x:c>
      <x:c r="E946" s="10" t="n">
        <x:v>0</x:v>
      </x:c>
      <x:c r="F946" s="10" t="n">
        <x:v>1</x:v>
      </x:c>
      <x:c r="G946" s="10" t="n">
        <x:f>MIN(E946,3)</x:f>
        <x:v>0</x:v>
      </x:c>
      <x:c r="H946" s="10" t="n">
        <x:v>3</x:v>
      </x:c>
      <x:c r="I946" s="19" t="n">
        <x:v>0.4</x:v>
      </x:c>
      <x:c r="J946" s="19" t="n">
        <x:v>0.8</x:v>
      </x:c>
      <x:c r="K946" s="19" t="n">
        <x:v>0.75</x:v>
      </x:c>
    </x:row>
    <x:row r="947" ht="23" customHeight="1">
      <x:c r="A947" s="2" t="str">
        <x:v>D040_T07_C080_G075</x:v>
      </x:c>
      <x:c r="B947" s="2" t="str">
        <x:v>A0036</x:v>
      </x:c>
      <x:c r="C947" s="10" t="n">
        <x:v>7</x:v>
      </x:c>
      <x:c r="D947" s="10" t="n">
        <x:v>7</x:v>
      </x:c>
      <x:c r="E947" s="10" t="n">
        <x:v>0</x:v>
      </x:c>
      <x:c r="F947" s="10" t="n">
        <x:v>1</x:v>
      </x:c>
      <x:c r="G947" s="10" t="n">
        <x:f>MIN(E947,3)</x:f>
        <x:v>0</x:v>
      </x:c>
      <x:c r="H947" s="10" t="n">
        <x:v>3</x:v>
      </x:c>
      <x:c r="I947" s="19" t="n">
        <x:v>0.4</x:v>
      </x:c>
      <x:c r="J947" s="19" t="n">
        <x:v>0.8</x:v>
      </x:c>
      <x:c r="K947" s="19" t="n">
        <x:v>0.75</x:v>
      </x:c>
    </x:row>
    <x:row r="948" ht="23" customHeight="1">
      <x:c r="A948" s="2" t="str">
        <x:v>D040_T07_C080_G075</x:v>
      </x:c>
      <x:c r="B948" s="2" t="str">
        <x:v>A0037</x:v>
      </x:c>
      <x:c r="C948" s="10" t="n">
        <x:v>7</x:v>
      </x:c>
      <x:c r="D948" s="10" t="n">
        <x:v>7</x:v>
      </x:c>
      <x:c r="E948" s="10" t="n">
        <x:v>0</x:v>
      </x:c>
      <x:c r="F948" s="10" t="n">
        <x:v>1</x:v>
      </x:c>
      <x:c r="G948" s="10" t="n">
        <x:f>MIN(E948,3)</x:f>
        <x:v>0</x:v>
      </x:c>
      <x:c r="H948" s="10" t="n">
        <x:v>3</x:v>
      </x:c>
      <x:c r="I948" s="19" t="n">
        <x:v>0.4</x:v>
      </x:c>
      <x:c r="J948" s="19" t="n">
        <x:v>0.8</x:v>
      </x:c>
      <x:c r="K948" s="19" t="n">
        <x:v>0.75</x:v>
      </x:c>
    </x:row>
    <x:row r="949" ht="23" customHeight="1">
      <x:c r="A949" s="2" t="str">
        <x:v>D040_T07_C080_G075</x:v>
      </x:c>
      <x:c r="B949" s="2" t="str">
        <x:v>A0038</x:v>
      </x:c>
      <x:c r="C949" s="10" t="n">
        <x:v>7</x:v>
      </x:c>
      <x:c r="D949" s="10" t="n">
        <x:v>7</x:v>
      </x:c>
      <x:c r="E949" s="10" t="n">
        <x:v>0</x:v>
      </x:c>
      <x:c r="F949" s="10" t="n">
        <x:v>1</x:v>
      </x:c>
      <x:c r="G949" s="10" t="n">
        <x:f>MIN(E949,3)</x:f>
        <x:v>0</x:v>
      </x:c>
      <x:c r="H949" s="10" t="n">
        <x:v>3</x:v>
      </x:c>
      <x:c r="I949" s="19" t="n">
        <x:v>0.4</x:v>
      </x:c>
      <x:c r="J949" s="19" t="n">
        <x:v>0.8</x:v>
      </x:c>
      <x:c r="K949" s="19" t="n">
        <x:v>0.75</x:v>
      </x:c>
    </x:row>
    <x:row r="950" ht="23" customHeight="1">
      <x:c r="A950" s="2" t="str">
        <x:v>D040_T07_C080_G075</x:v>
      </x:c>
      <x:c r="B950" s="2" t="str">
        <x:v>A0040</x:v>
      </x:c>
      <x:c r="C950" s="10" t="n">
        <x:v>7</x:v>
      </x:c>
      <x:c r="D950" s="10" t="n">
        <x:v>8</x:v>
      </x:c>
      <x:c r="E950" s="10" t="n">
        <x:v>1</x:v>
      </x:c>
      <x:c r="F950" s="10" t="n">
        <x:v>1</x:v>
      </x:c>
      <x:c r="G950" s="10" t="n">
        <x:f>MIN(E950,3)</x:f>
        <x:v>1</x:v>
      </x:c>
      <x:c r="H950" s="10" t="n">
        <x:v>3</x:v>
      </x:c>
      <x:c r="I950" s="19" t="n">
        <x:v>0.4</x:v>
      </x:c>
      <x:c r="J950" s="19" t="n">
        <x:v>0.8</x:v>
      </x:c>
      <x:c r="K950" s="19" t="n">
        <x:v>0.75</x:v>
      </x:c>
    </x:row>
    <x:row r="951" ht="23" customHeight="1">
      <x:c r="A951" s="2" t="str">
        <x:v>D040_T07_C080_G075</x:v>
      </x:c>
      <x:c r="B951" s="2" t="str">
        <x:v>A0041</x:v>
      </x:c>
      <x:c r="C951" s="10" t="n">
        <x:v>7</x:v>
      </x:c>
      <x:c r="D951" s="10" t="n">
        <x:v>7</x:v>
      </x:c>
      <x:c r="E951" s="10" t="n">
        <x:v>0</x:v>
      </x:c>
      <x:c r="F951" s="10" t="n">
        <x:v>1</x:v>
      </x:c>
      <x:c r="G951" s="10" t="n">
        <x:f>MIN(E951,3)</x:f>
        <x:v>0</x:v>
      </x:c>
      <x:c r="H951" s="10" t="n">
        <x:v>3</x:v>
      </x:c>
      <x:c r="I951" s="19" t="n">
        <x:v>0.4</x:v>
      </x:c>
      <x:c r="J951" s="19" t="n">
        <x:v>0.8</x:v>
      </x:c>
      <x:c r="K951" s="19" t="n">
        <x:v>0.75</x:v>
      </x:c>
    </x:row>
    <x:row r="952" ht="23" customHeight="1">
      <x:c r="A952" s="2" t="str">
        <x:v>D040_T07_C080_G075</x:v>
      </x:c>
      <x:c r="B952" s="2" t="str">
        <x:v>A0071</x:v>
      </x:c>
      <x:c r="C952" s="10" t="n">
        <x:v>7</x:v>
      </x:c>
      <x:c r="D952" s="10" t="n">
        <x:v>7</x:v>
      </x:c>
      <x:c r="E952" s="10" t="n">
        <x:v>0</x:v>
      </x:c>
      <x:c r="F952" s="10" t="n">
        <x:v>1</x:v>
      </x:c>
      <x:c r="G952" s="10" t="n">
        <x:f>MIN(E952,3)</x:f>
        <x:v>0</x:v>
      </x:c>
      <x:c r="H952" s="10" t="n">
        <x:v>3</x:v>
      </x:c>
      <x:c r="I952" s="19" t="n">
        <x:v>0.4</x:v>
      </x:c>
      <x:c r="J952" s="19" t="n">
        <x:v>0.8</x:v>
      </x:c>
      <x:c r="K952" s="19" t="n">
        <x:v>0.75</x:v>
      </x:c>
    </x:row>
    <x:row r="953" ht="23" customHeight="1">
      <x:c r="A953" s="2" t="str">
        <x:v>D040_T07_C080_G075</x:v>
      </x:c>
      <x:c r="B953" s="2" t="str">
        <x:v>A0189</x:v>
      </x:c>
      <x:c r="C953" s="10" t="n">
        <x:v>7</x:v>
      </x:c>
      <x:c r="D953" s="10" t="n">
        <x:v>8</x:v>
      </x:c>
      <x:c r="E953" s="10" t="n">
        <x:v>1</x:v>
      </x:c>
      <x:c r="F953" s="10" t="n">
        <x:v>1</x:v>
      </x:c>
      <x:c r="G953" s="10" t="n">
        <x:f>MIN(E953,3)</x:f>
        <x:v>1</x:v>
      </x:c>
      <x:c r="H953" s="10" t="n">
        <x:v>3</x:v>
      </x:c>
      <x:c r="I953" s="19" t="n">
        <x:v>0.4</x:v>
      </x:c>
      <x:c r="J953" s="19" t="n">
        <x:v>0.8</x:v>
      </x:c>
      <x:c r="K953" s="19" t="n">
        <x:v>0.75</x:v>
      </x:c>
    </x:row>
    <x:row r="954" ht="23" customHeight="1">
      <x:c r="A954" s="2" t="str">
        <x:v>D040_T07_C080_G075</x:v>
      </x:c>
      <x:c r="B954" s="2" t="str">
        <x:v>A0206</x:v>
      </x:c>
      <x:c r="C954" s="10" t="n">
        <x:v>7</x:v>
      </x:c>
      <x:c r="D954" s="10" t="n">
        <x:v>7</x:v>
      </x:c>
      <x:c r="E954" s="10" t="n">
        <x:v>0</x:v>
      </x:c>
      <x:c r="F954" s="10" t="n">
        <x:v>1</x:v>
      </x:c>
      <x:c r="G954" s="10" t="n">
        <x:f>MIN(E954,3)</x:f>
        <x:v>0</x:v>
      </x:c>
      <x:c r="H954" s="10" t="n">
        <x:v>3</x:v>
      </x:c>
      <x:c r="I954" s="19" t="n">
        <x:v>0.4</x:v>
      </x:c>
      <x:c r="J954" s="19" t="n">
        <x:v>0.8</x:v>
      </x:c>
      <x:c r="K954" s="19" t="n">
        <x:v>0.75</x:v>
      </x:c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</x:row>
  </x:sheetData>
  <x:pageMargins left="0.7" right="0.7" top="0.75" bottom="0.75" header="0.3" footer="0.3"/>
</x:worksheet>
</file>