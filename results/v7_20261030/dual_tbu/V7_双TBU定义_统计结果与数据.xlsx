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f11d60b29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对比" sheetId="1" r:id="R9be508c9d9224061"/>
    <x:sheet xmlns:r="http://schemas.openxmlformats.org/officeDocument/2006/relationships" name="水平对比" sheetId="2" r:id="Rae6ad7da34674489"/>
    <x:sheet xmlns:r="http://schemas.openxmlformats.org/officeDocument/2006/relationships" name="模型与调节" sheetId="3" r:id="R08d25591d1d44427"/>
    <x:sheet xmlns:r="http://schemas.openxmlformats.org/officeDocument/2006/relationships" name="情景TBU" sheetId="4" r:id="R3583fe77157f415f"/>
    <x:sheet xmlns:r="http://schemas.openxmlformats.org/officeDocument/2006/relationships" name="用户明细" sheetId="5" r:id="Ree84c587d45c42a3"/>
    <x:sheet xmlns:r="http://schemas.openxmlformats.org/officeDocument/2006/relationships" name="补充检验" sheetId="6" r:id="Rb3c2518d1bdb43b8"/>
    <x:sheet xmlns:r="http://schemas.openxmlformats.org/officeDocument/2006/relationships" name="方法与来源" sheetId="7" r:id="R45e58519aebb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E+00"/>
    <x:numFmt numFmtId="202" formatCode="0.00"/>
  </x:numFmts>
  <x:fonts count="6">
    <x:font>
      <x:sz val="11"/>
      <x:name val="Carlito"/>
    </x:font>
    <x:font>
      <x:sz val="10"/>
      <x:color rgb="FF233342"/>
      <x:name val="Microsoft YaHei"/>
    </x:font>
    <x:font>
      <x:b/>
      <x:sz val="14"/>
      <x:color rgb="FF172B3A"/>
      <x:name val="Microsoft YaHei"/>
    </x:font>
    <x:font>
      <x:i/>
      <x:sz val="10"/>
      <x:color rgb="FF526575"/>
      <x:name val="Microsoft YaHei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D4F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ff5cde2404afb" /><Relationship Type="http://schemas.openxmlformats.org/officeDocument/2006/relationships/theme" Target="/xl/theme/theme1.xml" Id="R909676ae34734ac5" /><Relationship Type="http://schemas.openxmlformats.org/officeDocument/2006/relationships/sharedStrings" Target="/xl/sharedStrings.xml" Id="Ra52e523d6db541b2" /><Relationship Type="http://schemas.openxmlformats.org/officeDocument/2006/relationships/worksheet" Target="/xl/worksheets/sheet1.xml" Id="R9be508c9d9224061" /><Relationship Type="http://schemas.openxmlformats.org/officeDocument/2006/relationships/worksheet" Target="/xl/worksheets/sheet2.xml" Id="Rae6ad7da34674489" /><Relationship Type="http://schemas.openxmlformats.org/officeDocument/2006/relationships/worksheet" Target="/xl/worksheets/sheet3.xml" Id="R08d25591d1d44427" /><Relationship Type="http://schemas.openxmlformats.org/officeDocument/2006/relationships/worksheet" Target="/xl/worksheets/sheet4.xml" Id="R3583fe77157f415f" /><Relationship Type="http://schemas.openxmlformats.org/officeDocument/2006/relationships/worksheet" Target="/xl/worksheets/sheet5.xml" Id="Ree84c587d45c42a3" /><Relationship Type="http://schemas.openxmlformats.org/officeDocument/2006/relationships/worksheet" Target="/xl/worksheets/sheet6.xml" Id="Rb3c2518d1bdb43b8" /><Relationship Type="http://schemas.openxmlformats.org/officeDocument/2006/relationships/worksheet" Target="/xl/worksheets/sheet7.xml" Id="R45e58519aebb4d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3" hidden="0" customWidth="1"/>
    <x:col min="2" max="2" width="21" hidden="0" customWidth="1"/>
    <x:col min="3" max="3" width="16" hidden="0" customWidth="1"/>
    <x:col min="4" max="4" width="13" hidden="0" customWidth="1"/>
    <x:col min="5" max="5" width="13" hidden="0" customWidth="1"/>
    <x:col min="6" max="6" width="20" hidden="0" customWidth="1"/>
    <x:col min="7" max="7" width="22" hidden="0" customWidth="1"/>
    <x:col min="8" max="8" width="2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3" t="str">
        <x:v>两种TBU的因素水平差异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主结论使用两套指标联合Holm8；指标内Holm4同时保留。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8" customHeight="1">
      <x:c r="A6" s="8" t="str">
        <x:v>TBU口径</x:v>
      </x:c>
      <x:c r="B6" s="8" t="str">
        <x:v>因素</x:v>
      </x:c>
      <x:c r="C6" s="8" t="str">
        <x:v>F</x:v>
      </x:c>
      <x:c r="D6" s="8" t="str">
        <x:v>分子df</x:v>
      </x:c>
      <x:c r="E6" s="8" t="str">
        <x:v>分母df</x:v>
      </x:c>
      <x:c r="F6" s="8" t="str">
        <x:v>原始p</x:v>
      </x:c>
      <x:c r="G6" s="8" t="str">
        <x:v>指标内Holm4 p</x:v>
      </x:c>
      <x:c r="H6" s="8" t="str">
        <x:v>两套联合Holm8 p</x:v>
      </x:c>
    </x:row>
    <x:row r="7" ht="24" customHeight="1">
      <x:c r="A7" s="2" t="str">
        <x:v>POST：政府发布→转为不相信</x:v>
      </x:c>
      <x:c r="B7" s="2" t="str">
        <x:v>响应时机</x:v>
      </x:c>
      <x:c r="C7" s="9" t="n">
        <x:v>4.447434284121424</x:v>
      </x:c>
      <x:c r="D7" s="2" t="n">
        <x:v>2</x:v>
      </x:c>
      <x:c r="E7" s="2" t="n">
        <x:v>46</x:v>
      </x:c>
      <x:c r="F7" s="10" t="n">
        <x:v>0.017147463520652058</x:v>
      </x:c>
      <x:c r="G7" s="10" t="n">
        <x:v>0.034294927041304116</x:v>
      </x:c>
      <x:c r="H7" s="10" t="n">
        <x:v>0.051442390561956174</x:v>
      </x:c>
    </x:row>
    <x:row r="8" ht="24" customHeight="1">
      <x:c r="A8" s="2" t="str">
        <x:v>POST：政府发布→转为不相信</x:v>
      </x:c>
      <x:c r="B8" s="2" t="str">
        <x:v>定向能力</x:v>
      </x:c>
      <x:c r="C8" s="9" t="n">
        <x:v>17.802884363858908</x:v>
      </x:c>
      <x:c r="D8" s="2" t="n">
        <x:v>1</x:v>
      </x:c>
      <x:c r="E8" s="2" t="n">
        <x:v>46</x:v>
      </x:c>
      <x:c r="F8" s="10" t="n">
        <x:v>0.00011390542221678916</x:v>
      </x:c>
      <x:c r="G8" s="10" t="n">
        <x:v>0.00045562168886715664</x:v>
      </x:c>
      <x:c r="H8" s="10" t="n">
        <x:v>0.0006225587038732226</x:v>
      </x:c>
    </x:row>
    <x:row r="9" ht="24" customHeight="1">
      <x:c r="A9" s="2" t="str">
        <x:v>POST：政府发布→转为不相信</x:v>
      </x:c>
      <x:c r="B9" s="2" t="str">
        <x:v>政府信誉</x:v>
      </x:c>
      <x:c r="C9" s="9" t="n">
        <x:v>8.420635917308756</x:v>
      </x:c>
      <x:c r="D9" s="2" t="n">
        <x:v>2</x:v>
      </x:c>
      <x:c r="E9" s="2" t="n">
        <x:v>46</x:v>
      </x:c>
      <x:c r="F9" s="10" t="n">
        <x:v>0.0007652369092740192</x:v>
      </x:c>
      <x:c r="G9" s="10" t="n">
        <x:v>0.0022957107278220577</x:v>
      </x:c>
      <x:c r="H9" s="10" t="n">
        <x:v>0.003060947637096077</x:v>
      </x:c>
    </x:row>
    <x:row r="10" ht="24" customHeight="1">
      <x:c r="A10" s="2" t="str">
        <x:v>POST：政府发布→转为不相信</x:v>
      </x:c>
      <x:c r="B10" s="2" t="str">
        <x:v>群体茧房程度</x:v>
      </x:c>
      <x:c r="C10" s="9" t="n">
        <x:v>1.132078022358436</x:v>
      </x:c>
      <x:c r="D10" s="2" t="n">
        <x:v>2</x:v>
      </x:c>
      <x:c r="E10" s="2" t="n">
        <x:v>46</x:v>
      </x:c>
      <x:c r="F10" s="10" t="n">
        <x:v>0.33117813066610796</x:v>
      </x:c>
      <x:c r="G10" s="10" t="n">
        <x:v>0.33117813066610796</x:v>
      </x:c>
      <x:c r="H10" s="10" t="n">
        <x:v>0.33117813066610796</x:v>
      </x:c>
    </x:row>
    <x:row r="11" ht="24" customHeight="1">
      <x:c r="A11" s="2" t="str">
        <x:v>FB：首次相信→辟谣后转为不相信</x:v>
      </x:c>
      <x:c r="B11" s="2" t="str">
        <x:v>响应时机</x:v>
      </x:c>
      <x:c r="C11" s="9" t="n">
        <x:v>111.19771625016273</x:v>
      </x:c>
      <x:c r="D11" s="2" t="n">
        <x:v>2</x:v>
      </x:c>
      <x:c r="E11" s="2" t="n">
        <x:v>46</x:v>
      </x:c>
      <x:c r="F11" s="10" t="n">
        <x:v>2.4076998723698066e-18</x:v>
      </x:c>
      <x:c r="G11" s="10" t="n">
        <x:v>9.630799489479226e-18</x:v>
      </x:c>
      <x:c r="H11" s="10" t="n">
        <x:v>1.9261598978958452e-17</x:v>
      </x:c>
    </x:row>
    <x:row r="12" ht="24" customHeight="1">
      <x:c r="A12" s="2" t="str">
        <x:v>FB：首次相信→辟谣后转为不相信</x:v>
      </x:c>
      <x:c r="B12" s="2" t="str">
        <x:v>定向能力</x:v>
      </x:c>
      <x:c r="C12" s="9" t="n">
        <x:v>18.050047132370103</x:v>
      </x:c>
      <x:c r="D12" s="2" t="n">
        <x:v>1</x:v>
      </x:c>
      <x:c r="E12" s="2" t="n">
        <x:v>46</x:v>
      </x:c>
      <x:c r="F12" s="10" t="n">
        <x:v>0.00010375978397887044</x:v>
      </x:c>
      <x:c r="G12" s="10" t="n">
        <x:v>0.00020751956795774087</x:v>
      </x:c>
      <x:c r="H12" s="10" t="n">
        <x:v>0.0006225587038732226</x:v>
      </x:c>
    </x:row>
    <x:row r="13" ht="24" customHeight="1">
      <x:c r="A13" s="2" t="str">
        <x:v>FB：首次相信→辟谣后转为不相信</x:v>
      </x:c>
      <x:c r="B13" s="2" t="str">
        <x:v>政府信誉</x:v>
      </x:c>
      <x:c r="C13" s="9" t="n">
        <x:v>16.17014855981775</x:v>
      </x:c>
      <x:c r="D13" s="2" t="n">
        <x:v>2</x:v>
      </x:c>
      <x:c r="E13" s="2" t="n">
        <x:v>46</x:v>
      </x:c>
      <x:c r="F13" s="10" t="n">
        <x:v>0.0000048058498563668</x:v>
      </x:c>
      <x:c r="G13" s="10" t="n">
        <x:v>0.0000144175495691004</x:v>
      </x:c>
      <x:c r="H13" s="10" t="n">
        <x:v>0.000033640948994567604</x:v>
      </x:c>
    </x:row>
    <x:row r="14" ht="24" customHeight="1">
      <x:c r="A14" s="2" t="str">
        <x:v>FB：首次相信→辟谣后转为不相信</x:v>
      </x:c>
      <x:c r="B14" s="2" t="str">
        <x:v>群体茧房程度</x:v>
      </x:c>
      <x:c r="C14" s="9" t="n">
        <x:v>2.085695770160968</x:v>
      </x:c>
      <x:c r="D14" s="2" t="n">
        <x:v>2</x:v>
      </x:c>
      <x:c r="E14" s="2" t="n">
        <x:v>46</x:v>
      </x:c>
      <x:c r="F14" s="10" t="n">
        <x:v>0.1358121909041794</x:v>
      </x:c>
      <x:c r="G14" s="10" t="n">
        <x:v>0.1358121909041794</x:v>
      </x:c>
      <x:c r="H14" s="10" t="n">
        <x:v>0.2716243818083588</x:v>
      </x:c>
    </x:row>
    <x:row r="19" ht="38" customHeight="1">
      <x:c r="A19" s="8" t="str">
        <x:v>因素</x:v>
      </x:c>
      <x:c r="B19" s="8" t="str">
        <x:v>水平</x:v>
      </x:c>
      <x:c r="C19" s="8" t="str">
        <x:v>POST均值 轮</x:v>
      </x:c>
      <x:c r="D19" s="8" t="str">
        <x:v>POST95%下限</x:v>
      </x:c>
      <x:c r="E19" s="8" t="str">
        <x:v>POST95%上限</x:v>
      </x:c>
      <x:c r="F19" s="8" t="str">
        <x:v>FB均值 轮</x:v>
      </x:c>
      <x:c r="G19" s="8" t="str">
        <x:v>FB95%下限</x:v>
      </x:c>
      <x:c r="H19" s="8" t="str">
        <x:v>FB95%上限</x:v>
      </x:c>
    </x:row>
    <x:row r="20" ht="25" customHeight="1">
      <x:c r="A20" s="17" t="str">
        <x:v>响应时机</x:v>
      </x:c>
      <x:c r="B20" s="18" t="n">
        <x:v>2</x:v>
      </x:c>
      <x:c r="C20" s="19" t="n">
        <x:v>1.8853904006017475</x:v>
      </x:c>
      <x:c r="D20" s="19" t="n">
        <x:v>1.5090802170609443</x:v>
      </x:c>
      <x:c r="E20" s="19" t="n">
        <x:v>2.2617005841425506</x:v>
      </x:c>
      <x:c r="F20" s="19" t="n">
        <x:v>2.741932007143351</x:v>
      </x:c>
      <x:c r="G20" s="19" t="n">
        <x:v>2.3810534950288305</x:v>
      </x:c>
      <x:c r="H20" s="19" t="n">
        <x:v>3.1028105192578717</x:v>
      </x:c>
    </x:row>
    <x:row r="21" ht="25" customHeight="1">
      <x:c r="A21" s="17" t="str">
        <x:v>响应时机</x:v>
      </x:c>
      <x:c r="B21" s="18" t="n">
        <x:v>4</x:v>
      </x:c>
      <x:c r="C21" s="19" t="n">
        <x:v>1.6011668632161982</x:v>
      </x:c>
      <x:c r="D21" s="19" t="n">
        <x:v>1.287346986716551</x:v>
      </x:c>
      <x:c r="E21" s="19" t="n">
        <x:v>1.9149867397158453</x:v>
      </x:c>
      <x:c r="F21" s="19" t="n">
        <x:v>4.349047835290722</x:v>
      </x:c>
      <x:c r="G21" s="19" t="n">
        <x:v>4.1098335226295335</x:v>
      </x:c>
      <x:c r="H21" s="19" t="n">
        <x:v>4.58826214795191</x:v>
      </x:c>
    </x:row>
    <x:row r="22" ht="25" customHeight="1">
      <x:c r="A22" s="17" t="str">
        <x:v>响应时机</x:v>
      </x:c>
      <x:c r="B22" s="18" t="n">
        <x:v>7</x:v>
      </x:c>
      <x:c r="C22" s="19" t="n">
        <x:v>1.0492382617382616</x:v>
      </x:c>
      <x:c r="D22" s="19" t="n">
        <x:v>0.6222291955082628</x:v>
      </x:c>
      <x:c r="E22" s="19" t="n">
        <x:v>1.4762473279682604</x:v>
      </x:c>
      <x:c r="F22" s="19" t="n">
        <x:v>6.579567037900369</x:v>
      </x:c>
      <x:c r="G22" s="19" t="n">
        <x:v>6.2049267320019315</x:v>
      </x:c>
      <x:c r="H22" s="19" t="n">
        <x:v>6.954207343798807</x:v>
      </x:c>
    </x:row>
    <x:row r="23" ht="25" customHeight="1">
      <x:c r="A23" s="17" t="str">
        <x:v>定向能力</x:v>
      </x:c>
      <x:c r="B23" s="18" t="n">
        <x:v>0.2</x:v>
      </x:c>
      <x:c r="C23" s="19" t="n">
        <x:v>1.9660611690181584</x:v>
      </x:c>
      <x:c r="D23" s="19" t="n">
        <x:v>1.6033114947726337</x:v>
      </x:c>
      <x:c r="E23" s="19" t="n">
        <x:v>2.328810843263683</x:v>
      </x:c>
      <x:c r="F23" s="19" t="n">
        <x:v>4.95966725429091</x:v>
      </x:c>
      <x:c r="G23" s="19" t="n">
        <x:v>4.642442113997527</x:v>
      </x:c>
      <x:c r="H23" s="19" t="n">
        <x:v>5.2768923945842925</x:v>
      </x:c>
    </x:row>
    <x:row r="24" ht="25" customHeight="1">
      <x:c r="A24" s="17" t="str">
        <x:v>定向能力</x:v>
      </x:c>
      <x:c r="B24" s="18" t="n">
        <x:v>0.8</x:v>
      </x:c>
      <x:c r="C24" s="19" t="n">
        <x:v>1.0578025146859797</x:v>
      </x:c>
      <x:c r="D24" s="19" t="n">
        <x:v>0.8208238209473933</x:v>
      </x:c>
      <x:c r="E24" s="19" t="n">
        <x:v>1.2947812084245662</x:v>
      </x:c>
      <x:c r="F24" s="19" t="n">
        <x:v>4.154030665932051</x:v>
      </x:c>
      <x:c r="G24" s="19" t="n">
        <x:v>3.9417513739972385</x:v>
      </x:c>
      <x:c r="H24" s="19" t="n">
        <x:v>4.366309957866864</x:v>
      </x:c>
    </x:row>
    <x:row r="25" ht="25" customHeight="1">
      <x:c r="A25" s="17" t="str">
        <x:v>政府信誉</x:v>
      </x:c>
      <x:c r="B25" s="18" t="n">
        <x:v>0.25</x:v>
      </x:c>
      <x:c r="C25" s="19" t="n">
        <x:v>2.2243655581890875</x:v>
      </x:c>
      <x:c r="D25" s="19" t="n">
        <x:v>1.719832071530273</x:v>
      </x:c>
      <x:c r="E25" s="19" t="n">
        <x:v>2.728899044847902</x:v>
      </x:c>
      <x:c r="F25" s="19" t="n">
        <x:v>5.328923962747494</x:v>
      </x:c>
      <x:c r="G25" s="19" t="n">
        <x:v>4.887270870272678</x:v>
      </x:c>
      <x:c r="H25" s="19" t="n">
        <x:v>5.77057705522231</x:v>
      </x:c>
    </x:row>
    <x:row r="26" ht="25" customHeight="1">
      <x:c r="A26" s="17" t="str">
        <x:v>政府信誉</x:v>
      </x:c>
      <x:c r="B26" s="18" t="n">
        <x:v>0.5</x:v>
      </x:c>
      <x:c r="C26" s="19" t="n">
        <x:v>1.2788904196162263</x:v>
      </x:c>
      <x:c r="D26" s="19" t="n">
        <x:v>0.9989477383461765</x:v>
      </x:c>
      <x:c r="E26" s="19" t="n">
        <x:v>1.5588331008862761</x:v>
      </x:c>
      <x:c r="F26" s="19" t="n">
        <x:v>4.36035308777244</x:v>
      </x:c>
      <x:c r="G26" s="19" t="n">
        <x:v>4.052950045702918</x:v>
      </x:c>
      <x:c r="H26" s="19" t="n">
        <x:v>4.667756129841962</x:v>
      </x:c>
    </x:row>
    <x:row r="27" ht="25" customHeight="1">
      <x:c r="A27" s="17" t="str">
        <x:v>政府信誉</x:v>
      </x:c>
      <x:c r="B27" s="18" t="n">
        <x:v>0.75</x:v>
      </x:c>
      <x:c r="C27" s="19" t="n">
        <x:v>1.0325395477508936</x:v>
      </x:c>
      <x:c r="D27" s="19" t="n">
        <x:v>0.7333622294117226</x:v>
      </x:c>
      <x:c r="E27" s="19" t="n">
        <x:v>1.3317168660900647</x:v>
      </x:c>
      <x:c r="F27" s="19" t="n">
        <x:v>3.981269829814508</x:v>
      </x:c>
      <x:c r="G27" s="19" t="n">
        <x:v>3.78567314700658</x:v>
      </x:c>
      <x:c r="H27" s="19" t="n">
        <x:v>4.176866512622436</x:v>
      </x:c>
    </x:row>
    <x:row r="28" ht="25" customHeight="1">
      <x:c r="A28" s="17" t="str">
        <x:v>群体茧房程度</x:v>
      </x:c>
      <x:c r="B28" s="18" t="n">
        <x:v>0</x:v>
      </x:c>
      <x:c r="C28" s="19" t="n">
        <x:v>1.6005291005291011</x:v>
      </x:c>
      <x:c r="D28" s="19" t="n">
        <x:v>1.17947935388288</x:v>
      </x:c>
      <x:c r="E28" s="19" t="n">
        <x:v>2.021578847175322</x:v>
      </x:c>
      <x:c r="F28" s="19" t="n">
        <x:v>4.41164021164021</x:v>
      </x:c>
      <x:c r="G28" s="19" t="n">
        <x:v>4.116880257667996</x:v>
      </x:c>
      <x:c r="H28" s="19" t="n">
        <x:v>4.706400165612423</x:v>
      </x:c>
    </x:row>
    <x:row r="29" ht="25" customHeight="1">
      <x:c r="A29" s="17" t="str">
        <x:v>群体茧房程度</x:v>
      </x:c>
      <x:c r="B29" s="18" t="n">
        <x:v>0.2</x:v>
      </x:c>
      <x:c r="C29" s="19" t="n">
        <x:v>1.2877677877677873</x:v>
      </x:c>
      <x:c r="D29" s="19" t="n">
        <x:v>0.8939068488430733</x:v>
      </x:c>
      <x:c r="E29" s="19" t="n">
        <x:v>1.6816287266925014</x:v>
      </x:c>
      <x:c r="F29" s="19" t="n">
        <x:v>4.4443975777309115</x:v>
      </x:c>
      <x:c r="G29" s="19" t="n">
        <x:v>4.061566270084865</x:v>
      </x:c>
      <x:c r="H29" s="19" t="n">
        <x:v>4.827228885376958</x:v>
      </x:c>
    </x:row>
    <x:row r="30" ht="25" customHeight="1">
      <x:c r="A30" s="17" t="str">
        <x:v>群体茧房程度</x:v>
      </x:c>
      <x:c r="B30" s="18" t="n">
        <x:v>0.4</x:v>
      </x:c>
      <x:c r="C30" s="19" t="n">
        <x:v>1.6474986372593188</x:v>
      </x:c>
      <x:c r="D30" s="19" t="n">
        <x:v>1.3474658333796794</x:v>
      </x:c>
      <x:c r="E30" s="19" t="n">
        <x:v>1.9475314411389582</x:v>
      </x:c>
      <x:c r="F30" s="19" t="n">
        <x:v>4.814509090963321</x:v>
      </x:c>
      <x:c r="G30" s="19" t="n">
        <x:v>4.507313866208856</x:v>
      </x:c>
      <x:c r="H30" s="19" t="n">
        <x:v>5.1217043157177855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3" hidden="0" customWidth="1"/>
    <x:col min="2" max="2" width="21" hidden="0" customWidth="1"/>
    <x:col min="3" max="3" width="13" hidden="0" customWidth="1"/>
    <x:col min="4" max="4" width="13" hidden="0" customWidth="1"/>
    <x:col min="5" max="5" width="18" hidden="0" customWidth="1"/>
    <x:col min="6" max="6" width="17" hidden="0" customWidth="1"/>
    <x:col min="7" max="7" width="17" hidden="0" customWidth="1"/>
    <x:col min="8" max="8" width="16" hidden="0" customWidth="1"/>
    <x:col min="9" max="9" width="11" hidden="0" customWidth="1"/>
    <x:col min="10" max="10" width="20" hidden="0" customWidth="1"/>
    <x:col min="11" max="11" width="23" hidden="0" customWidth="1"/>
    <x:col min="12" max="12" width="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3" t="str">
        <x:v>两种TBU的全部水平对比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 t="str">
        <x:v>全部20项保留；联合Holm20为主，负值表示较高水平对应更短TBU。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8" customHeight="1">
      <x:c r="A6" s="8" t="str">
        <x:v>TBU口径</x:v>
      </x:c>
      <x:c r="B6" s="8" t="str">
        <x:v>因素</x:v>
      </x:c>
      <x:c r="C6" s="8" t="str">
        <x:v>低水平</x:v>
      </x:c>
      <x:c r="D6" s="8" t="str">
        <x:v>高水平</x:v>
      </x:c>
      <x:c r="E6" s="8" t="str">
        <x:v>高减低 轮</x:v>
      </x:c>
      <x:c r="F6" s="8" t="str">
        <x:v>95%下限</x:v>
      </x:c>
      <x:c r="G6" s="8" t="str">
        <x:v>95%上限</x:v>
      </x:c>
      <x:c r="H6" s="8" t="str">
        <x:v>t</x:v>
      </x:c>
      <x:c r="I6" s="8" t="str">
        <x:v>df</x:v>
      </x:c>
      <x:c r="J6" s="8" t="str">
        <x:v>原始p</x:v>
      </x:c>
      <x:c r="K6" s="8" t="str">
        <x:v>指标内Holm10 p</x:v>
      </x:c>
      <x:c r="L6" s="8" t="str">
        <x:v>两套联合Holm20 p</x:v>
      </x:c>
    </x:row>
    <x:row r="7" ht="24" customHeight="1">
      <x:c r="A7" s="2" t="str">
        <x:v>POST：政府发布→转为不相信</x:v>
      </x:c>
      <x:c r="B7" s="2" t="str">
        <x:v>响应时机</x:v>
      </x:c>
      <x:c r="C7" s="20" t="n">
        <x:v>2</x:v>
      </x:c>
      <x:c r="D7" s="20" t="n">
        <x:v>4</x:v>
      </x:c>
      <x:c r="E7" s="9" t="n">
        <x:v>-0.28422353738554923</x:v>
      </x:c>
      <x:c r="F7" s="9" t="n">
        <x:v>-0.7742156486718096</x:v>
      </x:c>
      <x:c r="G7" s="9" t="n">
        <x:v>0.20576857390071113</x:v>
      </x:c>
      <x:c r="H7" s="9" t="n">
        <x:v>-1.1675949353773323</x:v>
      </x:c>
      <x:c r="I7" s="2" t="n">
        <x:v>46</x:v>
      </x:c>
      <x:c r="J7" s="10" t="n">
        <x:v>0.24898678206477687</x:v>
      </x:c>
      <x:c r="K7" s="10" t="n">
        <x:v>0.9294304040616257</x:v>
      </x:c>
      <x:c r="L7" s="10" t="n">
        <x:v>1</x:v>
      </x:c>
    </x:row>
    <x:row r="8" ht="24" customHeight="1">
      <x:c r="A8" s="2" t="str">
        <x:v>POST：政府发布→转为不相信</x:v>
      </x:c>
      <x:c r="B8" s="2" t="str">
        <x:v>响应时机</x:v>
      </x:c>
      <x:c r="C8" s="20" t="n">
        <x:v>2</x:v>
      </x:c>
      <x:c r="D8" s="20" t="n">
        <x:v>7</x:v>
      </x:c>
      <x:c r="E8" s="9" t="n">
        <x:v>-0.8361521388634855</x:v>
      </x:c>
      <x:c r="F8" s="9" t="n">
        <x:v>-1.4053147666590293</x:v>
      </x:c>
      <x:c r="G8" s="9" t="n">
        <x:v>-0.26698951106794166</x:v>
      </x:c>
      <x:c r="H8" s="9" t="n">
        <x:v>-2.9571283815036074</x:v>
      </x:c>
      <x:c r="I8" s="2" t="n">
        <x:v>46</x:v>
      </x:c>
      <x:c r="J8" s="10" t="n">
        <x:v>0.004887925155083274</x:v>
      </x:c>
      <x:c r="K8" s="10" t="n">
        <x:v>0.03421547608558292</x:v>
      </x:c>
      <x:c r="L8" s="10" t="n">
        <x:v>0.05376717670591601</x:v>
      </x:c>
    </x:row>
    <x:row r="9" ht="24" customHeight="1">
      <x:c r="A9" s="2" t="str">
        <x:v>POST：政府发布→转为不相信</x:v>
      </x:c>
      <x:c r="B9" s="2" t="str">
        <x:v>响应时机</x:v>
      </x:c>
      <x:c r="C9" s="20" t="n">
        <x:v>4</x:v>
      </x:c>
      <x:c r="D9" s="20" t="n">
        <x:v>7</x:v>
      </x:c>
      <x:c r="E9" s="9" t="n">
        <x:v>-0.5519286014779363</x:v>
      </x:c>
      <x:c r="F9" s="9" t="n">
        <x:v>-1.081852801273406</x:v>
      </x:c>
      <x:c r="G9" s="9" t="n">
        <x:v>-0.022004401682466534</x:v>
      </x:c>
      <x:c r="H9" s="9" t="n">
        <x:v>-2.0964784270306707</x:v>
      </x:c>
      <x:c r="I9" s="2" t="n">
        <x:v>46</x:v>
      </x:c>
      <x:c r="J9" s="10" t="n">
        <x:v>0.041568227509537446</x:v>
      </x:c>
      <x:c r="K9" s="10" t="n">
        <x:v>0.24940936505722466</x:v>
      </x:c>
      <x:c r="L9" s="10" t="n">
        <x:v>0.4156822750953745</x:v>
      </x:c>
    </x:row>
    <x:row r="10" ht="24" customHeight="1">
      <x:c r="A10" s="2" t="str">
        <x:v>POST：政府发布→转为不相信</x:v>
      </x:c>
      <x:c r="B10" s="2" t="str">
        <x:v>定向能力</x:v>
      </x:c>
      <x:c r="C10" s="20" t="n">
        <x:v>0.2</x:v>
      </x:c>
      <x:c r="D10" s="20" t="n">
        <x:v>0.8</x:v>
      </x:c>
      <x:c r="E10" s="9" t="n">
        <x:v>-0.9082586543321788</x:v>
      </x:c>
      <x:c r="F10" s="9" t="n">
        <x:v>-1.341555581913348</x:v>
      </x:c>
      <x:c r="G10" s="9" t="n">
        <x:v>-0.47496172675100956</x:v>
      </x:c>
      <x:c r="H10" s="9" t="n">
        <x:v>-4.219346437999481</x:v>
      </x:c>
      <x:c r="I10" s="2" t="n">
        <x:v>46</x:v>
      </x:c>
      <x:c r="J10" s="10" t="n">
        <x:v>0.00011390542221678923</x:v>
      </x:c>
      <x:c r="K10" s="10" t="n">
        <x:v>0.0011390542221678922</x:v>
      </x:c>
      <x:c r="L10" s="10" t="n">
        <x:v>0.0017085813332518385</x:v>
      </x:c>
    </x:row>
    <x:row r="11" ht="24" customHeight="1">
      <x:c r="A11" s="2" t="str">
        <x:v>POST：政府发布→转为不相信</x:v>
      </x:c>
      <x:c r="B11" s="2" t="str">
        <x:v>政府信誉</x:v>
      </x:c>
      <x:c r="C11" s="20" t="n">
        <x:v>0.25</x:v>
      </x:c>
      <x:c r="D11" s="20" t="n">
        <x:v>0.5</x:v>
      </x:c>
      <x:c r="E11" s="9" t="n">
        <x:v>-0.945475138572861</x:v>
      </x:c>
      <x:c r="F11" s="9" t="n">
        <x:v>-1.5224690241182495</x:v>
      </x:c>
      <x:c r="G11" s="9" t="n">
        <x:v>-0.3684812530274726</x:v>
      </x:c>
      <x:c r="H11" s="9" t="n">
        <x:v>-3.2983759325666906</x:v>
      </x:c>
      <x:c r="I11" s="2" t="n">
        <x:v>46</x:v>
      </x:c>
      <x:c r="J11" s="10" t="n">
        <x:v>0.0018815506142670706</x:v>
      </x:c>
      <x:c r="K11" s="10" t="n">
        <x:v>0.015052404914136565</x:v>
      </x:c>
      <x:c r="L11" s="10" t="n">
        <x:v>0.02257860737120485</x:v>
      </x:c>
    </x:row>
    <x:row r="12" ht="24" customHeight="1">
      <x:c r="A12" s="2" t="str">
        <x:v>POST：政府发布→转为不相信</x:v>
      </x:c>
      <x:c r="B12" s="2" t="str">
        <x:v>政府信誉</x:v>
      </x:c>
      <x:c r="C12" s="20" t="n">
        <x:v>0.25</x:v>
      </x:c>
      <x:c r="D12" s="20" t="n">
        <x:v>0.75</x:v>
      </x:c>
      <x:c r="E12" s="9" t="n">
        <x:v>-1.1918260104381937</x:v>
      </x:c>
      <x:c r="F12" s="9" t="n">
        <x:v>-1.7783932333280497</x:v>
      </x:c>
      <x:c r="G12" s="9" t="n">
        <x:v>-0.6052587875483378</x:v>
      </x:c>
      <x:c r="H12" s="9" t="n">
        <x:v>-4.089934175437592</x:v>
      </x:c>
      <x:c r="I12" s="2" t="n">
        <x:v>46</x:v>
      </x:c>
      <x:c r="J12" s="10" t="n">
        <x:v>0.00017177389414580512</x:v>
      </x:c>
      <x:c r="K12" s="10" t="n">
        <x:v>0.0015459650473122462</x:v>
      </x:c>
      <x:c r="L12" s="10" t="n">
        <x:v>0.0024048345180412716</x:v>
      </x:c>
    </x:row>
    <x:row r="13" ht="24" customHeight="1">
      <x:c r="A13" s="2" t="str">
        <x:v>POST：政府发布→转为不相信</x:v>
      </x:c>
      <x:c r="B13" s="2" t="str">
        <x:v>政府信誉</x:v>
      </x:c>
      <x:c r="C13" s="20" t="n">
        <x:v>0.5</x:v>
      </x:c>
      <x:c r="D13" s="20" t="n">
        <x:v>0.75</x:v>
      </x:c>
      <x:c r="E13" s="9" t="n">
        <x:v>-0.24635087186533255</x:v>
      </x:c>
      <x:c r="F13" s="9" t="n">
        <x:v>-0.6560763563122758</x:v>
      </x:c>
      <x:c r="G13" s="9" t="n">
        <x:v>0.16337461258161068</x:v>
      </x:c>
      <x:c r="H13" s="9" t="n">
        <x:v>-1.2102703019243242</x:v>
      </x:c>
      <x:c r="I13" s="2" t="n">
        <x:v>46</x:v>
      </x:c>
      <x:c r="J13" s="10" t="n">
        <x:v>0.23235760101540642</x:v>
      </x:c>
      <x:c r="K13" s="10" t="n">
        <x:v>0.9294304040616257</x:v>
      </x:c>
      <x:c r="L13" s="10" t="n">
        <x:v>1</x:v>
      </x:c>
    </x:row>
    <x:row r="14" ht="24" customHeight="1">
      <x:c r="A14" s="2" t="str">
        <x:v>POST：政府发布→转为不相信</x:v>
      </x:c>
      <x:c r="B14" s="2" t="str">
        <x:v>群体茧房程度</x:v>
      </x:c>
      <x:c r="C14" s="20" t="n">
        <x:v>0</x:v>
      </x:c>
      <x:c r="D14" s="20" t="n">
        <x:v>0.2</x:v>
      </x:c>
      <x:c r="E14" s="9" t="n">
        <x:v>-0.3127613127613137</x:v>
      </x:c>
      <x:c r="F14" s="9" t="n">
        <x:v>-0.8893108148524215</x:v>
      </x:c>
      <x:c r="G14" s="9" t="n">
        <x:v>0.2637881893297941</x:v>
      </x:c>
      <x:c r="H14" s="9" t="n">
        <x:v>-1.0919372364144846</x:v>
      </x:c>
      <x:c r="I14" s="2" t="n">
        <x:v>46</x:v>
      </x:c>
      <x:c r="J14" s="10" t="n">
        <x:v>0.28054686650931016</x:v>
      </x:c>
      <x:c r="K14" s="10" t="n">
        <x:v>0.9294304040616257</x:v>
      </x:c>
      <x:c r="L14" s="10" t="n">
        <x:v>1</x:v>
      </x:c>
    </x:row>
    <x:row r="15" ht="24" customHeight="1">
      <x:c r="A15" s="2" t="str">
        <x:v>POST：政府发布→转为不相信</x:v>
      </x:c>
      <x:c r="B15" s="2" t="str">
        <x:v>群体茧房程度</x:v>
      </x:c>
      <x:c r="C15" s="20" t="n">
        <x:v>0</x:v>
      </x:c>
      <x:c r="D15" s="20" t="n">
        <x:v>0.4</x:v>
      </x:c>
      <x:c r="E15" s="9" t="n">
        <x:v>0.04696953673021778</x:v>
      </x:c>
      <x:c r="F15" s="9" t="n">
        <x:v>-0.47004358936497637</x:v>
      </x:c>
      <x:c r="G15" s="9" t="n">
        <x:v>0.5639826628254119</x:v>
      </x:c>
      <x:c r="H15" s="9" t="n">
        <x:v>0.18286726002800155</x:v>
      </x:c>
      <x:c r="I15" s="2" t="n">
        <x:v>46</x:v>
      </x:c>
      <x:c r="J15" s="10" t="n">
        <x:v>0.8557057740219611</x:v>
      </x:c>
      <x:c r="K15" s="10" t="n">
        <x:v>0.9294304040616257</x:v>
      </x:c>
      <x:c r="L15" s="10" t="n">
        <x:v>1</x:v>
      </x:c>
    </x:row>
    <x:row r="16" ht="24" customHeight="1">
      <x:c r="A16" s="2" t="str">
        <x:v>POST：政府发布→转为不相信</x:v>
      </x:c>
      <x:c r="B16" s="2" t="str">
        <x:v>群体茧房程度</x:v>
      </x:c>
      <x:c r="C16" s="20" t="n">
        <x:v>0.2</x:v>
      </x:c>
      <x:c r="D16" s="20" t="n">
        <x:v>0.4</x:v>
      </x:c>
      <x:c r="E16" s="9" t="n">
        <x:v>0.35973084949153145</x:v>
      </x:c>
      <x:c r="F16" s="9" t="n">
        <x:v>-0.13539148146773333</x:v>
      </x:c>
      <x:c r="G16" s="9" t="n">
        <x:v>0.8548531804507962</x:v>
      </x:c>
      <x:c r="H16" s="9" t="n">
        <x:v>1.462468158796548</x:v>
      </x:c>
      <x:c r="I16" s="2" t="n">
        <x:v>46</x:v>
      </x:c>
      <x:c r="J16" s="10" t="n">
        <x:v>0.15041208715859533</x:v>
      </x:c>
      <x:c r="K16" s="10" t="n">
        <x:v>0.7520604357929767</x:v>
      </x:c>
      <x:c r="L16" s="10" t="n">
        <x:v>0.9513875274608872</x:v>
      </x:c>
    </x:row>
    <x:row r="17" ht="24" customHeight="1">
      <x:c r="A17" s="2" t="str">
        <x:v>FB：首次相信→辟谣后转为不相信</x:v>
      </x:c>
      <x:c r="B17" s="2" t="str">
        <x:v>响应时机</x:v>
      </x:c>
      <x:c r="C17" s="20" t="n">
        <x:v>2</x:v>
      </x:c>
      <x:c r="D17" s="20" t="n">
        <x:v>4</x:v>
      </x:c>
      <x:c r="E17" s="9" t="n">
        <x:v>1.6071158281473705</x:v>
      </x:c>
      <x:c r="F17" s="9" t="n">
        <x:v>1.1741530261794013</x:v>
      </x:c>
      <x:c r="G17" s="9" t="n">
        <x:v>2.0400786301153397</x:v>
      </x:c>
      <x:c r="H17" s="9" t="n">
        <x:v>7.471672768948216</x:v>
      </x:c>
      <x:c r="I17" s="2" t="n">
        <x:v>46</x:v>
      </x:c>
      <x:c r="J17" s="10" t="n">
        <x:v>1.7956887266242244e-9</x:v>
      </x:c>
      <x:c r="K17" s="10" t="n">
        <x:v>1.4365509812993795e-8</x:v>
      </x:c>
      <x:c r="L17" s="10" t="n">
        <x:v>3.232239707923604e-8</x:v>
      </x:c>
    </x:row>
    <x:row r="18" ht="24" customHeight="1">
      <x:c r="A18" s="2" t="str">
        <x:v>FB：首次相信→辟谣后转为不相信</x:v>
      </x:c>
      <x:c r="B18" s="2" t="str">
        <x:v>响应时机</x:v>
      </x:c>
      <x:c r="C18" s="20" t="n">
        <x:v>2</x:v>
      </x:c>
      <x:c r="D18" s="20" t="n">
        <x:v>7</x:v>
      </x:c>
      <x:c r="E18" s="9" t="n">
        <x:v>3.8376350307570184</x:v>
      </x:c>
      <x:c r="F18" s="9" t="n">
        <x:v>3.3174536592050705</x:v>
      </x:c>
      <x:c r="G18" s="9" t="n">
        <x:v>4.357816402308966</x:v>
      </x:c>
      <x:c r="H18" s="9" t="n">
        <x:v>14.850125525685803</x:v>
      </x:c>
      <x:c r="I18" s="2" t="n">
        <x:v>46</x:v>
      </x:c>
      <x:c r="J18" s="10" t="n">
        <x:v>3.621462063454871e-19</x:v>
      </x:c>
      <x:c r="K18" s="10" t="n">
        <x:v>3.6214620634548715e-18</x:v>
      </x:c>
      <x:c r="L18" s="10" t="n">
        <x:v>7.242924126909743e-18</x:v>
      </x:c>
    </x:row>
    <x:row r="19" ht="24" customHeight="1">
      <x:c r="A19" s="2" t="str">
        <x:v>FB：首次相信→辟谣后转为不相信</x:v>
      </x:c>
      <x:c r="B19" s="2" t="str">
        <x:v>响应时机</x:v>
      </x:c>
      <x:c r="C19" s="20" t="n">
        <x:v>4</x:v>
      </x:c>
      <x:c r="D19" s="20" t="n">
        <x:v>7</x:v>
      </x:c>
      <x:c r="E19" s="9" t="n">
        <x:v>2.230519202609648</x:v>
      </x:c>
      <x:c r="F19" s="9" t="n">
        <x:v>1.7860207817062221</x:v>
      </x:c>
      <x:c r="G19" s="9" t="n">
        <x:v>2.6750176235130736</x:v>
      </x:c>
      <x:c r="H19" s="9" t="n">
        <x:v>10.100828428395506</x:v>
      </x:c>
      <x:c r="I19" s="2" t="n">
        <x:v>46</x:v>
      </x:c>
      <x:c r="J19" s="10" t="n">
        <x:v>2.9554852774175754e-13</x:v>
      </x:c>
      <x:c r="K19" s="10" t="n">
        <x:v>2.6599367496758177e-12</x:v>
      </x:c>
      <x:c r="L19" s="10" t="n">
        <x:v>5.615422027093393e-12</x:v>
      </x:c>
    </x:row>
    <x:row r="20" ht="24" customHeight="1">
      <x:c r="A20" s="2" t="str">
        <x:v>FB：首次相信→辟谣后转为不相信</x:v>
      </x:c>
      <x:c r="B20" s="2" t="str">
        <x:v>定向能力</x:v>
      </x:c>
      <x:c r="C20" s="20" t="n">
        <x:v>0.2</x:v>
      </x:c>
      <x:c r="D20" s="20" t="n">
        <x:v>0.8</x:v>
      </x:c>
      <x:c r="E20" s="9" t="n">
        <x:v>-0.8056365883588581</x:v>
      </x:c>
      <x:c r="F20" s="9" t="n">
        <x:v>-1.187335799018904</x:v>
      </x:c>
      <x:c r="G20" s="9" t="n">
        <x:v>-0.4239373776988123</x:v>
      </x:c>
      <x:c r="H20" s="9" t="n">
        <x:v>-4.248534704150373</x:v>
      </x:c>
      <x:c r="I20" s="2" t="n">
        <x:v>46</x:v>
      </x:c>
      <x:c r="J20" s="10" t="n">
        <x:v>0.00010375978397887091</x:v>
      </x:c>
      <x:c r="K20" s="10" t="n">
        <x:v>0.0006225587038732255</x:v>
      </x:c>
      <x:c r="L20" s="10" t="n">
        <x:v>0.0016601565436619346</x:v>
      </x:c>
    </x:row>
    <x:row r="21" ht="24" customHeight="1">
      <x:c r="A21" s="2" t="str">
        <x:v>FB：首次相信→辟谣后转为不相信</x:v>
      </x:c>
      <x:c r="B21" s="2" t="str">
        <x:v>政府信誉</x:v>
      </x:c>
      <x:c r="C21" s="20" t="n">
        <x:v>0.25</x:v>
      </x:c>
      <x:c r="D21" s="20" t="n">
        <x:v>0.5</x:v>
      </x:c>
      <x:c r="E21" s="9" t="n">
        <x:v>-0.9685708749750543</x:v>
      </x:c>
      <x:c r="F21" s="9" t="n">
        <x:v>-1.506673174139595</x:v>
      </x:c>
      <x:c r="G21" s="9" t="n">
        <x:v>-0.4304685758105139</x:v>
      </x:c>
      <x:c r="H21" s="9" t="n">
        <x:v>-3.623162462799049</x:v>
      </x:c>
      <x:c r="I21" s="2" t="n">
        <x:v>46</x:v>
      </x:c>
      <x:c r="J21" s="10" t="n">
        <x:v>0.0007241742904985139</x:v>
      </x:c>
      <x:c r="K21" s="10" t="n">
        <x:v>0.0036208714524925694</x:v>
      </x:c>
      <x:c r="L21" s="10" t="n">
        <x:v>0.00941426577648068</x:v>
      </x:c>
    </x:row>
    <x:row r="22" ht="24" customHeight="1">
      <x:c r="A22" s="2" t="str">
        <x:v>FB：首次相信→辟谣后转为不相信</x:v>
      </x:c>
      <x:c r="B22" s="2" t="str">
        <x:v>政府信誉</x:v>
      </x:c>
      <x:c r="C22" s="20" t="n">
        <x:v>0.25</x:v>
      </x:c>
      <x:c r="D22" s="20" t="n">
        <x:v>0.75</x:v>
      </x:c>
      <x:c r="E22" s="9" t="n">
        <x:v>-1.347654132932986</x:v>
      </x:c>
      <x:c r="F22" s="9" t="n">
        <x:v>-1.8306815818611328</x:v>
      </x:c>
      <x:c r="G22" s="9" t="n">
        <x:v>-0.8646266840048393</x:v>
      </x:c>
      <x:c r="H22" s="9" t="n">
        <x:v>-5.6160101854789515</x:v>
      </x:c>
      <x:c r="I22" s="2" t="n">
        <x:v>46</x:v>
      </x:c>
      <x:c r="J22" s="10" t="n">
        <x:v>0.000001085362186543861</x:v>
      </x:c>
      <x:c r="K22" s="10" t="n">
        <x:v>0.000007597535305807028</x:v>
      </x:c>
      <x:c r="L22" s="10" t="n">
        <x:v>0.00001845115717124564</x:v>
      </x:c>
    </x:row>
    <x:row r="23" ht="24" customHeight="1">
      <x:c r="A23" s="2" t="str">
        <x:v>FB：首次相信→辟谣后转为不相信</x:v>
      </x:c>
      <x:c r="B23" s="2" t="str">
        <x:v>政府信誉</x:v>
      </x:c>
      <x:c r="C23" s="20" t="n">
        <x:v>0.5</x:v>
      </x:c>
      <x:c r="D23" s="20" t="n">
        <x:v>0.75</x:v>
      </x:c>
      <x:c r="E23" s="9" t="n">
        <x:v>-0.37908325795793185</x:v>
      </x:c>
      <x:c r="F23" s="9" t="n">
        <x:v>-0.7434384316539582</x:v>
      </x:c>
      <x:c r="G23" s="9" t="n">
        <x:v>-0.014728084261905472</x:v>
      </x:c>
      <x:c r="H23" s="9" t="n">
        <x:v>-2.094261524619271</x:v>
      </x:c>
      <x:c r="I23" s="2" t="n">
        <x:v>46</x:v>
      </x:c>
      <x:c r="J23" s="10" t="n">
        <x:v>0.04177473076107943</x:v>
      </x:c>
      <x:c r="K23" s="10" t="n">
        <x:v>0.16709892304431773</x:v>
      </x:c>
      <x:c r="L23" s="10" t="n">
        <x:v>0.4156822750953745</x:v>
      </x:c>
    </x:row>
    <x:row r="24" ht="24" customHeight="1">
      <x:c r="A24" s="2" t="str">
        <x:v>FB：首次相信→辟谣后转为不相信</x:v>
      </x:c>
      <x:c r="B24" s="2" t="str">
        <x:v>群体茧房程度</x:v>
      </x:c>
      <x:c r="C24" s="20" t="n">
        <x:v>0</x:v>
      </x:c>
      <x:c r="D24" s="20" t="n">
        <x:v>0.2</x:v>
      </x:c>
      <x:c r="E24" s="9" t="n">
        <x:v>0.03275736609070144</x:v>
      </x:c>
      <x:c r="F24" s="9" t="n">
        <x:v>-0.4504022768635537</x:v>
      </x:c>
      <x:c r="G24" s="9" t="n">
        <x:v>0.5159170090449566</x:v>
      </x:c>
      <x:c r="H24" s="9" t="n">
        <x:v>0.13647074832863948</x:v>
      </x:c>
      <x:c r="I24" s="2" t="n">
        <x:v>46</x:v>
      </x:c>
      <x:c r="J24" s="10" t="n">
        <x:v>0.8920446767844608</x:v>
      </x:c>
      <x:c r="K24" s="10" t="n">
        <x:v>0.8920446767844608</x:v>
      </x:c>
      <x:c r="L24" s="10" t="n">
        <x:v>1</x:v>
      </x:c>
    </x:row>
    <x:row r="25" ht="24" customHeight="1">
      <x:c r="A25" s="2" t="str">
        <x:v>FB：首次相信→辟谣后转为不相信</x:v>
      </x:c>
      <x:c r="B25" s="2" t="str">
        <x:v>群体茧房程度</x:v>
      </x:c>
      <x:c r="C25" s="20" t="n">
        <x:v>0</x:v>
      </x:c>
      <x:c r="D25" s="20" t="n">
        <x:v>0.4</x:v>
      </x:c>
      <x:c r="E25" s="9" t="n">
        <x:v>0.4028688793231112</x:v>
      </x:c>
      <x:c r="F25" s="9" t="n">
        <x:v>-0.02286852398748329</x:v>
      </x:c>
      <x:c r="G25" s="9" t="n">
        <x:v>0.8286062826337057</x:v>
      </x:c>
      <x:c r="H25" s="9" t="n">
        <x:v>1.9047727256876255</x:v>
      </x:c>
      <x:c r="I25" s="2" t="n">
        <x:v>46</x:v>
      </x:c>
      <x:c r="J25" s="10" t="n">
        <x:v>0.06307324442121746</x:v>
      </x:c>
      <x:c r="K25" s="10" t="n">
        <x:v>0.18921973326365238</x:v>
      </x:c>
      <x:c r="L25" s="10" t="n">
        <x:v>0.5045859553697397</x:v>
      </x:c>
    </x:row>
    <x:row r="26" ht="24" customHeight="1">
      <x:c r="A26" s="2" t="str">
        <x:v>FB：首次相信→辟谣后转为不相信</x:v>
      </x:c>
      <x:c r="B26" s="2" t="str">
        <x:v>群体茧房程度</x:v>
      </x:c>
      <x:c r="C26" s="20" t="n">
        <x:v>0.2</x:v>
      </x:c>
      <x:c r="D26" s="20" t="n">
        <x:v>0.4</x:v>
      </x:c>
      <x:c r="E26" s="9" t="n">
        <x:v>0.37011151323240976</x:v>
      </x:c>
      <x:c r="F26" s="9" t="n">
        <x:v>-0.12073338714440818</x:v>
      </x:c>
      <x:c r="G26" s="9" t="n">
        <x:v>0.8609564136092277</x:v>
      </x:c>
      <x:c r="H26" s="9" t="n">
        <x:v>1.5177825735237338</x:v>
      </x:c>
      <x:c r="I26" s="2" t="n">
        <x:v>46</x:v>
      </x:c>
      <x:c r="J26" s="10" t="n">
        <x:v>0.13591250392298387</x:v>
      </x:c>
      <x:c r="K26" s="10" t="n">
        <x:v>0.27182500784596775</x:v>
      </x:c>
      <x:c r="L26" s="10" t="n">
        <x:v>0.9513875274608872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3" hidden="0" customWidth="1"/>
    <x:col min="2" max="2" width="14" hidden="0" customWidth="1"/>
    <x:col min="3" max="3" width="28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7" hidden="0" customWidth="1"/>
    <x:col min="10" max="10" width="14" hidden="0" customWidth="1"/>
    <x:col min="11" max="11" width="20" hidden="0" customWidth="1"/>
    <x:col min="12" max="12" width="24" hidden="0" customWidth="1"/>
    <x:col min="13" max="13" width="2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1" customHeight="1">
      <x:c r="A2" s="3" t="str">
        <x:v>M1至M3的完整系数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HC3 t推断；回归输出为本次静态拟合，改动明细后需重新分析。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8" customHeight="1">
      <x:c r="A6" s="8" t="str">
        <x:v>TBU口径</x:v>
      </x:c>
      <x:c r="B6" s="8" t="str">
        <x:v>模型</x:v>
      </x:c>
      <x:c r="C6" s="8" t="str">
        <x:v>项</x:v>
      </x:c>
      <x:c r="D6" s="8" t="str">
        <x:v>情景N</x:v>
      </x:c>
      <x:c r="E6" s="8" t="str">
        <x:v>b</x:v>
      </x:c>
      <x:c r="F6" s="8" t="str">
        <x:v>标准误SE</x:v>
      </x:c>
      <x:c r="G6" s="8" t="str">
        <x:v>95%下限</x:v>
      </x:c>
      <x:c r="H6" s="8" t="str">
        <x:v>95%上限</x:v>
      </x:c>
      <x:c r="I6" s="8" t="str">
        <x:v>t</x:v>
      </x:c>
      <x:c r="J6" s="8" t="str">
        <x:v>残差df</x:v>
      </x:c>
      <x:c r="K6" s="8" t="str">
        <x:v>原始p</x:v>
      </x:c>
      <x:c r="L6" s="8" t="str">
        <x:v>指标内Holm4 p</x:v>
      </x:c>
      <x:c r="M6" s="8" t="str">
        <x:v>两套联合Holm8 p</x:v>
      </x:c>
    </x:row>
    <x:row r="7" ht="24" customHeight="1">
      <x:c r="A7" s="2" t="str">
        <x:v>POST：政府发布→转为不相信</x:v>
      </x:c>
      <x:c r="B7" s="2" t="str">
        <x:v>M1</x:v>
      </x:c>
      <x:c r="C7" s="2" t="str">
        <x:v>Intercept</x:v>
      </x:c>
      <x:c r="D7" s="2" t="n">
        <x:v>54</x:v>
      </x:c>
      <x:c r="E7" s="9" t="n">
        <x:v>1.511931841852069</x:v>
      </x:c>
      <x:c r="F7" s="9" t="n">
        <x:v>0.10528602950695055</x:v>
      </x:c>
      <x:c r="G7" s="9" t="n">
        <x:v>1.300458627908974</x:v>
      </x:c>
      <x:c r="H7" s="9" t="n">
        <x:v>1.7234050557951641</x:v>
      </x:c>
      <x:c r="I7" s="9" t="n">
        <x:v>14.360232301781856</x:v>
      </x:c>
      <x:c r="J7" s="2" t="n">
        <x:v>50</x:v>
      </x:c>
      <x:c r="K7" s="10" t="n">
        <x:v>2.262065211213065e-19</x:v>
      </x:c>
      <x:c r="L7" s="10"/>
      <x:c r="M7" s="10"/>
    </x:row>
    <x:row r="8" ht="24" customHeight="1">
      <x:c r="A8" s="2" t="str">
        <x:v>POST：政府发布→转为不相信</x:v>
      </x:c>
      <x:c r="B8" s="2" t="str">
        <x:v>M1</x:v>
      </x:c>
      <x:c r="C8" s="2" t="str">
        <x:v>RT_c</x:v>
      </x:c>
      <x:c r="D8" s="2" t="n">
        <x:v>54</x:v>
      </x:c>
      <x:c r="E8" s="9" t="n">
        <x:v>-0.16855246246111397</x:v>
      </x:c>
      <x:c r="F8" s="9" t="n">
        <x:v>0.053857827177776596</x:v>
      </x:c>
      <x:c r="G8" s="9" t="n">
        <x:v>-0.27672909199698514</x:v>
      </x:c>
      <x:c r="H8" s="9" t="n">
        <x:v>-0.06037583292524276</x:v>
      </x:c>
      <x:c r="I8" s="9" t="n">
        <x:v>-3.1295815537590777</x:v>
      </x:c>
      <x:c r="J8" s="2" t="n">
        <x:v>50</x:v>
      </x:c>
      <x:c r="K8" s="10" t="n">
        <x:v>0.0029201644200067827</x:v>
      </x:c>
      <x:c r="L8" s="10"/>
      <x:c r="M8" s="10"/>
    </x:row>
    <x:row r="9" ht="24" customHeight="1">
      <x:c r="A9" s="2" t="str">
        <x:v>POST：政府发布→转为不相信</x:v>
      </x:c>
      <x:c r="B9" s="2" t="str">
        <x:v>M1</x:v>
      </x:c>
      <x:c r="C9" s="2" t="str">
        <x:v>TC_c</x:v>
      </x:c>
      <x:c r="D9" s="2" t="n">
        <x:v>54</x:v>
      </x:c>
      <x:c r="E9" s="9" t="n">
        <x:v>-1.5137644238869654</x:v>
      </x:c>
      <x:c r="F9" s="9" t="n">
        <x:v>0.3509534316898354</x:v>
      </x:c>
      <x:c r="G9" s="9" t="n">
        <x:v>-2.2186751370306164</x:v>
      </x:c>
      <x:c r="H9" s="9" t="n">
        <x:v>-0.8088537107433145</x:v>
      </x:c>
      <x:c r="I9" s="9" t="n">
        <x:v>-4.31329141475612</x:v>
      </x:c>
      <x:c r="J9" s="2" t="n">
        <x:v>50</x:v>
      </x:c>
      <x:c r="K9" s="10" t="n">
        <x:v>0.00007566894143026828</x:v>
      </x:c>
      <x:c r="L9" s="10"/>
      <x:c r="M9" s="10"/>
    </x:row>
    <x:row r="10" ht="24" customHeight="1">
      <x:c r="A10" s="2" t="str">
        <x:v>POST：政府发布→转为不相信</x:v>
      </x:c>
      <x:c r="B10" s="2" t="str">
        <x:v>M1</x:v>
      </x:c>
      <x:c r="C10" s="2" t="str">
        <x:v>GC_c</x:v>
      </x:c>
      <x:c r="D10" s="2" t="n">
        <x:v>54</x:v>
      </x:c>
      <x:c r="E10" s="9" t="n">
        <x:v>-2.3836520208763865</x:v>
      </x:c>
      <x:c r="F10" s="9" t="n">
        <x:v>0.5652405222159743</x:v>
      </x:c>
      <x:c r="G10" s="9" t="n">
        <x:v>-3.5189710223018746</x:v>
      </x:c>
      <x:c r="H10" s="9" t="n">
        <x:v>-1.2483330194508986</x:v>
      </x:c>
      <x:c r="I10" s="9" t="n">
        <x:v>-4.2170579199302525</x:v>
      </x:c>
      <x:c r="J10" s="2" t="n">
        <x:v>50</x:v>
      </x:c>
      <x:c r="K10" s="10" t="n">
        <x:v>0.00010374390238551379</x:v>
      </x:c>
      <x:c r="L10" s="10"/>
      <x:c r="M10" s="10"/>
    </x:row>
    <x:row r="11" ht="24" customHeight="1">
      <x:c r="A11" s="2" t="str">
        <x:v>POST：政府发布→转为不相信</x:v>
      </x:c>
      <x:c r="B11" s="2" t="str">
        <x:v>M2</x:v>
      </x:c>
      <x:c r="C11" s="2" t="str">
        <x:v>Intercept</x:v>
      </x:c>
      <x:c r="D11" s="2" t="n">
        <x:v>54</x:v>
      </x:c>
      <x:c r="E11" s="9" t="n">
        <x:v>1.511931841852069</x:v>
      </x:c>
      <x:c r="F11" s="9" t="n">
        <x:v>0.10728799237396508</x:v>
      </x:c>
      <x:c r="G11" s="9" t="n">
        <x:v>1.2963285491360381</x:v>
      </x:c>
      <x:c r="H11" s="9" t="n">
        <x:v>1.7275351345681</x:v>
      </x:c>
      <x:c r="I11" s="9" t="n">
        <x:v>14.092274525764735</x:v>
      </x:c>
      <x:c r="J11" s="2" t="n">
        <x:v>49</x:v>
      </x:c>
      <x:c r="K11" s="10" t="n">
        <x:v>7.306086761253834e-19</x:v>
      </x:c>
      <x:c r="L11" s="10"/>
      <x:c r="M11" s="10"/>
    </x:row>
    <x:row r="12" ht="24" customHeight="1">
      <x:c r="A12" s="2" t="str">
        <x:v>POST：政府发布→转为不相信</x:v>
      </x:c>
      <x:c r="B12" s="2" t="str">
        <x:v>M2</x:v>
      </x:c>
      <x:c r="C12" s="2" t="str">
        <x:v>RT_c</x:v>
      </x:c>
      <x:c r="D12" s="2" t="n">
        <x:v>54</x:v>
      </x:c>
      <x:c r="E12" s="9" t="n">
        <x:v>-0.16855246246111397</x:v>
      </x:c>
      <x:c r="F12" s="9" t="n">
        <x:v>0.054808110803727945</x:v>
      </x:c>
      <x:c r="G12" s="9" t="n">
        <x:v>-0.2786934847261212</x:v>
      </x:c>
      <x:c r="H12" s="9" t="n">
        <x:v>-0.05841144019610674</x:v>
      </x:c>
      <x:c r="I12" s="9" t="n">
        <x:v>-3.075319692457806</x:v>
      </x:c>
      <x:c r="J12" s="2" t="n">
        <x:v>49</x:v>
      </x:c>
      <x:c r="K12" s="10" t="n">
        <x:v>0.0034342325866934106</x:v>
      </x:c>
      <x:c r="L12" s="10"/>
      <x:c r="M12" s="10"/>
    </x:row>
    <x:row r="13" ht="24" customHeight="1">
      <x:c r="A13" s="2" t="str">
        <x:v>POST：政府发布→转为不相信</x:v>
      </x:c>
      <x:c r="B13" s="2" t="str">
        <x:v>M2</x:v>
      </x:c>
      <x:c r="C13" s="2" t="str">
        <x:v>TC_c</x:v>
      </x:c>
      <x:c r="D13" s="2" t="n">
        <x:v>54</x:v>
      </x:c>
      <x:c r="E13" s="9" t="n">
        <x:v>-1.513764423886965</x:v>
      </x:c>
      <x:c r="F13" s="9" t="n">
        <x:v>0.3576266412465504</x:v>
      </x:c>
      <x:c r="G13" s="9" t="n">
        <x:v>-2.232442066273735</x:v>
      </x:c>
      <x:c r="H13" s="9" t="n">
        <x:v>-0.7950867815001949</x:v>
      </x:c>
      <x:c r="I13" s="9" t="n">
        <x:v>-4.232806646089223</x:v>
      </x:c>
      <x:c r="J13" s="2" t="n">
        <x:v>49</x:v>
      </x:c>
      <x:c r="K13" s="10" t="n">
        <x:v>0.00010095399280143576</x:v>
      </x:c>
      <x:c r="L13" s="10"/>
      <x:c r="M13" s="10"/>
    </x:row>
    <x:row r="14" ht="24" customHeight="1">
      <x:c r="A14" s="2" t="str">
        <x:v>POST：政府发布→转为不相信</x:v>
      </x:c>
      <x:c r="B14" s="2" t="str">
        <x:v>M2</x:v>
      </x:c>
      <x:c r="C14" s="2" t="str">
        <x:v>GC_c</x:v>
      </x:c>
      <x:c r="D14" s="2" t="n">
        <x:v>54</x:v>
      </x:c>
      <x:c r="E14" s="9" t="n">
        <x:v>-2.383652020876386</x:v>
      </x:c>
      <x:c r="F14" s="9" t="n">
        <x:v>0.5750223793730136</x:v>
      </x:c>
      <x:c r="G14" s="9" t="n">
        <x:v>-3.5392027552595295</x:v>
      </x:c>
      <x:c r="H14" s="9" t="n">
        <x:v>-1.2281012864932426</x:v>
      </x:c>
      <x:c r="I14" s="9" t="n">
        <x:v>-4.1453204368766405</x:v>
      </x:c>
      <x:c r="J14" s="2" t="n">
        <x:v>49</x:v>
      </x:c>
      <x:c r="K14" s="10" t="n">
        <x:v>0.00013402681757069147</x:v>
      </x:c>
      <x:c r="L14" s="10"/>
      <x:c r="M14" s="10"/>
    </x:row>
    <x:row r="15" ht="24" customHeight="1">
      <x:c r="A15" s="2" t="str">
        <x:v>POST：政府发布→转为不相信</x:v>
      </x:c>
      <x:c r="B15" s="2" t="str">
        <x:v>M2</x:v>
      </x:c>
      <x:c r="C15" s="2" t="str">
        <x:v>DGC_c</x:v>
      </x:c>
      <x:c r="D15" s="2" t="n">
        <x:v>54</x:v>
      </x:c>
      <x:c r="E15" s="9" t="n">
        <x:v>0.11742384182554831</x:v>
      </x:c>
      <x:c r="F15" s="9" t="n">
        <x:v>0.6420048854681958</x:v>
      </x:c>
      <x:c r="G15" s="9" t="n">
        <x:v>-1.1727332781273316</x:v>
      </x:c>
      <x:c r="H15" s="9" t="n">
        <x:v>1.407580961778428</x:v>
      </x:c>
      <x:c r="I15" s="9" t="n">
        <x:v>0.18290178857426367</x:v>
      </x:c>
      <x:c r="J15" s="2" t="n">
        <x:v>49</x:v>
      </x:c>
      <x:c r="K15" s="10" t="n">
        <x:v>0.855629763224055</x:v>
      </x:c>
      <x:c r="L15" s="10"/>
      <x:c r="M15" s="10"/>
    </x:row>
    <x:row r="16" ht="24" customHeight="1">
      <x:c r="A16" s="2" t="str">
        <x:v>POST：政府发布→转为不相信</x:v>
      </x:c>
      <x:c r="B16" s="2" t="str">
        <x:v>M3</x:v>
      </x:c>
      <x:c r="C16" s="2" t="str">
        <x:v>Intercept</x:v>
      </x:c>
      <x:c r="D16" s="2" t="n">
        <x:v>54</x:v>
      </x:c>
      <x:c r="E16" s="9" t="n">
        <x:v>1.511931841852069</x:v>
      </x:c>
      <x:c r="F16" s="9" t="n">
        <x:v>0.10790002310146087</x:v>
      </x:c>
      <x:c r="G16" s="9" t="n">
        <x:v>1.2947403602278338</x:v>
      </x:c>
      <x:c r="H16" s="9" t="n">
        <x:v>1.7291233234763044</x:v>
      </x:c>
      <x:c r="I16" s="9" t="n">
        <x:v>14.01234029792899</x:v>
      </x:c>
      <x:c r="J16" s="2" t="n">
        <x:v>46</x:v>
      </x:c>
      <x:c r="K16" s="10" t="n">
        <x:v>3.2601004283894448e-18</x:v>
      </x:c>
      <x:c r="L16" s="10"/>
      <x:c r="M16" s="10"/>
    </x:row>
    <x:row r="17" ht="24" customHeight="1">
      <x:c r="A17" s="2" t="str">
        <x:v>POST：政府发布→转为不相信</x:v>
      </x:c>
      <x:c r="B17" s="2" t="str">
        <x:v>M3</x:v>
      </x:c>
      <x:c r="C17" s="2" t="str">
        <x:v>RT_c</x:v>
      </x:c>
      <x:c r="D17" s="2" t="n">
        <x:v>54</x:v>
      </x:c>
      <x:c r="E17" s="9" t="n">
        <x:v>-0.1685524624611139</x:v>
      </x:c>
      <x:c r="F17" s="9" t="n">
        <x:v>0.056819968245772186</x:v>
      </x:c>
      <x:c r="G17" s="9" t="n">
        <x:v>-0.28292512647377044</x:v>
      </x:c>
      <x:c r="H17" s="9" t="n">
        <x:v>-0.0541797984484574</x:v>
      </x:c>
      <x:c r="I17" s="9" t="n">
        <x:v>-2.966430071415174</x:v>
      </x:c>
      <x:c r="J17" s="2" t="n">
        <x:v>46</x:v>
      </x:c>
      <x:c r="K17" s="10" t="n">
        <x:v>0.00476579930807311</x:v>
      </x:c>
      <x:c r="L17" s="10" t="n">
        <x:v>0.00953159861614622</x:v>
      </x:c>
      <x:c r="M17" s="10" t="n">
        <x:v>0.01429739792421933</x:v>
      </x:c>
    </x:row>
    <x:row r="18" ht="24" customHeight="1">
      <x:c r="A18" s="2" t="str">
        <x:v>POST：政府发布→转为不相信</x:v>
      </x:c>
      <x:c r="B18" s="2" t="str">
        <x:v>M3</x:v>
      </x:c>
      <x:c r="C18" s="2" t="str">
        <x:v>TC_c</x:v>
      </x:c>
      <x:c r="D18" s="2" t="n">
        <x:v>54</x:v>
      </x:c>
      <x:c r="E18" s="9" t="n">
        <x:v>-1.5137644238869643</x:v>
      </x:c>
      <x:c r="F18" s="9" t="n">
        <x:v>0.3596667436715363</x:v>
      </x:c>
      <x:c r="G18" s="9" t="n">
        <x:v>-2.237736029301082</x:v>
      </x:c>
      <x:c r="H18" s="9" t="n">
        <x:v>-0.7897928184728467</x:v>
      </x:c>
      <x:c r="I18" s="9" t="n">
        <x:v>-4.208797311739786</x:v>
      </x:c>
      <x:c r="J18" s="2" t="n">
        <x:v>46</x:v>
      </x:c>
      <x:c r="K18" s="10" t="n">
        <x:v>0.00011780479577695244</x:v>
      </x:c>
      <x:c r="L18" s="10" t="n">
        <x:v>0.0004712191831078098</x:v>
      </x:c>
      <x:c r="M18" s="10" t="n">
        <x:v>0.0006210402663910271</x:v>
      </x:c>
    </x:row>
    <x:row r="19" ht="24" customHeight="1">
      <x:c r="A19" s="2" t="str">
        <x:v>POST：政府发布→转为不相信</x:v>
      </x:c>
      <x:c r="B19" s="2" t="str">
        <x:v>M3</x:v>
      </x:c>
      <x:c r="C19" s="2" t="str">
        <x:v>GC_c</x:v>
      </x:c>
      <x:c r="D19" s="2" t="n">
        <x:v>54</x:v>
      </x:c>
      <x:c r="E19" s="9" t="n">
        <x:v>-2.3836520208763865</x:v>
      </x:c>
      <x:c r="F19" s="9" t="n">
        <x:v>0.5822571903219544</x:v>
      </x:c>
      <x:c r="G19" s="9" t="n">
        <x:v>-3.5556749567146406</x:v>
      </x:c>
      <x:c r="H19" s="9" t="n">
        <x:v>-1.2116290850381324</x:v>
      </x:c>
      <x:c r="I19" s="9" t="n">
        <x:v>-4.093812941250867</x:v>
      </x:c>
      <x:c r="J19" s="2" t="n">
        <x:v>46</x:v>
      </x:c>
      <x:c r="K19" s="10" t="n">
        <x:v>0.00016968348587876098</x:v>
      </x:c>
      <x:c r="L19" s="10" t="n">
        <x:v>0.000509050457636283</x:v>
      </x:c>
      <x:c r="M19" s="10" t="n">
        <x:v>0.0006787339435150439</x:v>
      </x:c>
    </x:row>
    <x:row r="20" ht="24" customHeight="1">
      <x:c r="A20" s="2" t="str">
        <x:v>POST：政府发布→转为不相信</x:v>
      </x:c>
      <x:c r="B20" s="2" t="str">
        <x:v>M3</x:v>
      </x:c>
      <x:c r="C20" s="2" t="str">
        <x:v>DGC_c</x:v>
      </x:c>
      <x:c r="D20" s="2" t="n">
        <x:v>54</x:v>
      </x:c>
      <x:c r="E20" s="9" t="n">
        <x:v>0.1174238418255481</x:v>
      </x:c>
      <x:c r="F20" s="9" t="n">
        <x:v>0.6477487879829609</x:v>
      </x:c>
      <x:c r="G20" s="9" t="n">
        <x:v>-1.1864268427107478</x:v>
      </x:c>
      <x:c r="H20" s="9" t="n">
        <x:v>1.4212745263618443</x:v>
      </x:c>
      <x:c r="I20" s="9" t="n">
        <x:v>0.18127990974895805</x:v>
      </x:c>
      <x:c r="J20" s="2" t="n">
        <x:v>46</x:v>
      </x:c>
      <x:c r="K20" s="10" t="n">
        <x:v>0.8569442860650791</x:v>
      </x:c>
      <x:c r="L20" s="10" t="n">
        <x:v>0.8569442860650791</x:v>
      </x:c>
      <x:c r="M20" s="10" t="n">
        <x:v>0.8569442860650791</x:v>
      </x:c>
    </x:row>
    <x:row r="21" ht="24" customHeight="1">
      <x:c r="A21" s="2" t="str">
        <x:v>POST：政府发布→转为不相信</x:v>
      </x:c>
      <x:c r="B21" s="2" t="str">
        <x:v>M3</x:v>
      </x:c>
      <x:c r="C21" s="2" t="str">
        <x:v>DGC_c:RT_c</x:v>
      </x:c>
      <x:c r="D21" s="2" t="n">
        <x:v>54</x:v>
      </x:c>
      <x:c r="E21" s="9" t="n">
        <x:v>0.22321420310984014</x:v>
      </x:c>
      <x:c r="F21" s="9" t="n">
        <x:v>0.3268997761624226</x:v>
      </x:c>
      <x:c r="G21" s="9" t="n">
        <x:v>-0.4348009176152467</x:v>
      </x:c>
      <x:c r="H21" s="9" t="n">
        <x:v>0.8812293238349269</x:v>
      </x:c>
      <x:c r="I21" s="9" t="n">
        <x:v>0.6828215232516234</x:v>
      </x:c>
      <x:c r="J21" s="2" t="n">
        <x:v>46</x:v>
      </x:c>
      <x:c r="K21" s="10" t="n">
        <x:v>0.49814423687088927</x:v>
      </x:c>
      <x:c r="L21" s="10"/>
      <x:c r="M21" s="10"/>
    </x:row>
    <x:row r="22" ht="24" customHeight="1">
      <x:c r="A22" s="2" t="str">
        <x:v>POST：政府发布→转为不相信</x:v>
      </x:c>
      <x:c r="B22" s="2" t="str">
        <x:v>M3</x:v>
      </x:c>
      <x:c r="C22" s="2" t="str">
        <x:v>DGC_c:TC_c</x:v>
      </x:c>
      <x:c r="D22" s="2" t="n">
        <x:v>54</x:v>
      </x:c>
      <x:c r="E22" s="9" t="n">
        <x:v>1.880030470778086</x:v>
      </x:c>
      <x:c r="F22" s="9" t="n">
        <x:v>2.159162626609869</x:v>
      </x:c>
      <x:c r="G22" s="9" t="n">
        <x:v>-2.466138477676233</x:v>
      </x:c>
      <x:c r="H22" s="9" t="n">
        <x:v>6.226199419232405</x:v>
      </x:c>
      <x:c r="I22" s="9" t="n">
        <x:v>0.8707220325177394</x:v>
      </x:c>
      <x:c r="J22" s="2" t="n">
        <x:v>46</x:v>
      </x:c>
      <x:c r="K22" s="10" t="n">
        <x:v>0.3884274384089206</x:v>
      </x:c>
      <x:c r="L22" s="10"/>
      <x:c r="M22" s="10"/>
    </x:row>
    <x:row r="23" ht="24" customHeight="1">
      <x:c r="A23" s="2" t="str">
        <x:v>POST：政府发布→转为不相信</x:v>
      </x:c>
      <x:c r="B23" s="2" t="str">
        <x:v>M3</x:v>
      </x:c>
      <x:c r="C23" s="2" t="str">
        <x:v>DGC_c:GC_c</x:v>
      </x:c>
      <x:c r="D23" s="2" t="n">
        <x:v>54</x:v>
      </x:c>
      <x:c r="E23" s="9" t="n">
        <x:v>-6.284136188318942</x:v>
      </x:c>
      <x:c r="F23" s="9" t="n">
        <x:v>3.503654983708391</x:v>
      </x:c>
      <x:c r="G23" s="9" t="n">
        <x:v>-13.336627885157684</x:v>
      </x:c>
      <x:c r="H23" s="9" t="n">
        <x:v>0.7683555085198002</x:v>
      </x:c>
      <x:c r="I23" s="9" t="n">
        <x:v>-1.7935944656478684</x:v>
      </x:c>
      <x:c r="J23" s="2" t="n">
        <x:v>46</x:v>
      </x:c>
      <x:c r="K23" s="10" t="n">
        <x:v>0.07945309298352783</x:v>
      </x:c>
      <x:c r="L23" s="10"/>
      <x:c r="M23" s="10"/>
    </x:row>
    <x:row r="24" ht="24" customHeight="1">
      <x:c r="A24" s="2" t="str">
        <x:v>FB：首次相信→辟谣后转为不相信</x:v>
      </x:c>
      <x:c r="B24" s="2" t="str">
        <x:v>M1</x:v>
      </x:c>
      <x:c r="C24" s="2" t="str">
        <x:v>Intercept</x:v>
      </x:c>
      <x:c r="D24" s="2" t="n">
        <x:v>54</x:v>
      </x:c>
      <x:c r="E24" s="9" t="n">
        <x:v>4.5568489601114806</x:v>
      </x:c>
      <x:c r="F24" s="9" t="n">
        <x:v>0.09412078756629125</x:v>
      </x:c>
      <x:c r="G24" s="9" t="n">
        <x:v>4.367801794607106</x:v>
      </x:c>
      <x:c r="H24" s="9" t="n">
        <x:v>4.745896125615855</x:v>
      </x:c>
      <x:c r="I24" s="9" t="n">
        <x:v>48.41490469788086</x:v>
      </x:c>
      <x:c r="J24" s="2" t="n">
        <x:v>50</x:v>
      </x:c>
      <x:c r="K24" s="10" t="n">
        <x:v>1.1241438309958944e-43</x:v>
      </x:c>
      <x:c r="L24" s="10"/>
      <x:c r="M24" s="10"/>
    </x:row>
    <x:row r="25" ht="24" customHeight="1">
      <x:c r="A25" s="2" t="str">
        <x:v>FB：首次相信→辟谣后转为不相信</x:v>
      </x:c>
      <x:c r="B25" s="2" t="str">
        <x:v>M1</x:v>
      </x:c>
      <x:c r="C25" s="2" t="str">
        <x:v>RT_c</x:v>
      </x:c>
      <x:c r="D25" s="2" t="n">
        <x:v>54</x:v>
      </x:c>
      <x:c r="E25" s="9" t="n">
        <x:v>0.7656306425765467</x:v>
      </x:c>
      <x:c r="F25" s="9" t="n">
        <x:v>0.048813450227310075</x:v>
      </x:c>
      <x:c r="G25" s="9" t="n">
        <x:v>0.667585942329406</x:v>
      </x:c>
      <x:c r="H25" s="9" t="n">
        <x:v>0.8636753428236873</x:v>
      </x:c>
      <x:c r="I25" s="9" t="n">
        <x:v>15.684829468337659</x:v>
      </x:c>
      <x:c r="J25" s="2" t="n">
        <x:v>50</x:v>
      </x:c>
      <x:c r="K25" s="10" t="n">
        <x:v>6.028739231692933e-21</x:v>
      </x:c>
      <x:c r="L25" s="10"/>
      <x:c r="M25" s="10"/>
    </x:row>
    <x:row r="26" ht="24" customHeight="1">
      <x:c r="A26" s="2" t="str">
        <x:v>FB：首次相信→辟谣后转为不相信</x:v>
      </x:c>
      <x:c r="B26" s="2" t="str">
        <x:v>M1</x:v>
      </x:c>
      <x:c r="C26" s="2" t="str">
        <x:v>TC_c</x:v>
      </x:c>
      <x:c r="D26" s="2" t="n">
        <x:v>54</x:v>
      </x:c>
      <x:c r="E26" s="9" t="n">
        <x:v>-1.342727647264765</x:v>
      </x:c>
      <x:c r="F26" s="9" t="n">
        <x:v>0.31373595855430436</x:v>
      </x:c>
      <x:c r="G26" s="9" t="n">
        <x:v>-1.9728848656126796</x:v>
      </x:c>
      <x:c r="H26" s="9" t="n">
        <x:v>-0.7125704289168502</x:v>
      </x:c>
      <x:c r="I26" s="9" t="n">
        <x:v>-4.279801567700608</x:v>
      </x:c>
      <x:c r="J26" s="2" t="n">
        <x:v>50</x:v>
      </x:c>
      <x:c r="K26" s="10" t="n">
        <x:v>0.00008447794313468729</x:v>
      </x:c>
      <x:c r="L26" s="10"/>
      <x:c r="M26" s="10"/>
    </x:row>
    <x:row r="27" ht="24" customHeight="1">
      <x:c r="A27" s="2" t="str">
        <x:v>FB：首次相信→辟谣后转为不相信</x:v>
      </x:c>
      <x:c r="B27" s="2" t="str">
        <x:v>M1</x:v>
      </x:c>
      <x:c r="C27" s="2" t="str">
        <x:v>GC_c</x:v>
      </x:c>
      <x:c r="D27" s="2" t="n">
        <x:v>54</x:v>
      </x:c>
      <x:c r="E27" s="9" t="n">
        <x:v>-2.695308265865963</x:v>
      </x:c>
      <x:c r="F27" s="9" t="n">
        <x:v>0.4882081043671381</x:v>
      </x:c>
      <x:c r="G27" s="9" t="n">
        <x:v>-3.6759031024940176</x:v>
      </x:c>
      <x:c r="H27" s="9" t="n">
        <x:v>-1.7147134292379083</x:v>
      </x:c>
      <x:c r="I27" s="9" t="n">
        <x:v>-5.520818359539276</x:v>
      </x:c>
      <x:c r="J27" s="2" t="n">
        <x:v>50</x:v>
      </x:c>
      <x:c r="K27" s="10" t="n">
        <x:v>0.000001203531669919458</x:v>
      </x:c>
      <x:c r="L27" s="10"/>
      <x:c r="M27" s="10"/>
    </x:row>
    <x:row r="28" ht="24" customHeight="1">
      <x:c r="A28" s="2" t="str">
        <x:v>FB：首次相信→辟谣后转为不相信</x:v>
      </x:c>
      <x:c r="B28" s="2" t="str">
        <x:v>M2</x:v>
      </x:c>
      <x:c r="C28" s="2" t="str">
        <x:v>Intercept</x:v>
      </x:c>
      <x:c r="D28" s="2" t="n">
        <x:v>54</x:v>
      </x:c>
      <x:c r="E28" s="9" t="n">
        <x:v>4.5568489601114806</x:v>
      </x:c>
      <x:c r="F28" s="9" t="n">
        <x:v>0.09246831949345839</x:v>
      </x:c>
      <x:c r="G28" s="9" t="n">
        <x:v>4.371026915038471</x:v>
      </x:c>
      <x:c r="H28" s="9" t="n">
        <x:v>4.74267100518449</x:v>
      </x:c>
      <x:c r="I28" s="9" t="n">
        <x:v>49.28011004281149</x:v>
      </x:c>
      <x:c r="J28" s="2" t="n">
        <x:v>49</x:v>
      </x:c>
      <x:c r="K28" s="10" t="n">
        <x:v>2.0660273601305885e-43</x:v>
      </x:c>
      <x:c r="L28" s="10"/>
      <x:c r="M28" s="10"/>
    </x:row>
    <x:row r="29" ht="24" customHeight="1">
      <x:c r="A29" s="2" t="str">
        <x:v>FB：首次相信→辟谣后转为不相信</x:v>
      </x:c>
      <x:c r="B29" s="2" t="str">
        <x:v>M2</x:v>
      </x:c>
      <x:c r="C29" s="2" t="str">
        <x:v>RT_c</x:v>
      </x:c>
      <x:c r="D29" s="2" t="n">
        <x:v>54</x:v>
      </x:c>
      <x:c r="E29" s="9" t="n">
        <x:v>0.7656306425765469</x:v>
      </x:c>
      <x:c r="F29" s="9" t="n">
        <x:v>0.04890473677435949</x:v>
      </x:c>
      <x:c r="G29" s="9" t="n">
        <x:v>0.6673528945764704</x:v>
      </x:c>
      <x:c r="H29" s="9" t="n">
        <x:v>0.8639083905766234</x:v>
      </x:c>
      <x:c r="I29" s="9" t="n">
        <x:v>15.655551856031321</x:v>
      </x:c>
      <x:c r="J29" s="2" t="n">
        <x:v>49</x:v>
      </x:c>
      <x:c r="K29" s="10" t="n">
        <x:v>1.0576100675068336e-20</x:v>
      </x:c>
      <x:c r="L29" s="10"/>
      <x:c r="M29" s="10"/>
    </x:row>
    <x:row r="30" ht="24" customHeight="1">
      <x:c r="A30" s="2" t="str">
        <x:v>FB：首次相信→辟谣后转为不相信</x:v>
      </x:c>
      <x:c r="B30" s="2" t="str">
        <x:v>M2</x:v>
      </x:c>
      <x:c r="C30" s="2" t="str">
        <x:v>TC_c</x:v>
      </x:c>
      <x:c r="D30" s="2" t="n">
        <x:v>54</x:v>
      </x:c>
      <x:c r="E30" s="9" t="n">
        <x:v>-1.3427276472647631</x:v>
      </x:c>
      <x:c r="F30" s="9" t="n">
        <x:v>0.3082277316448614</x:v>
      </x:c>
      <x:c r="G30" s="9" t="n">
        <x:v>-1.962134464174793</x:v>
      </x:c>
      <x:c r="H30" s="9" t="n">
        <x:v>-0.7233208303547332</x:v>
      </x:c>
      <x:c r="I30" s="9" t="n">
        <x:v>-4.356284361888138</x:v>
      </x:c>
      <x:c r="J30" s="2" t="n">
        <x:v>49</x:v>
      </x:c>
      <x:c r="K30" s="10" t="n">
        <x:v>0.00006742091789201122</x:v>
      </x:c>
      <x:c r="L30" s="10"/>
      <x:c r="M30" s="10"/>
    </x:row>
    <x:row r="31" ht="24" customHeight="1">
      <x:c r="A31" s="2" t="str">
        <x:v>FB：首次相信→辟谣后转为不相信</x:v>
      </x:c>
      <x:c r="B31" s="2" t="str">
        <x:v>M2</x:v>
      </x:c>
      <x:c r="C31" s="2" t="str">
        <x:v>GC_c</x:v>
      </x:c>
      <x:c r="D31" s="2" t="n">
        <x:v>54</x:v>
      </x:c>
      <x:c r="E31" s="9" t="n">
        <x:v>-2.695308265865964</x:v>
      </x:c>
      <x:c r="F31" s="9" t="n">
        <x:v>0.46527727817360137</x:v>
      </x:c>
      <x:c r="G31" s="9" t="n">
        <x:v>-3.6303179624825264</x:v>
      </x:c>
      <x:c r="H31" s="9" t="n">
        <x:v>-1.760298569249402</x:v>
      </x:c>
      <x:c r="I31" s="9" t="n">
        <x:v>-5.792907567818748</x:v>
      </x:c>
      <x:c r="J31" s="2" t="n">
        <x:v>49</x:v>
      </x:c>
      <x:c r="K31" s="10" t="n">
        <x:v>4.871508299408821e-7</x:v>
      </x:c>
      <x:c r="L31" s="10"/>
      <x:c r="M31" s="10"/>
    </x:row>
    <x:row r="32" ht="24" customHeight="1">
      <x:c r="A32" s="2" t="str">
        <x:v>FB：首次相信→辟谣后转为不相信</x:v>
      </x:c>
      <x:c r="B32" s="2" t="str">
        <x:v>M2</x:v>
      </x:c>
      <x:c r="C32" s="2" t="str">
        <x:v>DGC_c</x:v>
      </x:c>
      <x:c r="D32" s="2" t="n">
        <x:v>54</x:v>
      </x:c>
      <x:c r="E32" s="9" t="n">
        <x:v>1.0071721983077768</x:v>
      </x:c>
      <x:c r="F32" s="9" t="n">
        <x:v>0.5222211911555232</x:v>
      </x:c>
      <x:c r="G32" s="9" t="n">
        <x:v>-0.04227057574249771</x:v>
      </x:c>
      <x:c r="H32" s="9" t="n">
        <x:v>2.0566149723580516</x:v>
      </x:c>
      <x:c r="I32" s="9" t="n">
        <x:v>1.9286314216380196</x:v>
      </x:c>
      <x:c r="J32" s="2" t="n">
        <x:v>49</x:v>
      </x:c>
      <x:c r="K32" s="10" t="n">
        <x:v>0.05958031045850549</x:v>
      </x:c>
      <x:c r="L32" s="10"/>
      <x:c r="M32" s="10"/>
    </x:row>
    <x:row r="33" ht="24" customHeight="1">
      <x:c r="A33" s="2" t="str">
        <x:v>FB：首次相信→辟谣后转为不相信</x:v>
      </x:c>
      <x:c r="B33" s="2" t="str">
        <x:v>M3</x:v>
      </x:c>
      <x:c r="C33" s="2" t="str">
        <x:v>Intercept</x:v>
      </x:c>
      <x:c r="D33" s="2" t="n">
        <x:v>54</x:v>
      </x:c>
      <x:c r="E33" s="9" t="n">
        <x:v>4.5568489601114806</x:v>
      </x:c>
      <x:c r="F33" s="9" t="n">
        <x:v>0.09479643765414851</x:v>
      </x:c>
      <x:c r="G33" s="9" t="n">
        <x:v>4.366033627964205</x:v>
      </x:c>
      <x:c r="H33" s="9" t="n">
        <x:v>4.747664292258756</x:v>
      </x:c>
      <x:c r="I33" s="9" t="n">
        <x:v>48.06983334897567</x:v>
      </x:c>
      <x:c r="J33" s="2" t="n">
        <x:v>46</x:v>
      </x:c>
      <x:c r="K33" s="10" t="n">
        <x:v>5.658417718921974e-41</x:v>
      </x:c>
      <x:c r="L33" s="10"/>
      <x:c r="M33" s="10"/>
    </x:row>
    <x:row r="34" ht="24" customHeight="1">
      <x:c r="A34" s="2" t="str">
        <x:v>FB：首次相信→辟谣后转为不相信</x:v>
      </x:c>
      <x:c r="B34" s="2" t="str">
        <x:v>M3</x:v>
      </x:c>
      <x:c r="C34" s="2" t="str">
        <x:v>RT_c</x:v>
      </x:c>
      <x:c r="D34" s="2" t="n">
        <x:v>54</x:v>
      </x:c>
      <x:c r="E34" s="9" t="n">
        <x:v>0.7656306425765471</x:v>
      </x:c>
      <x:c r="F34" s="9" t="n">
        <x:v>0.05029673256149731</x:v>
      </x:c>
      <x:c r="G34" s="9" t="n">
        <x:v>0.6643885709634817</x:v>
      </x:c>
      <x:c r="H34" s="9" t="n">
        <x:v>0.8668727141896125</x:v>
      </x:c>
      <x:c r="I34" s="9" t="n">
        <x:v>15.222273964624208</x:v>
      </x:c>
      <x:c r="J34" s="2" t="n">
        <x:v>46</x:v>
      </x:c>
      <x:c r="K34" s="10" t="n">
        <x:v>1.4005396079333479e-19</x:v>
      </x:c>
      <x:c r="L34" s="10" t="n">
        <x:v>5.602158431733391e-19</x:v>
      </x:c>
      <x:c r="M34" s="10" t="n">
        <x:v>1.1204316863466783e-18</x:v>
      </x:c>
    </x:row>
    <x:row r="35" ht="24" customHeight="1">
      <x:c r="A35" s="2" t="str">
        <x:v>FB：首次相信→辟谣后转为不相信</x:v>
      </x:c>
      <x:c r="B35" s="2" t="str">
        <x:v>M3</x:v>
      </x:c>
      <x:c r="C35" s="2" t="str">
        <x:v>TC_c</x:v>
      </x:c>
      <x:c r="D35" s="2" t="n">
        <x:v>54</x:v>
      </x:c>
      <x:c r="E35" s="9" t="n">
        <x:v>-1.3427276472647636</x:v>
      </x:c>
      <x:c r="F35" s="9" t="n">
        <x:v>0.3159881255138285</x:v>
      </x:c>
      <x:c r="G35" s="9" t="n">
        <x:v>-1.978778754422349</x:v>
      </x:c>
      <x:c r="H35" s="9" t="n">
        <x:v>-0.7066765401071782</x:v>
      </x:c>
      <x:c r="I35" s="9" t="n">
        <x:v>-4.2492978021922605</x:v>
      </x:c>
      <x:c r="J35" s="2" t="n">
        <x:v>46</x:v>
      </x:c>
      <x:c r="K35" s="10" t="n">
        <x:v>0.00010350671106517119</x:v>
      </x:c>
      <x:c r="L35" s="10" t="n">
        <x:v>0.00020701342213034238</x:v>
      </x:c>
      <x:c r="M35" s="10" t="n">
        <x:v>0.0006210402663910271</x:v>
      </x:c>
    </x:row>
    <x:row r="36" ht="24" customHeight="1">
      <x:c r="A36" s="2" t="str">
        <x:v>FB：首次相信→辟谣后转为不相信</x:v>
      </x:c>
      <x:c r="B36" s="2" t="str">
        <x:v>M3</x:v>
      </x:c>
      <x:c r="C36" s="2" t="str">
        <x:v>GC_c</x:v>
      </x:c>
      <x:c r="D36" s="2" t="n">
        <x:v>54</x:v>
      </x:c>
      <x:c r="E36" s="9" t="n">
        <x:v>-2.6953082658659646</x:v>
      </x:c>
      <x:c r="F36" s="9" t="n">
        <x:v>0.48807336524345674</x:v>
      </x:c>
      <x:c r="G36" s="9" t="n">
        <x:v>-3.6777489947143134</x:v>
      </x:c>
      <x:c r="H36" s="9" t="n">
        <x:v>-1.7128675370176158</x:v>
      </x:c>
      <x:c r="I36" s="9" t="n">
        <x:v>-5.522342454646164</x:v>
      </x:c>
      <x:c r="J36" s="2" t="n">
        <x:v>46</x:v>
      </x:c>
      <x:c r="K36" s="10" t="n">
        <x:v>0.0000014957328579474426</x:v>
      </x:c>
      <x:c r="L36" s="10" t="n">
        <x:v>0.0000044871985738423275</x:v>
      </x:c>
      <x:c r="M36" s="10" t="n">
        <x:v>0.000010470130005632099</x:v>
      </x:c>
    </x:row>
    <x:row r="37" ht="24" customHeight="1">
      <x:c r="A37" s="2" t="str">
        <x:v>FB：首次相信→辟谣后转为不相信</x:v>
      </x:c>
      <x:c r="B37" s="2" t="str">
        <x:v>M3</x:v>
      </x:c>
      <x:c r="C37" s="2" t="str">
        <x:v>DGC_c</x:v>
      </x:c>
      <x:c r="D37" s="2" t="n">
        <x:v>54</x:v>
      </x:c>
      <x:c r="E37" s="9" t="n">
        <x:v>1.0071721983077782</x:v>
      </x:c>
      <x:c r="F37" s="9" t="n">
        <x:v>0.5451958704015014</x:v>
      </x:c>
      <x:c r="G37" s="9" t="n">
        <x:v>-0.09025016977245115</x:v>
      </x:c>
      <x:c r="H37" s="9" t="n">
        <x:v>2.1045945663880072</x:v>
      </x:c>
      <x:c r="I37" s="9" t="n">
        <x:v>1.847358450397031</x:v>
      </x:c>
      <x:c r="J37" s="2" t="n">
        <x:v>46</x:v>
      </x:c>
      <x:c r="K37" s="10" t="n">
        <x:v>0.07113226651898685</x:v>
      </x:c>
      <x:c r="L37" s="10" t="n">
        <x:v>0.07113226651898685</x:v>
      </x:c>
      <x:c r="M37" s="10" t="n">
        <x:v>0.1422645330379737</x:v>
      </x:c>
    </x:row>
    <x:row r="38" ht="24" customHeight="1">
      <x:c r="A38" s="2" t="str">
        <x:v>FB：首次相信→辟谣后转为不相信</x:v>
      </x:c>
      <x:c r="B38" s="2" t="str">
        <x:v>M3</x:v>
      </x:c>
      <x:c r="C38" s="2" t="str">
        <x:v>DGC_c:RT_c</x:v>
      </x:c>
      <x:c r="D38" s="2" t="n">
        <x:v>54</x:v>
      </x:c>
      <x:c r="E38" s="9" t="n">
        <x:v>0.1618882554299027</x:v>
      </x:c>
      <x:c r="F38" s="9" t="n">
        <x:v>0.27473018701186436</x:v>
      </x:c>
      <x:c r="G38" s="9" t="n">
        <x:v>-0.3911149288965906</x:v>
      </x:c>
      <x:c r="H38" s="9" t="n">
        <x:v>0.714891439756396</x:v>
      </x:c>
      <x:c r="I38" s="9" t="n">
        <x:v>0.5892627133213849</x:v>
      </x:c>
      <x:c r="J38" s="2" t="n">
        <x:v>46</x:v>
      </x:c>
      <x:c r="K38" s="10" t="n">
        <x:v>0.5585681143677881</x:v>
      </x:c>
      <x:c r="L38" s="10"/>
      <x:c r="M38" s="10"/>
    </x:row>
    <x:row r="39" ht="24" customHeight="1">
      <x:c r="A39" s="2" t="str">
        <x:v>FB：首次相信→辟谣后转为不相信</x:v>
      </x:c>
      <x:c r="B39" s="2" t="str">
        <x:v>M3</x:v>
      </x:c>
      <x:c r="C39" s="2" t="str">
        <x:v>DGC_c:TC_c</x:v>
      </x:c>
      <x:c r="D39" s="2" t="n">
        <x:v>54</x:v>
      </x:c>
      <x:c r="E39" s="9" t="n">
        <x:v>1.287572475766324</x:v>
      </x:c>
      <x:c r="F39" s="9" t="n">
        <x:v>1.8173195680050045</x:v>
      </x:c>
      <x:c r="G39" s="9" t="n">
        <x:v>-2.3705020845011067</x:v>
      </x:c>
      <x:c r="H39" s="9" t="n">
        <x:v>4.945647036033755</x:v>
      </x:c>
      <x:c r="I39" s="9" t="n">
        <x:v>0.7085008594166958</x:v>
      </x:c>
      <x:c r="J39" s="2" t="n">
        <x:v>46</x:v>
      </x:c>
      <x:c r="K39" s="10" t="n">
        <x:v>0.48220942315029447</x:v>
      </x:c>
      <x:c r="L39" s="10"/>
      <x:c r="M39" s="10"/>
    </x:row>
    <x:row r="40" ht="24" customHeight="1">
      <x:c r="A40" s="2" t="str">
        <x:v>FB：首次相信→辟谣后转为不相信</x:v>
      </x:c>
      <x:c r="B40" s="2" t="str">
        <x:v>M3</x:v>
      </x:c>
      <x:c r="C40" s="2" t="str">
        <x:v>DGC_c:GC_c</x:v>
      </x:c>
      <x:c r="D40" s="2" t="n">
        <x:v>54</x:v>
      </x:c>
      <x:c r="E40" s="9" t="n">
        <x:v>-4.003833158015918</x:v>
      </x:c>
      <x:c r="F40" s="9" t="n">
        <x:v>2.8266715852558746</x:v>
      </x:c>
      <x:c r="G40" s="9" t="n">
        <x:v>-9.693627951568072</x:v>
      </x:c>
      <x:c r="H40" s="9" t="n">
        <x:v>1.6859616355362368</x:v>
      </x:c>
      <x:c r="I40" s="9" t="n">
        <x:v>-1.416447944961206</x:v>
      </x:c>
      <x:c r="J40" s="2" t="n">
        <x:v>46</x:v>
      </x:c>
      <x:c r="K40" s="10" t="n">
        <x:v>0.16338102524613154</x:v>
      </x:c>
      <x:c r="L40" s="10"/>
      <x:c r="M40" s="10"/>
    </x:row>
    <x:row r="41" ht="24" customHeight="1">
      <x:c r="A41" s="2" t="str">
        <x:v>POST 严格排除发布当轮</x:v>
      </x:c>
      <x:c r="B41" s="2" t="str">
        <x:v>M1</x:v>
      </x:c>
      <x:c r="C41" s="2" t="str">
        <x:v>Intercept</x:v>
      </x:c>
      <x:c r="D41" s="2" t="n">
        <x:v>52</x:v>
      </x:c>
      <x:c r="E41" s="9" t="n">
        <x:v>2.282632435904914</x:v>
      </x:c>
      <x:c r="F41" s="9" t="n">
        <x:v>0.09003601564157475</x:v>
      </x:c>
      <x:c r="G41" s="9" t="n">
        <x:v>2.1016028934179647</x:v>
      </x:c>
      <x:c r="H41" s="9" t="n">
        <x:v>2.463661978391863</x:v>
      </x:c>
      <x:c r="I41" s="9" t="n">
        <x:v>25.352437240135853</x:v>
      </x:c>
      <x:c r="J41" s="2" t="n">
        <x:v>48</x:v>
      </x:c>
      <x:c r="K41" s="10" t="n">
        <x:v>1.9063308702809808e-29</x:v>
      </x:c>
      <x:c r="L41" s="10"/>
      <x:c r="M41" s="10"/>
    </x:row>
    <x:row r="42" ht="24" customHeight="1">
      <x:c r="A42" s="2" t="str">
        <x:v>POST 严格排除发布当轮</x:v>
      </x:c>
      <x:c r="B42" s="2" t="str">
        <x:v>M1</x:v>
      </x:c>
      <x:c r="C42" s="2" t="str">
        <x:v>RT_c</x:v>
      </x:c>
      <x:c r="D42" s="2" t="n">
        <x:v>52</x:v>
      </x:c>
      <x:c r="E42" s="9" t="n">
        <x:v>-0.15103854673048406</x:v>
      </x:c>
      <x:c r="F42" s="9" t="n">
        <x:v>0.04308234102318403</x:v>
      </x:c>
      <x:c r="G42" s="9" t="n">
        <x:v>-0.23766139903151817</x:v>
      </x:c>
      <x:c r="H42" s="9" t="n">
        <x:v>-0.06441569442944994</x:v>
      </x:c>
      <x:c r="I42" s="9" t="n">
        <x:v>-3.5058110386621104</x:v>
      </x:c>
      <x:c r="J42" s="2" t="n">
        <x:v>48</x:v>
      </x:c>
      <x:c r="K42" s="10" t="n">
        <x:v>0.0009977846511323412</x:v>
      </x:c>
      <x:c r="L42" s="10"/>
      <x:c r="M42" s="10"/>
    </x:row>
    <x:row r="43" ht="24" customHeight="1">
      <x:c r="A43" s="2" t="str">
        <x:v>POST 严格排除发布当轮</x:v>
      </x:c>
      <x:c r="B43" s="2" t="str">
        <x:v>M1</x:v>
      </x:c>
      <x:c r="C43" s="2" t="str">
        <x:v>TC_c</x:v>
      </x:c>
      <x:c r="D43" s="2" t="n">
        <x:v>52</x:v>
      </x:c>
      <x:c r="E43" s="9" t="n">
        <x:v>-0.9628145203286773</x:v>
      </x:c>
      <x:c r="F43" s="9" t="n">
        <x:v>0.2991646783750024</x:v>
      </x:c>
      <x:c r="G43" s="9" t="n">
        <x:v>-1.5643254209229314</x:v>
      </x:c>
      <x:c r="H43" s="9" t="n">
        <x:v>-0.36130361973442315</x:v>
      </x:c>
      <x:c r="I43" s="9" t="n">
        <x:v>-3.2183429058486346</x:v>
      </x:c>
      <x:c r="J43" s="2" t="n">
        <x:v>48</x:v>
      </x:c>
      <x:c r="K43" s="10" t="n">
        <x:v>0.0023126907850313824</x:v>
      </x:c>
      <x:c r="L43" s="10"/>
      <x:c r="M43" s="10"/>
    </x:row>
    <x:row r="44" ht="24" customHeight="1">
      <x:c r="A44" s="2" t="str">
        <x:v>POST 严格排除发布当轮</x:v>
      </x:c>
      <x:c r="B44" s="2" t="str">
        <x:v>M1</x:v>
      </x:c>
      <x:c r="C44" s="2" t="str">
        <x:v>GC_c</x:v>
      </x:c>
      <x:c r="D44" s="2" t="n">
        <x:v>52</x:v>
      </x:c>
      <x:c r="E44" s="9" t="n">
        <x:v>-2.5224559736013608</x:v>
      </x:c>
      <x:c r="F44" s="9" t="n">
        <x:v>0.426741401566383</x:v>
      </x:c>
      <x:c r="G44" s="9" t="n">
        <x:v>-3.3804770681080103</x:v>
      </x:c>
      <x:c r="H44" s="9" t="n">
        <x:v>-1.6644348790947112</x:v>
      </x:c>
      <x:c r="I44" s="9" t="n">
        <x:v>-5.9109708229445665</x:v>
      </x:c>
      <x:c r="J44" s="2" t="n">
        <x:v>48</x:v>
      </x:c>
      <x:c r="K44" s="10" t="n">
        <x:v>3.4280868365989793e-7</x:v>
      </x:c>
      <x:c r="L44" s="10"/>
      <x:c r="M44" s="10"/>
    </x:row>
    <x:row r="45" ht="24" customHeight="1">
      <x:c r="A45" s="2" t="str">
        <x:v>POST 严格排除发布当轮</x:v>
      </x:c>
      <x:c r="B45" s="2" t="str">
        <x:v>M2</x:v>
      </x:c>
      <x:c r="C45" s="2" t="str">
        <x:v>Intercept</x:v>
      </x:c>
      <x:c r="D45" s="2" t="n">
        <x:v>52</x:v>
      </x:c>
      <x:c r="E45" s="9" t="n">
        <x:v>2.286742690555716</x:v>
      </x:c>
      <x:c r="F45" s="9" t="n">
        <x:v>0.08983900591715499</x:v>
      </x:c>
      <x:c r="G45" s="9" t="n">
        <x:v>2.1060099226389672</x:v>
      </x:c>
      <x:c r="H45" s="9" t="n">
        <x:v>2.4674754584724647</x:v>
      </x:c>
      <x:c r="I45" s="9" t="n">
        <x:v>25.453784435954635</x:v>
      </x:c>
      <x:c r="J45" s="2" t="n">
        <x:v>47</x:v>
      </x:c>
      <x:c r="K45" s="10" t="n">
        <x:v>3.866735687590368e-29</x:v>
      </x:c>
      <x:c r="L45" s="10"/>
      <x:c r="M45" s="10"/>
    </x:row>
    <x:row r="46" ht="24" customHeight="1">
      <x:c r="A46" s="2" t="str">
        <x:v>POST 严格排除发布当轮</x:v>
      </x:c>
      <x:c r="B46" s="2" t="str">
        <x:v>M2</x:v>
      </x:c>
      <x:c r="C46" s="2" t="str">
        <x:v>RT_c</x:v>
      </x:c>
      <x:c r="D46" s="2" t="n">
        <x:v>52</x:v>
      </x:c>
      <x:c r="E46" s="9" t="n">
        <x:v>-0.15137568997877657</x:v>
      </x:c>
      <x:c r="F46" s="9" t="n">
        <x:v>0.04273371530813201</x:v>
      </x:c>
      <x:c r="G46" s="9" t="n">
        <x:v>-0.2373448363663396</x:v>
      </x:c>
      <x:c r="H46" s="9" t="n">
        <x:v>-0.06540654359121353</x:v>
      </x:c>
      <x:c r="I46" s="9" t="n">
        <x:v>-3.5423011757175846</x:v>
      </x:c>
      <x:c r="J46" s="2" t="n">
        <x:v>47</x:v>
      </x:c>
      <x:c r="K46" s="10" t="n">
        <x:v>0.0009079687349210333</x:v>
      </x:c>
      <x:c r="L46" s="10"/>
      <x:c r="M46" s="10"/>
    </x:row>
    <x:row r="47" ht="24" customHeight="1">
      <x:c r="A47" s="2" t="str">
        <x:v>POST 严格排除发布当轮</x:v>
      </x:c>
      <x:c r="B47" s="2" t="str">
        <x:v>M2</x:v>
      </x:c>
      <x:c r="C47" s="2" t="str">
        <x:v>TC_c</x:v>
      </x:c>
      <x:c r="D47" s="2" t="n">
        <x:v>52</x:v>
      </x:c>
      <x:c r="E47" s="9" t="n">
        <x:v>-0.94899498520064</x:v>
      </x:c>
      <x:c r="F47" s="9" t="n">
        <x:v>0.295623318800401</x:v>
      </x:c>
      <x:c r="G47" s="9" t="n">
        <x:v>-1.543712392434657</x:v>
      </x:c>
      <x:c r="H47" s="9" t="n">
        <x:v>-0.35427757796662307</x:v>
      </x:c>
      <x:c r="I47" s="9" t="n">
        <x:v>-3.210149284067075</x:v>
      </x:c>
      <x:c r="J47" s="2" t="n">
        <x:v>47</x:v>
      </x:c>
      <x:c r="K47" s="10" t="n">
        <x:v>0.0023933464729038777</x:v>
      </x:c>
      <x:c r="L47" s="10"/>
      <x:c r="M47" s="10"/>
    </x:row>
    <x:row r="48" ht="24" customHeight="1">
      <x:c r="A48" s="2" t="str">
        <x:v>POST 严格排除发布当轮</x:v>
      </x:c>
      <x:c r="B48" s="2" t="str">
        <x:v>M2</x:v>
      </x:c>
      <x:c r="C48" s="2" t="str">
        <x:v>GC_c</x:v>
      </x:c>
      <x:c r="D48" s="2" t="n">
        <x:v>52</x:v>
      </x:c>
      <x:c r="E48" s="9" t="n">
        <x:v>-2.522349155938534</x:v>
      </x:c>
      <x:c r="F48" s="9" t="n">
        <x:v>0.4499479288650429</x:v>
      </x:c>
      <x:c r="G48" s="9" t="n">
        <x:v>-3.4275276335051394</x:v>
      </x:c>
      <x:c r="H48" s="9" t="n">
        <x:v>-1.6171706783719284</x:v>
      </x:c>
      <x:c r="I48" s="9" t="n">
        <x:v>-5.605869022002067</x:v>
      </x:c>
      <x:c r="J48" s="2" t="n">
        <x:v>47</x:v>
      </x:c>
      <x:c r="K48" s="10" t="n">
        <x:v>0.0000010575042198129638</x:v>
      </x:c>
      <x:c r="L48" s="10"/>
      <x:c r="M48" s="10"/>
    </x:row>
    <x:row r="49" ht="24" customHeight="1">
      <x:c r="A49" s="2" t="str">
        <x:v>POST 严格排除发布当轮</x:v>
      </x:c>
      <x:c r="B49" s="2" t="str">
        <x:v>M2</x:v>
      </x:c>
      <x:c r="C49" s="2" t="str">
        <x:v>DGC_c</x:v>
      </x:c>
      <x:c r="D49" s="2" t="n">
        <x:v>52</x:v>
      </x:c>
      <x:c r="E49" s="9" t="n">
        <x:v>-1.0727330691838404</x:v>
      </x:c>
      <x:c r="F49" s="9" t="n">
        <x:v>0.6008200002443124</x:v>
      </x:c>
      <x:c r="G49" s="9" t="n">
        <x:v>-2.281427005134451</x:v>
      </x:c>
      <x:c r="H49" s="9" t="n">
        <x:v>0.13596086676677044</x:v>
      </x:c>
      <x:c r="I49" s="9" t="n">
        <x:v>-1.7854483351879653</x:v>
      </x:c>
      <x:c r="J49" s="2" t="n">
        <x:v>47</x:v>
      </x:c>
      <x:c r="K49" s="10" t="n">
        <x:v>0.08064211879760642</x:v>
      </x:c>
      <x:c r="L49" s="10"/>
      <x:c r="M49" s="10"/>
    </x:row>
    <x:row r="50" ht="24" customHeight="1">
      <x:c r="A50" s="2" t="str">
        <x:v>POST 严格排除发布当轮</x:v>
      </x:c>
      <x:c r="B50" s="2" t="str">
        <x:v>M3</x:v>
      </x:c>
      <x:c r="C50" s="2" t="str">
        <x:v>Intercept</x:v>
      </x:c>
      <x:c r="D50" s="2" t="n">
        <x:v>52</x:v>
      </x:c>
      <x:c r="E50" s="9" t="n">
        <x:v>2.2842136676978235</x:v>
      </x:c>
      <x:c r="F50" s="9" t="n">
        <x:v>0.09232188799107917</x:v>
      </x:c>
      <x:c r="G50" s="9" t="n">
        <x:v>2.0981511282291736</x:v>
      </x:c>
      <x:c r="H50" s="9" t="n">
        <x:v>2.4702762071664734</x:v>
      </x:c>
      <x:c r="I50" s="9" t="n">
        <x:v>24.74184310353945</x:v>
      </x:c>
      <x:c r="J50" s="2" t="n">
        <x:v>44</x:v>
      </x:c>
      <x:c r="K50" s="10" t="n">
        <x:v>1.8789035784967994e-27</x:v>
      </x:c>
      <x:c r="L50" s="10"/>
      <x:c r="M50" s="10"/>
    </x:row>
    <x:row r="51" ht="24" customHeight="1">
      <x:c r="A51" s="2" t="str">
        <x:v>POST 严格排除发布当轮</x:v>
      </x:c>
      <x:c r="B51" s="2" t="str">
        <x:v>M3</x:v>
      </x:c>
      <x:c r="C51" s="2" t="str">
        <x:v>RT_c</x:v>
      </x:c>
      <x:c r="D51" s="2" t="n">
        <x:v>52</x:v>
      </x:c>
      <x:c r="E51" s="9" t="n">
        <x:v>-0.15116824711847882</x:v>
      </x:c>
      <x:c r="F51" s="9" t="n">
        <x:v>0.04305138690022148</x:v>
      </x:c>
      <x:c r="G51" s="9" t="n">
        <x:v>-0.23793261631201817</x:v>
      </x:c>
      <x:c r="H51" s="9" t="n">
        <x:v>-0.06440387792493944</x:v>
      </x:c>
      <x:c r="I51" s="9" t="n">
        <x:v>-3.511344418911186</x:v>
      </x:c>
      <x:c r="J51" s="2" t="n">
        <x:v>44</x:v>
      </x:c>
      <x:c r="K51" s="10" t="n">
        <x:v>0.0010433396316179597</x:v>
      </x:c>
      <x:c r="L51" s="10" t="n">
        <x:v>0.003130018894853879</x:v>
      </x:c>
      <x:c r="M51" s="10"/>
    </x:row>
    <x:row r="52" ht="24" customHeight="1">
      <x:c r="A52" s="2" t="str">
        <x:v>POST 严格排除发布当轮</x:v>
      </x:c>
      <x:c r="B52" s="2" t="str">
        <x:v>M3</x:v>
      </x:c>
      <x:c r="C52" s="2" t="str">
        <x:v>TC_c</x:v>
      </x:c>
      <x:c r="D52" s="2" t="n">
        <x:v>52</x:v>
      </x:c>
      <x:c r="E52" s="9" t="n">
        <x:v>-0.9574980885831564</x:v>
      </x:c>
      <x:c r="F52" s="9" t="n">
        <x:v>0.3049616410066416</x:v>
      </x:c>
      <x:c r="G52" s="9" t="n">
        <x:v>-1.5721078913171014</x:v>
      </x:c>
      <x:c r="H52" s="9" t="n">
        <x:v>-0.3428882858492114</x:v>
      </x:c>
      <x:c r="I52" s="9" t="n">
        <x:v>-3.1397328707393193</x:v>
      </x:c>
      <x:c r="J52" s="2" t="n">
        <x:v>44</x:v>
      </x:c>
      <x:c r="K52" s="10" t="n">
        <x:v>0.003018525090798204</x:v>
      </x:c>
      <x:c r="L52" s="10" t="n">
        <x:v>0.006037050181596408</x:v>
      </x:c>
      <x:c r="M52" s="10"/>
    </x:row>
    <x:row r="53" ht="24" customHeight="1">
      <x:c r="A53" s="2" t="str">
        <x:v>POST 严格排除发布当轮</x:v>
      </x:c>
      <x:c r="B53" s="2" t="str">
        <x:v>M3</x:v>
      </x:c>
      <x:c r="C53" s="2" t="str">
        <x:v>GC_c</x:v>
      </x:c>
      <x:c r="D53" s="2" t="n">
        <x:v>52</x:v>
      </x:c>
      <x:c r="E53" s="9" t="n">
        <x:v>-2.522414880409124</x:v>
      </x:c>
      <x:c r="F53" s="9" t="n">
        <x:v>0.4666369203898451</x:v>
      </x:c>
      <x:c r="G53" s="9" t="n">
        <x:v>-3.462859798801114</x:v>
      </x:c>
      <x:c r="H53" s="9" t="n">
        <x:v>-1.5819699620171344</x:v>
      </x:c>
      <x:c r="I53" s="9" t="n">
        <x:v>-5.405519302462842</x:v>
      </x:c>
      <x:c r="J53" s="2" t="n">
        <x:v>44</x:v>
      </x:c>
      <x:c r="K53" s="10" t="n">
        <x:v>0.00000250107838461745</x:v>
      </x:c>
      <x:c r="L53" s="10" t="n">
        <x:v>0.0000100043135384698</x:v>
      </x:c>
      <x:c r="M53" s="10"/>
    </x:row>
    <x:row r="54" ht="24" customHeight="1">
      <x:c r="A54" s="2" t="str">
        <x:v>POST 严格排除发布当轮</x:v>
      </x:c>
      <x:c r="B54" s="2" t="str">
        <x:v>M3</x:v>
      </x:c>
      <x:c r="C54" s="2" t="str">
        <x:v>DGC_c</x:v>
      </x:c>
      <x:c r="D54" s="2" t="n">
        <x:v>52</x:v>
      </x:c>
      <x:c r="E54" s="9" t="n">
        <x:v>-1.053683242161414</x:v>
      </x:c>
      <x:c r="F54" s="9" t="n">
        <x:v>0.6172558687138432</x:v>
      </x:c>
      <x:c r="G54" s="9" t="n">
        <x:v>-2.29768070510241</x:v>
      </x:c>
      <x:c r="H54" s="9" t="n">
        <x:v>0.19031422077958227</x:v>
      </x:c>
      <x:c r="I54" s="9" t="n">
        <x:v>-1.707044510337246</x:v>
      </x:c>
      <x:c r="J54" s="2" t="n">
        <x:v>44</x:v>
      </x:c>
      <x:c r="K54" s="10" t="n">
        <x:v>0.09486255429416435</x:v>
      </x:c>
      <x:c r="L54" s="10" t="n">
        <x:v>0.09486255429416435</x:v>
      </x:c>
      <x:c r="M54" s="10"/>
    </x:row>
    <x:row r="55" ht="24" customHeight="1">
      <x:c r="A55" s="2" t="str">
        <x:v>POST 严格排除发布当轮</x:v>
      </x:c>
      <x:c r="B55" s="2" t="str">
        <x:v>M3</x:v>
      </x:c>
      <x:c r="C55" s="2" t="str">
        <x:v>DGC_c:RT_c</x:v>
      </x:c>
      <x:c r="D55" s="2" t="n">
        <x:v>52</x:v>
      </x:c>
      <x:c r="E55" s="9" t="n">
        <x:v>0.08457860543672288</x:v>
      </x:c>
      <x:c r="F55" s="9" t="n">
        <x:v>0.2864128922966174</x:v>
      </x:c>
      <x:c r="G55" s="9" t="n">
        <x:v>-0.49264865060053387</x:v>
      </x:c>
      <x:c r="H55" s="9" t="n">
        <x:v>0.6618058614739797</x:v>
      </x:c>
      <x:c r="I55" s="9" t="n">
        <x:v>0.29530306669690987</x:v>
      </x:c>
      <x:c r="J55" s="2" t="n">
        <x:v>44</x:v>
      </x:c>
      <x:c r="K55" s="10" t="n">
        <x:v>0.7691514198061236</x:v>
      </x:c>
      <x:c r="L55" s="10"/>
      <x:c r="M55" s="10"/>
    </x:row>
    <x:row r="56" ht="24" customHeight="1">
      <x:c r="A56" s="2" t="str">
        <x:v>POST 严格排除发布当轮</x:v>
      </x:c>
      <x:c r="B56" s="2" t="str">
        <x:v>M3</x:v>
      </x:c>
      <x:c r="C56" s="2" t="str">
        <x:v>DGC_c:TC_c</x:v>
      </x:c>
      <x:c r="D56" s="2" t="n">
        <x:v>52</x:v>
      </x:c>
      <x:c r="E56" s="9" t="n">
        <x:v>2.230637689333632</x:v>
      </x:c>
      <x:c r="F56" s="9" t="n">
        <x:v>2.0547423427057807</x:v>
      </x:c>
      <x:c r="G56" s="9" t="n">
        <x:v>-1.910423401992214</x:v>
      </x:c>
      <x:c r="H56" s="9" t="n">
        <x:v>6.371698780659479</x:v>
      </x:c>
      <x:c r="I56" s="9" t="n">
        <x:v>1.0856045758010828</x:v>
      </x:c>
      <x:c r="J56" s="2" t="n">
        <x:v>44</x:v>
      </x:c>
      <x:c r="K56" s="10" t="n">
        <x:v>0.28356613703919015</x:v>
      </x:c>
      <x:c r="L56" s="10"/>
      <x:c r="M56" s="10"/>
    </x:row>
    <x:row r="57" ht="24" customHeight="1">
      <x:c r="A57" s="2" t="str">
        <x:v>POST 严格排除发布当轮</x:v>
      </x:c>
      <x:c r="B57" s="2" t="str">
        <x:v>M3</x:v>
      </x:c>
      <x:c r="C57" s="2" t="str">
        <x:v>DGC_c:GC_c</x:v>
      </x:c>
      <x:c r="D57" s="2" t="n">
        <x:v>52</x:v>
      </x:c>
      <x:c r="E57" s="9" t="n">
        <x:v>-4.943155636633891</x:v>
      </x:c>
      <x:c r="F57" s="9" t="n">
        <x:v>3.196674438253776</x:v>
      </x:c>
      <x:c r="G57" s="9" t="n">
        <x:v>-11.385629645543784</x:v>
      </x:c>
      <x:c r="H57" s="9" t="n">
        <x:v>1.4993183722760017</x:v>
      </x:c>
      <x:c r="I57" s="9" t="n">
        <x:v>-1.546343155086557</x:v>
      </x:c>
      <x:c r="J57" s="2" t="n">
        <x:v>44</x:v>
      </x:c>
      <x:c r="K57" s="10" t="n">
        <x:v>0.12918475637871757</x:v>
      </x:c>
      <x:c r="L57" s="10"/>
      <x:c r="M57" s="10"/>
    </x:row>
    <x:row r="58" ht="24" customHeight="1">
      <x:c r="A58" s="2" t="str">
        <x:v>FB 严格排除发布当轮</x:v>
      </x:c>
      <x:c r="B58" s="2" t="str">
        <x:v>M1</x:v>
      </x:c>
      <x:c r="C58" s="2" t="str">
        <x:v>Intercept</x:v>
      </x:c>
      <x:c r="D58" s="2" t="n">
        <x:v>52</x:v>
      </x:c>
      <x:c r="E58" s="9" t="n">
        <x:v>5.2707824074424625</x:v>
      </x:c>
      <x:c r="F58" s="9" t="n">
        <x:v>0.09667265199756407</x:v>
      </x:c>
      <x:c r="G58" s="9" t="n">
        <x:v>5.076409013224448</x:v>
      </x:c>
      <x:c r="H58" s="9" t="n">
        <x:v>5.465155801660477</x:v>
      </x:c>
      <x:c r="I58" s="9" t="n">
        <x:v>54.52195940145797</x:v>
      </x:c>
      <x:c r="J58" s="2" t="n">
        <x:v>48</x:v>
      </x:c>
      <x:c r="K58" s="10" t="n">
        <x:v>7.758830615006785e-45</x:v>
      </x:c>
      <x:c r="L58" s="10"/>
      <x:c r="M58" s="10"/>
    </x:row>
    <x:row r="59" ht="24" customHeight="1">
      <x:c r="A59" s="2" t="str">
        <x:v>FB 严格排除发布当轮</x:v>
      </x:c>
      <x:c r="B59" s="2" t="str">
        <x:v>M1</x:v>
      </x:c>
      <x:c r="C59" s="2" t="str">
        <x:v>RT_c</x:v>
      </x:c>
      <x:c r="D59" s="2" t="n">
        <x:v>52</x:v>
      </x:c>
      <x:c r="E59" s="9" t="n">
        <x:v>0.7873223558132825</x:v>
      </x:c>
      <x:c r="F59" s="9" t="n">
        <x:v>0.047042930934551745</x:v>
      </x:c>
      <x:c r="G59" s="9" t="n">
        <x:v>0.6927362037757565</x:v>
      </x:c>
      <x:c r="H59" s="9" t="n">
        <x:v>0.8819085078508084</x:v>
      </x:c>
      <x:c r="I59" s="9" t="n">
        <x:v>16.73625218863682</x:v>
      </x:c>
      <x:c r="J59" s="2" t="n">
        <x:v>48</x:v>
      </x:c>
      <x:c r="K59" s="10" t="n">
        <x:v>1.141562666745521e-21</x:v>
      </x:c>
      <x:c r="L59" s="10"/>
      <x:c r="M59" s="10"/>
    </x:row>
    <x:row r="60" ht="24" customHeight="1">
      <x:c r="A60" s="2" t="str">
        <x:v>FB 严格排除发布当轮</x:v>
      </x:c>
      <x:c r="B60" s="2" t="str">
        <x:v>M1</x:v>
      </x:c>
      <x:c r="C60" s="2" t="str">
        <x:v>TC_c</x:v>
      </x:c>
      <x:c r="D60" s="2" t="n">
        <x:v>52</x:v>
      </x:c>
      <x:c r="E60" s="9" t="n">
        <x:v>-0.8417848124790428</x:v>
      </x:c>
      <x:c r="F60" s="9" t="n">
        <x:v>0.3184781336672357</x:v>
      </x:c>
      <x:c r="G60" s="9" t="n">
        <x:v>-1.4821280175736828</x:v>
      </x:c>
      <x:c r="H60" s="9" t="n">
        <x:v>-0.20144160738440264</x:v>
      </x:c>
      <x:c r="I60" s="9" t="n">
        <x:v>-2.6431479071608353</x:v>
      </x:c>
      <x:c r="J60" s="2" t="n">
        <x:v>48</x:v>
      </x:c>
      <x:c r="K60" s="10" t="n">
        <x:v>0.01106086861211863</x:v>
      </x:c>
      <x:c r="L60" s="10"/>
      <x:c r="M60" s="10"/>
    </x:row>
    <x:row r="61" ht="24" customHeight="1">
      <x:c r="A61" s="2" t="str">
        <x:v>FB 严格排除发布当轮</x:v>
      </x:c>
      <x:c r="B61" s="2" t="str">
        <x:v>M1</x:v>
      </x:c>
      <x:c r="C61" s="2" t="str">
        <x:v>GC_c</x:v>
      </x:c>
      <x:c r="D61" s="2" t="n">
        <x:v>52</x:v>
      </x:c>
      <x:c r="E61" s="9" t="n">
        <x:v>-3.005258884298626</x:v>
      </x:c>
      <x:c r="F61" s="9" t="n">
        <x:v>0.4410246037520827</x:v>
      </x:c>
      <x:c r="G61" s="9" t="n">
        <x:v>-3.8919982815700176</x:v>
      </x:c>
      <x:c r="H61" s="9" t="n">
        <x:v>-2.118519487027234</x:v>
      </x:c>
      <x:c r="I61" s="9" t="n">
        <x:v>-6.814265822656915</x:v>
      </x:c>
      <x:c r="J61" s="2" t="n">
        <x:v>48</x:v>
      </x:c>
      <x:c r="K61" s="10" t="n">
        <x:v>1.4168200258480898e-8</x:v>
      </x:c>
      <x:c r="L61" s="10"/>
      <x:c r="M61" s="10"/>
    </x:row>
    <x:row r="62" ht="24" customHeight="1">
      <x:c r="A62" s="2" t="str">
        <x:v>FB 严格排除发布当轮</x:v>
      </x:c>
      <x:c r="B62" s="2" t="str">
        <x:v>M2</x:v>
      </x:c>
      <x:c r="C62" s="2" t="str">
        <x:v>Intercept</x:v>
      </x:c>
      <x:c r="D62" s="2" t="n">
        <x:v>52</x:v>
      </x:c>
      <x:c r="E62" s="9" t="n">
        <x:v>5.271313183401903</x:v>
      </x:c>
      <x:c r="F62" s="9" t="n">
        <x:v>0.09989973156457607</x:v>
      </x:c>
      <x:c r="G62" s="9" t="n">
        <x:v>5.070340846102717</x:v>
      </x:c>
      <x:c r="H62" s="9" t="n">
        <x:v>5.472285520701089</x:v>
      </x:c>
      <x:c r="I62" s="9" t="n">
        <x:v>52.766039516277175</x:v>
      </x:c>
      <x:c r="J62" s="2" t="n">
        <x:v>47</x:v>
      </x:c>
      <x:c r="K62" s="10" t="n">
        <x:v>1.7372426165990548e-43</x:v>
      </x:c>
      <x:c r="L62" s="10"/>
      <x:c r="M62" s="10"/>
    </x:row>
    <x:row r="63" ht="24" customHeight="1">
      <x:c r="A63" s="2" t="str">
        <x:v>FB 严格排除发布当轮</x:v>
      </x:c>
      <x:c r="B63" s="2" t="str">
        <x:v>M2</x:v>
      </x:c>
      <x:c r="C63" s="2" t="str">
        <x:v>RT_c</x:v>
      </x:c>
      <x:c r="D63" s="2" t="n">
        <x:v>52</x:v>
      </x:c>
      <x:c r="E63" s="9" t="n">
        <x:v>0.787278818965499</x:v>
      </x:c>
      <x:c r="F63" s="9" t="n">
        <x:v>0.0481233988850635</x:v>
      </x:c>
      <x:c r="G63" s="9" t="n">
        <x:v>0.6904670277700389</x:v>
      </x:c>
      <x:c r="H63" s="9" t="n">
        <x:v>0.8840906101609591</x:v>
      </x:c>
      <x:c r="I63" s="9" t="n">
        <x:v>16.35958467617411</x:v>
      </x:c>
      <x:c r="J63" s="2" t="n">
        <x:v>47</x:v>
      </x:c>
      <x:c r="K63" s="10" t="n">
        <x:v>4.9314132786364174e-21</x:v>
      </x:c>
      <x:c r="L63" s="10"/>
      <x:c r="M63" s="10"/>
    </x:row>
    <x:row r="64" ht="24" customHeight="1">
      <x:c r="A64" s="2" t="str">
        <x:v>FB 严格排除发布当轮</x:v>
      </x:c>
      <x:c r="B64" s="2" t="str">
        <x:v>M2</x:v>
      </x:c>
      <x:c r="C64" s="2" t="str">
        <x:v>TC_c</x:v>
      </x:c>
      <x:c r="D64" s="2" t="n">
        <x:v>52</x:v>
      </x:c>
      <x:c r="E64" s="9" t="n">
        <x:v>-0.8400002327778318</x:v>
      </x:c>
      <x:c r="F64" s="9" t="n">
        <x:v>0.3282025751252653</x:v>
      </x:c>
      <x:c r="G64" s="9" t="n">
        <x:v>-1.500258649867765</x:v>
      </x:c>
      <x:c r="H64" s="9" t="n">
        <x:v>-0.1797418156878986</x:v>
      </x:c>
      <x:c r="I64" s="9" t="n">
        <x:v>-2.5593956185664553</x:v>
      </x:c>
      <x:c r="J64" s="2" t="n">
        <x:v>47</x:v>
      </x:c>
      <x:c r="K64" s="10" t="n">
        <x:v>0.013763169737479148</x:v>
      </x:c>
      <x:c r="L64" s="10"/>
      <x:c r="M64" s="10"/>
    </x:row>
    <x:row r="65" ht="24" customHeight="1">
      <x:c r="A65" s="2" t="str">
        <x:v>FB 严格排除发布当轮</x:v>
      </x:c>
      <x:c r="B65" s="2" t="str">
        <x:v>M2</x:v>
      </x:c>
      <x:c r="C65" s="2" t="str">
        <x:v>GC_c</x:v>
      </x:c>
      <x:c r="D65" s="2" t="n">
        <x:v>52</x:v>
      </x:c>
      <x:c r="E65" s="9" t="n">
        <x:v>-3.0052450904458605</x:v>
      </x:c>
      <x:c r="F65" s="9" t="n">
        <x:v>0.45594716571643085</x:v>
      </x:c>
      <x:c r="G65" s="9" t="n">
        <x:v>-3.9224924758378634</x:v>
      </x:c>
      <x:c r="H65" s="9" t="n">
        <x:v>-2.0879977050538576</x:v>
      </x:c>
      <x:c r="I65" s="9" t="n">
        <x:v>-6.5912134484347815</x:v>
      </x:c>
      <x:c r="J65" s="2" t="n">
        <x:v>47</x:v>
      </x:c>
      <x:c r="K65" s="10" t="n">
        <x:v>3.4122586682935515e-8</x:v>
      </x:c>
      <x:c r="L65" s="10"/>
      <x:c r="M65" s="10"/>
    </x:row>
    <x:row r="66" ht="24" customHeight="1">
      <x:c r="A66" s="2" t="str">
        <x:v>FB 严格排除发布当轮</x:v>
      </x:c>
      <x:c r="B66" s="2" t="str">
        <x:v>M2</x:v>
      </x:c>
      <x:c r="C66" s="2" t="str">
        <x:v>DGC_c</x:v>
      </x:c>
      <x:c r="D66" s="2" t="n">
        <x:v>52</x:v>
      </x:c>
      <x:c r="E66" s="9" t="n">
        <x:v>-0.13852692166158265</x:v>
      </x:c>
      <x:c r="F66" s="9" t="n">
        <x:v>0.657380936680368</x:v>
      </x:c>
      <x:c r="G66" s="9" t="n">
        <x:v>-1.4610067849351007</x:v>
      </x:c>
      <x:c r="H66" s="9" t="n">
        <x:v>1.1839529416119352</x:v>
      </x:c>
      <x:c r="I66" s="9" t="n">
        <x:v>-0.21072549252966435</x:v>
      </x:c>
      <x:c r="J66" s="2" t="n">
        <x:v>47</x:v>
      </x:c>
      <x:c r="K66" s="10" t="n">
        <x:v>0.834012446524504</x:v>
      </x:c>
      <x:c r="L66" s="10"/>
      <x:c r="M66" s="10"/>
    </x:row>
    <x:row r="67" ht="24" customHeight="1">
      <x:c r="A67" s="2" t="str">
        <x:v>FB 严格排除发布当轮</x:v>
      </x:c>
      <x:c r="B67" s="2" t="str">
        <x:v>M3</x:v>
      </x:c>
      <x:c r="C67" s="2" t="str">
        <x:v>Intercept</x:v>
      </x:c>
      <x:c r="D67" s="2" t="n">
        <x:v>52</x:v>
      </x:c>
      <x:c r="E67" s="9" t="n">
        <x:v>5.269178308840855</x:v>
      </x:c>
      <x:c r="F67" s="9" t="n">
        <x:v>0.10591801140055572</x:v>
      </x:c>
      <x:c r="G67" s="9" t="n">
        <x:v>5.05571458311461</x:v>
      </x:c>
      <x:c r="H67" s="9" t="n">
        <x:v>5.4826420345671005</x:v>
      </x:c>
      <x:c r="I67" s="9" t="n">
        <x:v>49.74770805424326</x:v>
      </x:c>
      <x:c r="J67" s="2" t="n">
        <x:v>44</x:v>
      </x:c>
      <x:c r="K67" s="10" t="n">
        <x:v>2.576158067507408e-40</x:v>
      </x:c>
      <x:c r="L67" s="10"/>
      <x:c r="M67" s="10"/>
    </x:row>
    <x:row r="68" ht="24" customHeight="1">
      <x:c r="A68" s="2" t="str">
        <x:v>FB 严格排除发布当轮</x:v>
      </x:c>
      <x:c r="B68" s="2" t="str">
        <x:v>M3</x:v>
      </x:c>
      <x:c r="C68" s="2" t="str">
        <x:v>RT_c</x:v>
      </x:c>
      <x:c r="D68" s="2" t="n">
        <x:v>52</x:v>
      </x:c>
      <x:c r="E68" s="9" t="n">
        <x:v>0.7874539318490925</x:v>
      </x:c>
      <x:c r="F68" s="9" t="n">
        <x:v>0.04904107314447667</x:v>
      </x:c>
      <x:c r="G68" s="9" t="n">
        <x:v>0.6886181432177894</x:v>
      </x:c>
      <x:c r="H68" s="9" t="n">
        <x:v>0.8862897204803957</x:v>
      </x:c>
      <x:c r="I68" s="9" t="n">
        <x:v>16.05702896282931</x:v>
      </x:c>
      <x:c r="J68" s="2" t="n">
        <x:v>44</x:v>
      </x:c>
      <x:c r="K68" s="10" t="n">
        <x:v>5.147631658989969e-20</x:v>
      </x:c>
      <x:c r="L68" s="10" t="n">
        <x:v>2.0590526635959877e-19</x:v>
      </x:c>
      <x:c r="M68" s="10"/>
    </x:row>
    <x:row r="69" ht="24" customHeight="1">
      <x:c r="A69" s="2" t="str">
        <x:v>FB 严格排除发布当轮</x:v>
      </x:c>
      <x:c r="B69" s="2" t="str">
        <x:v>M3</x:v>
      </x:c>
      <x:c r="C69" s="2" t="str">
        <x:v>TC_c</x:v>
      </x:c>
      <x:c r="D69" s="2" t="n">
        <x:v>52</x:v>
      </x:c>
      <x:c r="E69" s="9" t="n">
        <x:v>-0.8471781272142777</x:v>
      </x:c>
      <x:c r="F69" s="9" t="n">
        <x:v>0.3478516046436205</x:v>
      </x:c>
      <x:c r="G69" s="9" t="n">
        <x:v>-1.5482269719312622</x:v>
      </x:c>
      <x:c r="H69" s="9" t="n">
        <x:v>-0.14612928249729318</x:v>
      </x:c>
      <x:c r="I69" s="9" t="n">
        <x:v>-2.4354584423499355</x:v>
      </x:c>
      <x:c r="J69" s="2" t="n">
        <x:v>44</x:v>
      </x:c>
      <x:c r="K69" s="10" t="n">
        <x:v>0.018993560240077208</x:v>
      </x:c>
      <x:c r="L69" s="10" t="n">
        <x:v>0.037987120480154415</x:v>
      </x:c>
      <x:c r="M69" s="10"/>
    </x:row>
    <x:row r="70" ht="24" customHeight="1">
      <x:c r="A70" s="2" t="str">
        <x:v>FB 严格排除发布当轮</x:v>
      </x:c>
      <x:c r="B70" s="2" t="str">
        <x:v>M3</x:v>
      </x:c>
      <x:c r="C70" s="2" t="str">
        <x:v>GC_c</x:v>
      </x:c>
      <x:c r="D70" s="2" t="n">
        <x:v>52</x:v>
      </x:c>
      <x:c r="E70" s="9" t="n">
        <x:v>-3.0053005717555163</x:v>
      </x:c>
      <x:c r="F70" s="9" t="n">
        <x:v>0.4834756274606393</x:v>
      </x:c>
      <x:c r="G70" s="9" t="n">
        <x:v>-3.9796816743735417</x:v>
      </x:c>
      <x:c r="H70" s="9" t="n">
        <x:v>-2.030919469137491</x:v>
      </x:c>
      <x:c r="I70" s="9" t="n">
        <x:v>-6.216033241510574</x:v>
      </x:c>
      <x:c r="J70" s="2" t="n">
        <x:v>44</x:v>
      </x:c>
      <x:c r="K70" s="10" t="n">
        <x:v>1.6237728400442664e-7</x:v>
      </x:c>
      <x:c r="L70" s="10" t="n">
        <x:v>4.871318520132799e-7</x:v>
      </x:c>
      <x:c r="M70" s="10"/>
    </x:row>
    <x:row r="71" ht="24" customHeight="1">
      <x:c r="A71" s="2" t="str">
        <x:v>FB 严格排除发布当轮</x:v>
      </x:c>
      <x:c r="B71" s="2" t="str">
        <x:v>M3</x:v>
      </x:c>
      <x:c r="C71" s="2" t="str">
        <x:v>DGC_c</x:v>
      </x:c>
      <x:c r="D71" s="2" t="n">
        <x:v>52</x:v>
      </x:c>
      <x:c r="E71" s="9" t="n">
        <x:v>-0.12244601081664583</x:v>
      </x:c>
      <x:c r="F71" s="9" t="n">
        <x:v>0.700619698857092</x:v>
      </x:c>
      <x:c r="G71" s="9" t="n">
        <x:v>-1.5344522339097835</x:v>
      </x:c>
      <x:c r="H71" s="9" t="n">
        <x:v>1.2895602122764918</x:v>
      </x:c>
      <x:c r="I71" s="9" t="n">
        <x:v>-0.17476815313127755</x:v>
      </x:c>
      <x:c r="J71" s="2" t="n">
        <x:v>44</x:v>
      </x:c>
      <x:c r="K71" s="10" t="n">
        <x:v>0.8620635412104574</x:v>
      </x:c>
      <x:c r="L71" s="10" t="n">
        <x:v>0.8620635412104574</x:v>
      </x:c>
      <x:c r="M71" s="10"/>
    </x:row>
    <x:row r="72" ht="24" customHeight="1">
      <x:c r="A72" s="2" t="str">
        <x:v>FB 严格排除发布当轮</x:v>
      </x:c>
      <x:c r="B72" s="2" t="str">
        <x:v>M3</x:v>
      </x:c>
      <x:c r="C72" s="2" t="str">
        <x:v>DGC_c:RT_c</x:v>
      </x:c>
      <x:c r="D72" s="2" t="n">
        <x:v>52</x:v>
      </x:c>
      <x:c r="E72" s="9" t="n">
        <x:v>-0.22765734387150255</x:v>
      </x:c>
      <x:c r="F72" s="9" t="n">
        <x:v>0.3194497409927619</x:v>
      </x:c>
      <x:c r="G72" s="9" t="n">
        <x:v>-0.8714659935327735</x:v>
      </x:c>
      <x:c r="H72" s="9" t="n">
        <x:v>0.4161513057897685</x:v>
      </x:c>
      <x:c r="I72" s="9" t="n">
        <x:v>-0.7126546516018644</x:v>
      </x:c>
      <x:c r="J72" s="2" t="n">
        <x:v>44</x:v>
      </x:c>
      <x:c r="K72" s="10" t="n">
        <x:v>0.47982189961586996</x:v>
      </x:c>
      <x:c r="L72" s="10"/>
      <x:c r="M72" s="10"/>
    </x:row>
    <x:row r="73" ht="24" customHeight="1">
      <x:c r="A73" s="2" t="str">
        <x:v>FB 严格排除发布当轮</x:v>
      </x:c>
      <x:c r="B73" s="2" t="str">
        <x:v>M3</x:v>
      </x:c>
      <x:c r="C73" s="2" t="str">
        <x:v>DGC_c:TC_c</x:v>
      </x:c>
      <x:c r="D73" s="2" t="n">
        <x:v>52</x:v>
      </x:c>
      <x:c r="E73" s="9" t="n">
        <x:v>1.5507100967210175</x:v>
      </x:c>
      <x:c r="F73" s="9" t="n">
        <x:v>2.3298362329938898</x:v>
      </x:c>
      <x:c r="G73" s="9" t="n">
        <x:v>-3.1447663010190734</x:v>
      </x:c>
      <x:c r="H73" s="9" t="n">
        <x:v>6.246186494461108</x:v>
      </x:c>
      <x:c r="I73" s="9" t="n">
        <x:v>0.6655875957119619</x:v>
      </x:c>
      <x:c r="J73" s="2" t="n">
        <x:v>44</x:v>
      </x:c>
      <x:c r="K73" s="10" t="n">
        <x:v>0.5091490818487533</x:v>
      </x:c>
      <x:c r="L73" s="10"/>
      <x:c r="M73" s="10"/>
    </x:row>
    <x:row r="74" ht="24" customHeight="1">
      <x:c r="A74" s="2" t="str">
        <x:v>FB 严格排除发布当轮</x:v>
      </x:c>
      <x:c r="B74" s="2" t="str">
        <x:v>M3</x:v>
      </x:c>
      <x:c r="C74" s="2" t="str">
        <x:v>DGC_c:GC_c</x:v>
      </x:c>
      <x:c r="D74" s="2" t="n">
        <x:v>52</x:v>
      </x:c>
      <x:c r="E74" s="9" t="n">
        <x:v>-2.724035083274205</x:v>
      </x:c>
      <x:c r="F74" s="9" t="n">
        <x:v>3.255225441625183</x:v>
      </x:c>
      <x:c r="G74" s="9" t="n">
        <x:v>-9.28451088582998</x:v>
      </x:c>
      <x:c r="H74" s="9" t="n">
        <x:v>3.836440719281569</x:v>
      </x:c>
      <x:c r="I74" s="9" t="n">
        <x:v>-0.8368191795386745</x:v>
      </x:c>
      <x:c r="J74" s="2" t="n">
        <x:v>44</x:v>
      </x:c>
      <x:c r="K74" s="10" t="n">
        <x:v>0.4072163117579043</x:v>
      </x:c>
      <x:c r="L74" s="10"/>
      <x:c r="M74" s="10"/>
    </x:row>
    <x:row r="75" ht="24" customHeight="1">
      <x:c r="A75" s="2" t="str">
        <x:v>初始相信队列9轮受限历时</x:v>
      </x:c>
      <x:c r="B75" s="2" t="str">
        <x:v>M1</x:v>
      </x:c>
      <x:c r="C75" s="2" t="str">
        <x:v>Intercept</x:v>
      </x:c>
      <x:c r="D75" s="2" t="n">
        <x:v>54</x:v>
      </x:c>
      <x:c r="E75" s="9" t="n">
        <x:v>5.419053343594415</x:v>
      </x:c>
      <x:c r="F75" s="9" t="n">
        <x:v>0.11195854296050042</x:v>
      </x:c>
      <x:c r="G75" s="9" t="n">
        <x:v>5.194177991953578</x:v>
      </x:c>
      <x:c r="H75" s="9" t="n">
        <x:v>5.643928695235252</x:v>
      </x:c>
      <x:c r="I75" s="9" t="n">
        <x:v>48.4023210761709</x:v>
      </x:c>
      <x:c r="J75" s="2" t="n">
        <x:v>50</x:v>
      </x:c>
      <x:c r="K75" s="10" t="n">
        <x:v>1.1385467817416071e-43</x:v>
      </x:c>
      <x:c r="L75" s="10"/>
      <x:c r="M75" s="10"/>
    </x:row>
    <x:row r="76" ht="24" customHeight="1">
      <x:c r="A76" s="2" t="str">
        <x:v>初始相信队列9轮受限历时</x:v>
      </x:c>
      <x:c r="B76" s="2" t="str">
        <x:v>M1</x:v>
      </x:c>
      <x:c r="C76" s="2" t="str">
        <x:v>RT_c</x:v>
      </x:c>
      <x:c r="D76" s="2" t="n">
        <x:v>54</x:v>
      </x:c>
      <x:c r="E76" s="9" t="n">
        <x:v>0.8665399552844951</x:v>
      </x:c>
      <x:c r="F76" s="9" t="n">
        <x:v>0.0471805874359972</x:v>
      </x:c>
      <x:c r="G76" s="9" t="n">
        <x:v>0.7717749564756563</x:v>
      </x:c>
      <x:c r="H76" s="9" t="n">
        <x:v>0.9613049540933339</x:v>
      </x:c>
      <x:c r="I76" s="9" t="n">
        <x:v>18.366451169350096</x:v>
      </x:c>
      <x:c r="J76" s="2" t="n">
        <x:v>50</x:v>
      </x:c>
      <x:c r="K76" s="10" t="n">
        <x:v>7.102095479134414e-24</x:v>
      </x:c>
      <x:c r="L76" s="10"/>
      <x:c r="M76" s="10"/>
    </x:row>
    <x:row r="77" ht="24" customHeight="1">
      <x:c r="A77" s="2" t="str">
        <x:v>初始相信队列9轮受限历时</x:v>
      </x:c>
      <x:c r="B77" s="2" t="str">
        <x:v>M1</x:v>
      </x:c>
      <x:c r="C77" s="2" t="str">
        <x:v>TC_c</x:v>
      </x:c>
      <x:c r="D77" s="2" t="n">
        <x:v>54</x:v>
      </x:c>
      <x:c r="E77" s="9" t="n">
        <x:v>-2.206513679021148</x:v>
      </x:c>
      <x:c r="F77" s="9" t="n">
        <x:v>0.37319514320166836</x:v>
      </x:c>
      <x:c r="G77" s="9" t="n">
        <x:v>-2.9560981844906076</x:v>
      </x:c>
      <x:c r="H77" s="9" t="n">
        <x:v>-1.4569291735516885</x:v>
      </x:c>
      <x:c r="I77" s="9" t="n">
        <x:v>-5.912493019312379</x:v>
      </x:c>
      <x:c r="J77" s="2" t="n">
        <x:v>50</x:v>
      </x:c>
      <x:c r="K77" s="10" t="n">
        <x:v>2.992726824929058e-7</x:v>
      </x:c>
      <x:c r="L77" s="10"/>
      <x:c r="M77" s="10"/>
    </x:row>
    <x:row r="78" ht="24" customHeight="1">
      <x:c r="A78" s="2" t="str">
        <x:v>初始相信队列9轮受限历时</x:v>
      </x:c>
      <x:c r="B78" s="2" t="str">
        <x:v>M1</x:v>
      </x:c>
      <x:c r="C78" s="2" t="str">
        <x:v>GC_c</x:v>
      </x:c>
      <x:c r="D78" s="2" t="n">
        <x:v>54</x:v>
      </x:c>
      <x:c r="E78" s="9" t="n">
        <x:v>-4.136504540625347</x:v>
      </x:c>
      <x:c r="F78" s="9" t="n">
        <x:v>0.6031626758064175</x:v>
      </x:c>
      <x:c r="G78" s="9" t="n">
        <x:v>-5.347992429195404</x:v>
      </x:c>
      <x:c r="H78" s="9" t="n">
        <x:v>-2.9250166520552896</x:v>
      </x:c>
      <x:c r="I78" s="9" t="n">
        <x:v>-6.858024719608049</x:v>
      </x:c>
      <x:c r="J78" s="2" t="n">
        <x:v>50</x:v>
      </x:c>
      <x:c r="K78" s="10" t="n">
        <x:v>1.0008791513066067e-8</x:v>
      </x:c>
      <x:c r="L78" s="10"/>
      <x:c r="M78" s="10"/>
    </x:row>
    <x:row r="79" ht="24" customHeight="1">
      <x:c r="A79" s="2" t="str">
        <x:v>初始相信队列9轮受限历时</x:v>
      </x:c>
      <x:c r="B79" s="2" t="str">
        <x:v>M2</x:v>
      </x:c>
      <x:c r="C79" s="2" t="str">
        <x:v>Intercept</x:v>
      </x:c>
      <x:c r="D79" s="2" t="n">
        <x:v>54</x:v>
      </x:c>
      <x:c r="E79" s="9" t="n">
        <x:v>5.419053343594415</x:v>
      </x:c>
      <x:c r="F79" s="9" t="n">
        <x:v>0.11475110732363325</x:v>
      </x:c>
      <x:c r="G79" s="9" t="n">
        <x:v>5.188452359883682</x:v>
      </x:c>
      <x:c r="H79" s="9" t="n">
        <x:v>5.649654327305148</x:v>
      </x:c>
      <x:c r="I79" s="9" t="n">
        <x:v>47.224410029534845</x:v>
      </x:c>
      <x:c r="J79" s="2" t="n">
        <x:v>49</x:v>
      </x:c>
      <x:c r="K79" s="10" t="n">
        <x:v>1.597902947753405e-42</x:v>
      </x:c>
      <x:c r="L79" s="10"/>
      <x:c r="M79" s="10"/>
    </x:row>
    <x:row r="80" ht="24" customHeight="1">
      <x:c r="A80" s="2" t="str">
        <x:v>初始相信队列9轮受限历时</x:v>
      </x:c>
      <x:c r="B80" s="2" t="str">
        <x:v>M2</x:v>
      </x:c>
      <x:c r="C80" s="2" t="str">
        <x:v>RT_c</x:v>
      </x:c>
      <x:c r="D80" s="2" t="n">
        <x:v>54</x:v>
      </x:c>
      <x:c r="E80" s="9" t="n">
        <x:v>0.8665399552844952</x:v>
      </x:c>
      <x:c r="F80" s="9" t="n">
        <x:v>0.04814942297497845</x:v>
      </x:c>
      <x:c r="G80" s="9" t="n">
        <x:v>0.7697800671919168</x:v>
      </x:c>
      <x:c r="H80" s="9" t="n">
        <x:v>0.9632998433770736</x:v>
      </x:c>
      <x:c r="I80" s="9" t="n">
        <x:v>17.99689179525174</x:v>
      </x:c>
      <x:c r="J80" s="2" t="n">
        <x:v>49</x:v>
      </x:c>
      <x:c r="K80" s="10" t="n">
        <x:v>3.090783427922102e-23</x:v>
      </x:c>
      <x:c r="L80" s="10"/>
      <x:c r="M80" s="10"/>
    </x:row>
    <x:row r="81" ht="24" customHeight="1">
      <x:c r="A81" s="2" t="str">
        <x:v>初始相信队列9轮受限历时</x:v>
      </x:c>
      <x:c r="B81" s="2" t="str">
        <x:v>M2</x:v>
      </x:c>
      <x:c r="C81" s="2" t="str">
        <x:v>TC_c</x:v>
      </x:c>
      <x:c r="D81" s="2" t="n">
        <x:v>54</x:v>
      </x:c>
      <x:c r="E81" s="9" t="n">
        <x:v>-2.206513679021146</x:v>
      </x:c>
      <x:c r="F81" s="9" t="n">
        <x:v>0.3825036910787775</x:v>
      </x:c>
      <x:c r="G81" s="9" t="n">
        <x:v>-2.9751836247235897</x:v>
      </x:c>
      <x:c r="H81" s="9" t="n">
        <x:v>-1.4378437333187024</x:v>
      </x:c>
      <x:c r="I81" s="9" t="n">
        <x:v>-5.76860754676145</x:v>
      </x:c>
      <x:c r="J81" s="2" t="n">
        <x:v>49</x:v>
      </x:c>
      <x:c r="K81" s="10" t="n">
        <x:v>5.307946148002182e-7</x:v>
      </x:c>
      <x:c r="L81" s="10"/>
      <x:c r="M81" s="10"/>
    </x:row>
    <x:row r="82" ht="24" customHeight="1">
      <x:c r="A82" s="2" t="str">
        <x:v>初始相信队列9轮受限历时</x:v>
      </x:c>
      <x:c r="B82" s="2" t="str">
        <x:v>M2</x:v>
      </x:c>
      <x:c r="C82" s="2" t="str">
        <x:v>GC_c</x:v>
      </x:c>
      <x:c r="D82" s="2" t="n">
        <x:v>54</x:v>
      </x:c>
      <x:c r="E82" s="9" t="n">
        <x:v>-4.136504540625347</x:v>
      </x:c>
      <x:c r="F82" s="9" t="n">
        <x:v>0.6163429642178634</x:v>
      </x:c>
      <x:c r="G82" s="9" t="n">
        <x:v>-5.375092099096398</x:v>
      </x:c>
      <x:c r="H82" s="9" t="n">
        <x:v>-2.897916982154295</x:v>
      </x:c>
      <x:c r="I82" s="9" t="n">
        <x:v>-6.711368151779835</x:v>
      </x:c>
      <x:c r="J82" s="2" t="n">
        <x:v>49</x:v>
      </x:c>
      <x:c r="K82" s="10" t="n">
        <x:v>1.8578514655821858e-8</x:v>
      </x:c>
      <x:c r="L82" s="10"/>
      <x:c r="M82" s="10"/>
    </x:row>
    <x:row r="83" ht="24" customHeight="1">
      <x:c r="A83" s="2" t="str">
        <x:v>初始相信队列9轮受限历时</x:v>
      </x:c>
      <x:c r="B83" s="2" t="str">
        <x:v>M2</x:v>
      </x:c>
      <x:c r="C83" s="2" t="str">
        <x:v>DGC_c</x:v>
      </x:c>
      <x:c r="D83" s="2" t="n">
        <x:v>54</x:v>
      </x:c>
      <x:c r="E83" s="9" t="n">
        <x:v>0.1395981541838076</x:v>
      </x:c>
      <x:c r="F83" s="9" t="n">
        <x:v>0.787342008849061</x:v>
      </x:c>
      <x:c r="G83" s="9" t="n">
        <x:v>-1.442624849950856</x:v>
      </x:c>
      <x:c r="H83" s="9" t="n">
        <x:v>1.7218211583184713</x:v>
      </x:c>
      <x:c r="I83" s="9" t="n">
        <x:v>0.17730306857101732</x:v>
      </x:c>
      <x:c r="J83" s="2" t="n">
        <x:v>49</x:v>
      </x:c>
      <x:c r="K83" s="10" t="n">
        <x:v>0.8600012348962678</x:v>
      </x:c>
      <x:c r="L83" s="10"/>
      <x:c r="M83" s="10"/>
    </x:row>
    <x:row r="84" ht="24" customHeight="1">
      <x:c r="A84" s="2" t="str">
        <x:v>初始相信队列9轮受限历时</x:v>
      </x:c>
      <x:c r="B84" s="2" t="str">
        <x:v>M3</x:v>
      </x:c>
      <x:c r="C84" s="2" t="str">
        <x:v>Intercept</x:v>
      </x:c>
      <x:c r="D84" s="2" t="n">
        <x:v>54</x:v>
      </x:c>
      <x:c r="E84" s="9" t="n">
        <x:v>5.419053343594415</x:v>
      </x:c>
      <x:c r="F84" s="9" t="n">
        <x:v>0.11292031053317482</x:v>
      </x:c>
      <x:c r="G84" s="9" t="n">
        <x:v>5.191756547493572</x:v>
      </x:c>
      <x:c r="H84" s="9" t="n">
        <x:v>5.646350139695258</x:v>
      </x:c>
      <x:c r="I84" s="9" t="n">
        <x:v>47.99006766813976</x:v>
      </x:c>
      <x:c r="J84" s="2" t="n">
        <x:v>46</x:v>
      </x:c>
      <x:c r="K84" s="10" t="n">
        <x:v>6.098704036641153e-41</x:v>
      </x:c>
      <x:c r="L84" s="10"/>
      <x:c r="M84" s="10"/>
    </x:row>
    <x:row r="85" ht="24" customHeight="1">
      <x:c r="A85" s="2" t="str">
        <x:v>初始相信队列9轮受限历时</x:v>
      </x:c>
      <x:c r="B85" s="2" t="str">
        <x:v>M3</x:v>
      </x:c>
      <x:c r="C85" s="2" t="str">
        <x:v>RT_c</x:v>
      </x:c>
      <x:c r="D85" s="2" t="n">
        <x:v>54</x:v>
      </x:c>
      <x:c r="E85" s="9" t="n">
        <x:v>0.8665399552844956</x:v>
      </x:c>
      <x:c r="F85" s="9" t="n">
        <x:v>0.049669339398183444</x:v>
      </x:c>
      <x:c r="G85" s="9" t="n">
        <x:v>0.7665607606086567</x:v>
      </x:c>
      <x:c r="H85" s="9" t="n">
        <x:v>0.9665191499603344</x:v>
      </x:c>
      <x:c r="I85" s="9" t="n">
        <x:v>17.446174355928466</x:v>
      </x:c>
      <x:c r="J85" s="2" t="n">
        <x:v>46</x:v>
      </x:c>
      <x:c r="K85" s="10" t="n">
        <x:v>6.557616233272028e-22</x:v>
      </x:c>
      <x:c r="L85" s="10" t="n">
        <x:v>2.6230464933088113e-21</x:v>
      </x:c>
      <x:c r="M85" s="10"/>
    </x:row>
    <x:row r="86" ht="24" customHeight="1">
      <x:c r="A86" s="2" t="str">
        <x:v>初始相信队列9轮受限历时</x:v>
      </x:c>
      <x:c r="B86" s="2" t="str">
        <x:v>M3</x:v>
      </x:c>
      <x:c r="C86" s="2" t="str">
        <x:v>TC_c</x:v>
      </x:c>
      <x:c r="D86" s="2" t="n">
        <x:v>54</x:v>
      </x:c>
      <x:c r="E86" s="9" t="n">
        <x:v>-2.2065136790211453</x:v>
      </x:c>
      <x:c r="F86" s="9" t="n">
        <x:v>0.37640103511058276</x:v>
      </x:c>
      <x:c r="G86" s="9" t="n">
        <x:v>-2.9641696660239547</x:v>
      </x:c>
      <x:c r="H86" s="9" t="n">
        <x:v>-1.4488576920183358</x:v>
      </x:c>
      <x:c r="I86" s="9" t="n">
        <x:v>-5.862134992197602</x:v>
      </x:c>
      <x:c r="J86" s="2" t="n">
        <x:v>46</x:v>
      </x:c>
      <x:c r="K86" s="10" t="n">
        <x:v>4.658224997377451e-7</x:v>
      </x:c>
      <x:c r="L86" s="10" t="n">
        <x:v>9.316449994754902e-7</x:v>
      </x:c>
      <x:c r="M86" s="10"/>
    </x:row>
    <x:row r="87" ht="24" customHeight="1">
      <x:c r="A87" s="2" t="str">
        <x:v>初始相信队列9轮受限历时</x:v>
      </x:c>
      <x:c r="B87" s="2" t="str">
        <x:v>M3</x:v>
      </x:c>
      <x:c r="C87" s="2" t="str">
        <x:v>GC_c</x:v>
      </x:c>
      <x:c r="D87" s="2" t="n">
        <x:v>54</x:v>
      </x:c>
      <x:c r="E87" s="9" t="n">
        <x:v>-4.136504540625347</x:v>
      </x:c>
      <x:c r="F87" s="9" t="n">
        <x:v>0.5994932140904958</x:v>
      </x:c>
      <x:c r="G87" s="9" t="n">
        <x:v>-5.343221792850168</x:v>
      </x:c>
      <x:c r="H87" s="9" t="n">
        <x:v>-2.929787288400525</x:v>
      </x:c>
      <x:c r="I87" s="9" t="n">
        <x:v>-6.900002274255811</x:v>
      </x:c>
      <x:c r="J87" s="2" t="n">
        <x:v>46</x:v>
      </x:c>
      <x:c r="K87" s="10" t="n">
        <x:v>1.287274677598543e-8</x:v>
      </x:c>
      <x:c r="L87" s="10" t="n">
        <x:v>3.8618240327956294e-8</x:v>
      </x:c>
      <x:c r="M87" s="10"/>
    </x:row>
    <x:row r="88" ht="24" customHeight="1">
      <x:c r="A88" s="2" t="str">
        <x:v>初始相信队列9轮受限历时</x:v>
      </x:c>
      <x:c r="B88" s="2" t="str">
        <x:v>M3</x:v>
      </x:c>
      <x:c r="C88" s="2" t="str">
        <x:v>DGC_c</x:v>
      </x:c>
      <x:c r="D88" s="2" t="n">
        <x:v>54</x:v>
      </x:c>
      <x:c r="E88" s="9" t="n">
        <x:v>0.13959815418380916</x:v>
      </x:c>
      <x:c r="F88" s="9" t="n">
        <x:v>0.7723090755727824</x:v>
      </x:c>
      <x:c r="G88" s="9" t="n">
        <x:v>-1.4149793850421768</x:v>
      </x:c>
      <x:c r="H88" s="9" t="n">
        <x:v>1.6941756934097951</x:v>
      </x:c>
      <x:c r="I88" s="9" t="n">
        <x:v>0.1807542583651193</x:v>
      </x:c>
      <x:c r="J88" s="2" t="n">
        <x:v>46</x:v>
      </x:c>
      <x:c r="K88" s="10" t="n">
        <x:v>0.8573544999555515</x:v>
      </x:c>
      <x:c r="L88" s="10" t="n">
        <x:v>0.8573544999555515</x:v>
      </x:c>
      <x:c r="M88" s="10"/>
    </x:row>
    <x:row r="89" ht="24" customHeight="1">
      <x:c r="A89" s="2" t="str">
        <x:v>初始相信队列9轮受限历时</x:v>
      </x:c>
      <x:c r="B89" s="2" t="str">
        <x:v>M3</x:v>
      </x:c>
      <x:c r="C89" s="2" t="str">
        <x:v>DGC_c:RT_c</x:v>
      </x:c>
      <x:c r="D89" s="2" t="n">
        <x:v>54</x:v>
      </x:c>
      <x:c r="E89" s="9" t="n">
        <x:v>0.02547369359104179</x:v>
      </x:c>
      <x:c r="F89" s="9" t="n">
        <x:v>0.32695660826410033</x:v>
      </x:c>
      <x:c r="G89" s="9" t="n">
        <x:v>-0.6326558242213894</x:v>
      </x:c>
      <x:c r="H89" s="9" t="n">
        <x:v>0.683603211403473</x:v>
      </x:c>
      <x:c r="I89" s="9" t="n">
        <x:v>0.07791154222662271</x:v>
      </x:c>
      <x:c r="J89" s="2" t="n">
        <x:v>46</x:v>
      </x:c>
      <x:c r="K89" s="10" t="n">
        <x:v>0.938236339421531</x:v>
      </x:c>
      <x:c r="L89" s="10"/>
      <x:c r="M89" s="10"/>
    </x:row>
    <x:row r="90" ht="24" customHeight="1">
      <x:c r="A90" s="2" t="str">
        <x:v>初始相信队列9轮受限历时</x:v>
      </x:c>
      <x:c r="B90" s="2" t="str">
        <x:v>M3</x:v>
      </x:c>
      <x:c r="C90" s="2" t="str">
        <x:v>DGC_c:TC_c</x:v>
      </x:c>
      <x:c r="D90" s="2" t="n">
        <x:v>54</x:v>
      </x:c>
      <x:c r="E90" s="9" t="n">
        <x:v>2.4346358218368715</x:v>
      </x:c>
      <x:c r="F90" s="9" t="n">
        <x:v>2.574363585242608</x:v>
      </x:c>
      <x:c r="G90" s="9" t="n">
        <x:v>-2.7472893089164154</x:v>
      </x:c>
      <x:c r="H90" s="9" t="n">
        <x:v>7.6165609525901585</x:v>
      </x:c>
      <x:c r="I90" s="9" t="n">
        <x:v>0.9457233763689332</x:v>
      </x:c>
      <x:c r="J90" s="2" t="n">
        <x:v>46</x:v>
      </x:c>
      <x:c r="K90" s="10" t="n">
        <x:v>0.34923116811085386</x:v>
      </x:c>
      <x:c r="L90" s="10"/>
      <x:c r="M90" s="10"/>
    </x:row>
    <x:row r="91" ht="24" customHeight="1">
      <x:c r="A91" s="2" t="str">
        <x:v>初始相信队列9轮受限历时</x:v>
      </x:c>
      <x:c r="B91" s="2" t="str">
        <x:v>M3</x:v>
      </x:c>
      <x:c r="C91" s="2" t="str">
        <x:v>DGC_c:GC_c</x:v>
      </x:c>
      <x:c r="D91" s="2" t="n">
        <x:v>54</x:v>
      </x:c>
      <x:c r="E91" s="9" t="n">
        <x:v>-8.729425771361264</x:v>
      </x:c>
      <x:c r="F91" s="9" t="n">
        <x:v>4.120156914415196</x:v>
      </x:c>
      <x:c r="G91" s="9" t="n">
        <x:v>-17.022871491245063</x:v>
      </x:c>
      <x:c r="H91" s="9" t="n">
        <x:v>-0.435980051477463</x:v>
      </x:c>
      <x:c r="I91" s="9" t="n">
        <x:v>-2.118711969638733</x:v>
      </x:c>
      <x:c r="J91" s="2" t="n">
        <x:v>46</x:v>
      </x:c>
      <x:c r="K91" s="10" t="n">
        <x:v>0.03954607043044173</x:v>
      </x:c>
      <x:c r="L91" s="10"/>
      <x:c r="M91" s="10"/>
    </x:row>
    <x:row r="92" ht="24" customHeight="1">
      <x:c r="A92" s="2" t="str">
        <x:v>发布后共同3轮受限等待</x:v>
      </x:c>
      <x:c r="B92" s="2" t="str">
        <x:v>M1</x:v>
      </x:c>
      <x:c r="C92" s="2" t="str">
        <x:v>Intercept</x:v>
      </x:c>
      <x:c r="D92" s="2" t="n">
        <x:v>54</x:v>
      </x:c>
      <x:c r="E92" s="9" t="n">
        <x:v>1.5535644434168254</x:v>
      </x:c>
      <x:c r="F92" s="9" t="n">
        <x:v>0.05325581926991761</x:v>
      </x:c>
      <x:c r="G92" s="9" t="n">
        <x:v>1.446596982349841</x:v>
      </x:c>
      <x:c r="H92" s="9" t="n">
        <x:v>1.6605319044838098</x:v>
      </x:c>
      <x:c r="I92" s="9" t="n">
        <x:v>29.171731178199725</x:v>
      </x:c>
      <x:c r="J92" s="2" t="n">
        <x:v>50</x:v>
      </x:c>
      <x:c r="K92" s="10" t="n">
        <x:v>4.660624779556236e-33</x:v>
      </x:c>
      <x:c r="L92" s="10"/>
      <x:c r="M92" s="10"/>
    </x:row>
    <x:row r="93" ht="24" customHeight="1">
      <x:c r="A93" s="2" t="str">
        <x:v>发布后共同3轮受限等待</x:v>
      </x:c>
      <x:c r="B93" s="2" t="str">
        <x:v>M1</x:v>
      </x:c>
      <x:c r="C93" s="2" t="str">
        <x:v>RT_c</x:v>
      </x:c>
      <x:c r="D93" s="2" t="n">
        <x:v>54</x:v>
      </x:c>
      <x:c r="E93" s="9" t="n">
        <x:v>0.030959595133790437</x:v>
      </x:c>
      <x:c r="F93" s="9" t="n">
        <x:v>0.021422087986092186</x:v>
      </x:c>
      <x:c r="G93" s="9" t="n">
        <x:v>-0.012067934890899266</x:v>
      </x:c>
      <x:c r="H93" s="9" t="n">
        <x:v>0.07398712515848013</x:v>
      </x:c>
      <x:c r="I93" s="9" t="n">
        <x:v>1.4452183724523149</x:v>
      </x:c>
      <x:c r="J93" s="2" t="n">
        <x:v>50</x:v>
      </x:c>
      <x:c r="K93" s="10" t="n">
        <x:v>0.15463521456537643</x:v>
      </x:c>
      <x:c r="L93" s="10"/>
      <x:c r="M93" s="10"/>
    </x:row>
    <x:row r="94" ht="24" customHeight="1">
      <x:c r="A94" s="2" t="str">
        <x:v>发布后共同3轮受限等待</x:v>
      </x:c>
      <x:c r="B94" s="2" t="str">
        <x:v>M1</x:v>
      </x:c>
      <x:c r="C94" s="2" t="str">
        <x:v>TC_c</x:v>
      </x:c>
      <x:c r="D94" s="2" t="n">
        <x:v>54</x:v>
      </x:c>
      <x:c r="E94" s="9" t="n">
        <x:v>-1.5246999886256694</x:v>
      </x:c>
      <x:c r="F94" s="9" t="n">
        <x:v>0.1775193975663922</x:v>
      </x:c>
      <x:c r="G94" s="9" t="n">
        <x:v>-1.8812581921822842</x:v>
      </x:c>
      <x:c r="H94" s="9" t="n">
        <x:v>-1.1681417850690545</x:v>
      </x:c>
      <x:c r="I94" s="9" t="n">
        <x:v>-8.588920475890145</x:v>
      </x:c>
      <x:c r="J94" s="2" t="n">
        <x:v>50</x:v>
      </x:c>
      <x:c r="K94" s="10" t="n">
        <x:v>2.070438339005072e-11</x:v>
      </x:c>
      <x:c r="L94" s="10"/>
      <x:c r="M94" s="10"/>
    </x:row>
    <x:row r="95" ht="24" customHeight="1">
      <x:c r="A95" s="2" t="str">
        <x:v>发布后共同3轮受限等待</x:v>
      </x:c>
      <x:c r="B95" s="2" t="str">
        <x:v>M1</x:v>
      </x:c>
      <x:c r="C95" s="2" t="str">
        <x:v>GC_c</x:v>
      </x:c>
      <x:c r="D95" s="2" t="n">
        <x:v>54</x:v>
      </x:c>
      <x:c r="E95" s="9" t="n">
        <x:v>-2.579551837344372</x:v>
      </x:c>
      <x:c r="F95" s="9" t="n">
        <x:v>0.2824836693290572</x:v>
      </x:c>
      <x:c r="G95" s="9" t="n">
        <x:v>-3.146936985394908</x:v>
      </x:c>
      <x:c r="H95" s="9" t="n">
        <x:v>-2.012166689293836</x:v>
      </x:c>
      <x:c r="I95" s="9" t="n">
        <x:v>-9.131684827909556</x:v>
      </x:c>
      <x:c r="J95" s="2" t="n">
        <x:v>50</x:v>
      </x:c>
      <x:c r="K95" s="10" t="n">
        <x:v>3.117253808456708e-12</x:v>
      </x:c>
      <x:c r="L95" s="10"/>
      <x:c r="M95" s="10"/>
    </x:row>
    <x:row r="96" ht="24" customHeight="1">
      <x:c r="A96" s="2" t="str">
        <x:v>发布后共同3轮受限等待</x:v>
      </x:c>
      <x:c r="B96" s="2" t="str">
        <x:v>M2</x:v>
      </x:c>
      <x:c r="C96" s="2" t="str">
        <x:v>Intercept</x:v>
      </x:c>
      <x:c r="D96" s="2" t="n">
        <x:v>54</x:v>
      </x:c>
      <x:c r="E96" s="9" t="n">
        <x:v>1.5535644434168254</x:v>
      </x:c>
      <x:c r="F96" s="9" t="n">
        <x:v>0.054435764000092465</x:v>
      </x:c>
      <x:c r="G96" s="9" t="n">
        <x:v>1.4441716800680282</x:v>
      </x:c>
      <x:c r="H96" s="9" t="n">
        <x:v>1.6629572067656226</x:v>
      </x:c>
      <x:c r="I96" s="9" t="n">
        <x:v>28.539407353852635</x:v>
      </x:c>
      <x:c r="J96" s="2" t="n">
        <x:v>49</x:v>
      </x:c>
      <x:c r="K96" s="10" t="n">
        <x:v>3.4530687361651703e-32</x:v>
      </x:c>
      <x:c r="L96" s="10"/>
      <x:c r="M96" s="10"/>
    </x:row>
    <x:row r="97" ht="24" customHeight="1">
      <x:c r="A97" s="2" t="str">
        <x:v>发布后共同3轮受限等待</x:v>
      </x:c>
      <x:c r="B97" s="2" t="str">
        <x:v>M2</x:v>
      </x:c>
      <x:c r="C97" s="2" t="str">
        <x:v>RT_c</x:v>
      </x:c>
      <x:c r="D97" s="2" t="n">
        <x:v>54</x:v>
      </x:c>
      <x:c r="E97" s="9" t="n">
        <x:v>0.030959595133790443</x:v>
      </x:c>
      <x:c r="F97" s="9" t="n">
        <x:v>0.021727709991988708</x:v>
      </x:c>
      <x:c r="G97" s="9" t="n">
        <x:v>-0.012703872825635613</x:v>
      </x:c>
      <x:c r="H97" s="9" t="n">
        <x:v>0.07462306309321651</x:v>
      </x:c>
      <x:c r="I97" s="9" t="n">
        <x:v>1.4248899283544216</x:v>
      </x:c>
      <x:c r="J97" s="2" t="n">
        <x:v>49</x:v>
      </x:c>
      <x:c r="K97" s="10" t="n">
        <x:v>0.16052760941375277</x:v>
      </x:c>
      <x:c r="L97" s="10"/>
      <x:c r="M97" s="10"/>
    </x:row>
    <x:row r="98" ht="24" customHeight="1">
      <x:c r="A98" s="2" t="str">
        <x:v>发布后共同3轮受限等待</x:v>
      </x:c>
      <x:c r="B98" s="2" t="str">
        <x:v>M2</x:v>
      </x:c>
      <x:c r="C98" s="2" t="str">
        <x:v>TC_c</x:v>
      </x:c>
      <x:c r="D98" s="2" t="n">
        <x:v>54</x:v>
      </x:c>
      <x:c r="E98" s="9" t="n">
        <x:v>-1.5246999886256687</x:v>
      </x:c>
      <x:c r="F98" s="9" t="n">
        <x:v>0.18145254666697497</x:v>
      </x:c>
      <x:c r="G98" s="9" t="n">
        <x:v>-1.8893425331216593</x:v>
      </x:c>
      <x:c r="H98" s="9" t="n">
        <x:v>-1.160057444129678</x:v>
      </x:c>
      <x:c r="I98" s="9" t="n">
        <x:v>-8.40274780724899</x:v>
      </x:c>
      <x:c r="J98" s="2" t="n">
        <x:v>49</x:v>
      </x:c>
      <x:c r="K98" s="10" t="n">
        <x:v>4.657943683291968e-11</x:v>
      </x:c>
      <x:c r="L98" s="10"/>
      <x:c r="M98" s="10"/>
    </x:row>
    <x:row r="99" ht="24" customHeight="1">
      <x:c r="A99" s="2" t="str">
        <x:v>发布后共同3轮受限等待</x:v>
      </x:c>
      <x:c r="B99" s="2" t="str">
        <x:v>M2</x:v>
      </x:c>
      <x:c r="C99" s="2" t="str">
        <x:v>GC_c</x:v>
      </x:c>
      <x:c r="D99" s="2" t="n">
        <x:v>54</x:v>
      </x:c>
      <x:c r="E99" s="9" t="n">
        <x:v>-2.579551837344372</x:v>
      </x:c>
      <x:c r="F99" s="9" t="n">
        <x:v>0.2884863152682355</x:v>
      </x:c>
      <x:c r="G99" s="9" t="n">
        <x:v>-3.159286792758077</x:v>
      </x:c>
      <x:c r="H99" s="9" t="n">
        <x:v>-1.9998168819306672</x:v>
      </x:c>
      <x:c r="I99" s="9" t="n">
        <x:v>-8.941678342509581</x:v>
      </x:c>
      <x:c r="J99" s="2" t="n">
        <x:v>49</x:v>
      </x:c>
      <x:c r="K99" s="10" t="n">
        <x:v>7.203280759155065e-12</x:v>
      </x:c>
      <x:c r="L99" s="10"/>
      <x:c r="M99" s="10"/>
    </x:row>
    <x:row r="100" ht="24" customHeight="1">
      <x:c r="A100" s="2" t="str">
        <x:v>发布后共同3轮受限等待</x:v>
      </x:c>
      <x:c r="B100" s="2" t="str">
        <x:v>M2</x:v>
      </x:c>
      <x:c r="C100" s="2" t="str">
        <x:v>DGC_c</x:v>
      </x:c>
      <x:c r="D100" s="2" t="n">
        <x:v>54</x:v>
      </x:c>
      <x:c r="E100" s="9" t="n">
        <x:v>0.11569940448197852</x:v>
      </x:c>
      <x:c r="F100" s="9" t="n">
        <x:v>0.36019735278394965</x:v>
      </x:c>
      <x:c r="G100" s="9" t="n">
        <x:v>-0.6081442761521516</x:v>
      </x:c>
      <x:c r="H100" s="9" t="n">
        <x:v>0.8395430851161085</x:v>
      </x:c>
      <x:c r="I100" s="9" t="n">
        <x:v>0.3212111460224315</x:v>
      </x:c>
      <x:c r="J100" s="2" t="n">
        <x:v>49</x:v>
      </x:c>
      <x:c r="K100" s="10" t="n">
        <x:v>0.7494164993542011</x:v>
      </x:c>
      <x:c r="L100" s="10"/>
      <x:c r="M100" s="10"/>
    </x:row>
    <x:row r="101" ht="24" customHeight="1">
      <x:c r="A101" s="2" t="str">
        <x:v>发布后共同3轮受限等待</x:v>
      </x:c>
      <x:c r="B101" s="2" t="str">
        <x:v>M3</x:v>
      </x:c>
      <x:c r="C101" s="2" t="str">
        <x:v>Intercept</x:v>
      </x:c>
      <x:c r="D101" s="2" t="n">
        <x:v>54</x:v>
      </x:c>
      <x:c r="E101" s="9" t="n">
        <x:v>1.5535644434168254</x:v>
      </x:c>
      <x:c r="F101" s="9" t="n">
        <x:v>0.05512886791683346</x:v>
      </x:c>
      <x:c r="G101" s="9" t="n">
        <x:v>1.4425957878136209</x:v>
      </x:c>
      <x:c r="H101" s="9" t="n">
        <x:v>1.66453309902003</x:v>
      </x:c>
      <x:c r="I101" s="9" t="n">
        <x:v>28.180597609232755</x:v>
      </x:c>
      <x:c r="J101" s="2" t="n">
        <x:v>46</x:v>
      </x:c>
      <x:c r="K101" s="10" t="n">
        <x:v>1.1565788312284011e-30</x:v>
      </x:c>
      <x:c r="L101" s="10"/>
      <x:c r="M101" s="10"/>
    </x:row>
    <x:row r="102" ht="24" customHeight="1">
      <x:c r="A102" s="2" t="str">
        <x:v>发布后共同3轮受限等待</x:v>
      </x:c>
      <x:c r="B102" s="2" t="str">
        <x:v>M3</x:v>
      </x:c>
      <x:c r="C102" s="2" t="str">
        <x:v>RT_c</x:v>
      </x:c>
      <x:c r="D102" s="2" t="n">
        <x:v>54</x:v>
      </x:c>
      <x:c r="E102" s="9" t="n">
        <x:v>0.030959595133790534</x:v>
      </x:c>
      <x:c r="F102" s="9" t="n">
        <x:v>0.022626046316013053</x:v>
      </x:c>
      <x:c r="G102" s="9" t="n">
        <x:v>-0.014584273916659292</x:v>
      </x:c>
      <x:c r="H102" s="9" t="n">
        <x:v>0.07650346418424037</x:v>
      </x:c>
      <x:c r="I102" s="9" t="n">
        <x:v>1.368316616230013</x:v>
      </x:c>
      <x:c r="J102" s="2" t="n">
        <x:v>46</x:v>
      </x:c>
      <x:c r="K102" s="10" t="n">
        <x:v>0.17785954613991428</x:v>
      </x:c>
      <x:c r="L102" s="10" t="n">
        <x:v>0.35571909227982856</x:v>
      </x:c>
      <x:c r="M102" s="10"/>
    </x:row>
    <x:row r="103" ht="24" customHeight="1">
      <x:c r="A103" s="2" t="str">
        <x:v>发布后共同3轮受限等待</x:v>
      </x:c>
      <x:c r="B103" s="2" t="str">
        <x:v>M3</x:v>
      </x:c>
      <x:c r="C103" s="2" t="str">
        <x:v>TC_c</x:v>
      </x:c>
      <x:c r="D103" s="2" t="n">
        <x:v>54</x:v>
      </x:c>
      <x:c r="E103" s="9" t="n">
        <x:v>-1.524699988625668</x:v>
      </x:c>
      <x:c r="F103" s="9" t="n">
        <x:v>0.18376289305611157</x:v>
      </x:c>
      <x:c r="G103" s="9" t="n">
        <x:v>-1.8945955073030167</x:v>
      </x:c>
      <x:c r="H103" s="9" t="n">
        <x:v>-1.1548044699483193</x:v>
      </x:c>
      <x:c r="I103" s="9" t="n">
        <x:v>-8.2971048358501</x:v>
      </x:c>
      <x:c r="J103" s="2" t="n">
        <x:v>46</x:v>
      </x:c>
      <x:c r="K103" s="10" t="n">
        <x:v>1.0828919859435009e-10</x:v>
      </x:c>
      <x:c r="L103" s="10" t="n">
        <x:v>3.248675957830503e-10</x:v>
      </x:c>
      <x:c r="M103" s="10"/>
    </x:row>
    <x:row r="104" ht="24" customHeight="1">
      <x:c r="A104" s="2" t="str">
        <x:v>发布后共同3轮受限等待</x:v>
      </x:c>
      <x:c r="B104" s="2" t="str">
        <x:v>M3</x:v>
      </x:c>
      <x:c r="C104" s="2" t="str">
        <x:v>GC_c</x:v>
      </x:c>
      <x:c r="D104" s="2" t="n">
        <x:v>54</x:v>
      </x:c>
      <x:c r="E104" s="9" t="n">
        <x:v>-2.579551837344372</x:v>
      </x:c>
      <x:c r="F104" s="9" t="n">
        <x:v>0.289963952653281</x:v>
      </x:c>
      <x:c r="G104" s="9" t="n">
        <x:v>-3.1632190014854427</x:v>
      </x:c>
      <x:c r="H104" s="9" t="n">
        <x:v>-1.995884673203301</x:v>
      </x:c>
      <x:c r="I104" s="9" t="n">
        <x:v>-8.896112133044424</x:v>
      </x:c>
      <x:c r="J104" s="2" t="n">
        <x:v>46</x:v>
      </x:c>
      <x:c r="K104" s="10" t="n">
        <x:v>1.4650049162362844e-11</x:v>
      </x:c>
      <x:c r="L104" s="10" t="n">
        <x:v>5.860019664945138e-11</x:v>
      </x:c>
      <x:c r="M104" s="10"/>
    </x:row>
    <x:row r="105" ht="24" customHeight="1">
      <x:c r="A105" s="2" t="str">
        <x:v>发布后共同3轮受限等待</x:v>
      </x:c>
      <x:c r="B105" s="2" t="str">
        <x:v>M3</x:v>
      </x:c>
      <x:c r="C105" s="2" t="str">
        <x:v>DGC_c</x:v>
      </x:c>
      <x:c r="D105" s="2" t="n">
        <x:v>54</x:v>
      </x:c>
      <x:c r="E105" s="9" t="n">
        <x:v>0.11569940448197956</x:v>
      </x:c>
      <x:c r="F105" s="9" t="n">
        <x:v>0.3660788708740883</x:v>
      </x:c>
      <x:c r="G105" s="9" t="n">
        <x:v>-0.6211791435578665</x:v>
      </x:c>
      <x:c r="H105" s="9" t="n">
        <x:v>0.8525779525218257</x:v>
      </x:c>
      <x:c r="I105" s="9" t="n">
        <x:v>0.3160504844372021</x:v>
      </x:c>
      <x:c r="J105" s="2" t="n">
        <x:v>46</x:v>
      </x:c>
      <x:c r="K105" s="10" t="n">
        <x:v>0.7533938399088481</x:v>
      </x:c>
      <x:c r="L105" s="10" t="n">
        <x:v>0.7533938399088481</x:v>
      </x:c>
      <x:c r="M105" s="10"/>
    </x:row>
    <x:row r="106" ht="24" customHeight="1">
      <x:c r="A106" s="2" t="str">
        <x:v>发布后共同3轮受限等待</x:v>
      </x:c>
      <x:c r="B106" s="2" t="str">
        <x:v>M3</x:v>
      </x:c>
      <x:c r="C106" s="2" t="str">
        <x:v>DGC_c:RT_c</x:v>
      </x:c>
      <x:c r="D106" s="2" t="n">
        <x:v>54</x:v>
      </x:c>
      <x:c r="E106" s="9" t="n">
        <x:v>0.0655209081131671</x:v>
      </x:c>
      <x:c r="F106" s="9" t="n">
        <x:v>0.1311365221794815</x:v>
      </x:c>
      <x:c r="G106" s="9" t="n">
        <x:v>-0.19844322023951125</x:v>
      </x:c>
      <x:c r="H106" s="9" t="n">
        <x:v>0.3294850364658455</x:v>
      </x:c>
      <x:c r="I106" s="9" t="n">
        <x:v>0.49963890321485854</x:v>
      </x:c>
      <x:c r="J106" s="2" t="n">
        <x:v>46</x:v>
      </x:c>
      <x:c r="K106" s="10" t="n">
        <x:v>0.6197109460453578</x:v>
      </x:c>
      <x:c r="L106" s="10"/>
      <x:c r="M106" s="10"/>
    </x:row>
    <x:row r="107" ht="24" customHeight="1">
      <x:c r="A107" s="2" t="str">
        <x:v>发布后共同3轮受限等待</x:v>
      </x:c>
      <x:c r="B107" s="2" t="str">
        <x:v>M3</x:v>
      </x:c>
      <x:c r="C107" s="2" t="str">
        <x:v>DGC_c:TC_c</x:v>
      </x:c>
      <x:c r="D107" s="2" t="n">
        <x:v>54</x:v>
      </x:c>
      <x:c r="E107" s="9" t="n">
        <x:v>0.8631341555461338</x:v>
      </x:c>
      <x:c r="F107" s="9" t="n">
        <x:v>1.2202629029136276</x:v>
      </x:c>
      <x:c r="G107" s="9" t="n">
        <x:v>-1.5931276712533533</x:v>
      </x:c>
      <x:c r="H107" s="9" t="n">
        <x:v>3.319395982345621</x:v>
      </x:c>
      <x:c r="I107" s="9" t="n">
        <x:v>0.7073345862479505</x:v>
      </x:c>
      <x:c r="J107" s="2" t="n">
        <x:v>46</x:v>
      </x:c>
      <x:c r="K107" s="10" t="n">
        <x:v>0.48292687543388413</x:v>
      </x:c>
      <x:c r="L107" s="10"/>
      <x:c r="M107" s="10"/>
    </x:row>
    <x:row r="108" ht="24" customHeight="1">
      <x:c r="A108" s="2" t="str">
        <x:v>发布后共同3轮受限等待</x:v>
      </x:c>
      <x:c r="B108" s="2" t="str">
        <x:v>M3</x:v>
      </x:c>
      <x:c r="C108" s="2" t="str">
        <x:v>DGC_c:GC_c</x:v>
      </x:c>
      <x:c r="D108" s="2" t="n">
        <x:v>54</x:v>
      </x:c>
      <x:c r="E108" s="9" t="n">
        <x:v>-3.220449541761214</x:v>
      </x:c>
      <x:c r="F108" s="9" t="n">
        <x:v>1.9885013744116424</x:v>
      </x:c>
      <x:c r="G108" s="9" t="n">
        <x:v>-7.223095206759644</x:v>
      </x:c>
      <x:c r="H108" s="9" t="n">
        <x:v>0.7821961232372159</x:v>
      </x:c>
      <x:c r="I108" s="9" t="n">
        <x:v>-1.619535989867787</x:v>
      </x:c>
      <x:c r="J108" s="2" t="n">
        <x:v>46</x:v>
      </x:c>
      <x:c r="K108" s="10" t="n">
        <x:v>0.11216858932072547</x:v>
      </x:c>
      <x:c r="L108" s="10"/>
      <x:c r="M108" s="10"/>
    </x:row>
    <x:row r="112" ht="38" customHeight="1">
      <x:c r="A112" s="8" t="str">
        <x:v>TBU口径</x:v>
      </x:c>
      <x:c r="B112" s="8" t="str">
        <x:v>模型</x:v>
      </x:c>
      <x:c r="C112" s="8" t="str">
        <x:v>情景N</x:v>
      </x:c>
      <x:c r="D112" s="8" t="str">
        <x:v>参数数</x:v>
      </x:c>
      <x:c r="E112" s="8" t="str">
        <x:v>残差df</x:v>
      </x:c>
      <x:c r="F112" s="8" t="str">
        <x:v>R²</x:v>
      </x:c>
      <x:c r="G112" s="8" t="str">
        <x:v>调整R²</x:v>
      </x:c>
      <x:c r="H112" s="8" t="str">
        <x:v>Root MSE</x:v>
      </x:c>
      <x:c r="I112" s="8" t="str">
        <x:v>整体F</x:v>
      </x:c>
      <x:c r="J112" s="8" t="str">
        <x:v>分子df</x:v>
      </x:c>
      <x:c r="K112" s="8" t="str">
        <x:v>分母df</x:v>
      </x:c>
      <x:c r="L112" s="8" t="str">
        <x:v>整体p</x:v>
      </x:c>
    </x:row>
    <x:row r="113" ht="24" customHeight="1">
      <x:c r="A113" s="21" t="str">
        <x:v>POST：政府发布→转为不相信</x:v>
      </x:c>
      <x:c r="B113" s="21" t="str">
        <x:v>M1</x:v>
      </x:c>
      <x:c r="C113" s="21" t="n">
        <x:v>54</x:v>
      </x:c>
      <x:c r="D113" s="21" t="n">
        <x:v>4</x:v>
      </x:c>
      <x:c r="E113" s="21" t="n">
        <x:v>50</x:v>
      </x:c>
      <x:c r="F113" s="22" t="n">
        <x:v>0.5260715049161837</x:v>
      </x:c>
      <x:c r="G113" s="22" t="n">
        <x:v>0.49763579521115475</x:v>
      </x:c>
      <x:c r="H113" s="22" t="n">
        <x:v>0.7400692132732428</x:v>
      </x:c>
      <x:c r="I113" s="22" t="n">
        <x:v>15.085709957055991</x:v>
      </x:c>
      <x:c r="J113" s="21" t="n">
        <x:v>3</x:v>
      </x:c>
      <x:c r="K113" s="21" t="n">
        <x:v>50</x:v>
      </x:c>
      <x:c r="L113" s="23" t="n">
        <x:v>4.0459175101364263e-7</x:v>
      </x:c>
    </x:row>
    <x:row r="114" ht="24" customHeight="1">
      <x:c r="A114" s="21" t="str">
        <x:v>POST：政府发布→转为不相信</x:v>
      </x:c>
      <x:c r="B114" s="21" t="str">
        <x:v>M2</x:v>
      </x:c>
      <x:c r="C114" s="21" t="n">
        <x:v>54</x:v>
      </x:c>
      <x:c r="D114" s="21" t="n">
        <x:v>5</x:v>
      </x:c>
      <x:c r="E114" s="21" t="n">
        <x:v>49</x:v>
      </x:c>
      <x:c r="F114" s="22" t="n">
        <x:v>0.5264151207785257</x:v>
      </x:c>
      <x:c r="G114" s="22" t="n">
        <x:v>0.48775513063799714</x:v>
      </x:c>
      <x:c r="H114" s="22" t="n">
        <x:v>0.7473117370638761</x:v>
      </x:c>
      <x:c r="I114" s="22" t="n">
        <x:v>10.80983601885179</x:v>
      </x:c>
      <x:c r="J114" s="21" t="n">
        <x:v>4</x:v>
      </x:c>
      <x:c r="K114" s="21" t="n">
        <x:v>49</x:v>
      </x:c>
      <x:c r="L114" s="23" t="n">
        <x:v>0.0000023213658923387266</x:v>
      </x:c>
    </x:row>
    <x:row r="115" ht="24" customHeight="1">
      <x:c r="A115" s="21" t="str">
        <x:v>POST：政府发布→转为不相信</x:v>
      </x:c>
      <x:c r="B115" s="21" t="str">
        <x:v>M3</x:v>
      </x:c>
      <x:c r="C115" s="21" t="n">
        <x:v>54</x:v>
      </x:c>
      <x:c r="D115" s="21" t="n">
        <x:v>8</x:v>
      </x:c>
      <x:c r="E115" s="21" t="n">
        <x:v>46</x:v>
      </x:c>
      <x:c r="F115" s="22" t="n">
        <x:v>0.5805904979097112</x:v>
      </x:c>
      <x:c r="G115" s="22" t="n">
        <x:v>0.5167673128090151</x:v>
      </x:c>
      <x:c r="H115" s="22" t="n">
        <x:v>0.7258404152916031</x:v>
      </x:c>
      <x:c r="I115" s="22" t="n">
        <x:v>6.513503534258768</x:v>
      </x:c>
      <x:c r="J115" s="21" t="n">
        <x:v>7</x:v>
      </x:c>
      <x:c r="K115" s="21" t="n">
        <x:v>46</x:v>
      </x:c>
      <x:c r="L115" s="23" t="n">
        <x:v>0.00002349374697789479</x:v>
      </x:c>
    </x:row>
    <x:row r="116" ht="24" customHeight="1">
      <x:c r="A116" s="21" t="str">
        <x:v>FB：首次相信→辟谣后转为不相信</x:v>
      </x:c>
      <x:c r="B116" s="21" t="str">
        <x:v>M1</x:v>
      </x:c>
      <x:c r="C116" s="21" t="n">
        <x:v>54</x:v>
      </x:c>
      <x:c r="D116" s="21" t="n">
        <x:v>4</x:v>
      </x:c>
      <x:c r="E116" s="21" t="n">
        <x:v>50</x:v>
      </x:c>
      <x:c r="F116" s="22" t="n">
        <x:v>0.8786404819727734</x:v>
      </x:c>
      <x:c r="G116" s="22" t="n">
        <x:v>0.8713589108911398</x:v>
      </x:c>
      <x:c r="H116" s="22" t="n">
        <x:v>0.662240352576334</x:v>
      </x:c>
      <x:c r="I116" s="22" t="n">
        <x:v>92.5973977914348</x:v>
      </x:c>
      <x:c r="J116" s="21" t="n">
        <x:v>3</x:v>
      </x:c>
      <x:c r="K116" s="21" t="n">
        <x:v>50</x:v>
      </x:c>
      <x:c r="L116" s="23" t="n">
        <x:v>2.030931527257503e-20</x:v>
      </x:c>
    </x:row>
    <x:row r="117" ht="24" customHeight="1">
      <x:c r="A117" s="21" t="str">
        <x:v>FB：首次相信→辟谣后转为不相信</x:v>
      </x:c>
      <x:c r="B117" s="21" t="str">
        <x:v>M2</x:v>
      </x:c>
      <x:c r="C117" s="21" t="n">
        <x:v>54</x:v>
      </x:c>
      <x:c r="D117" s="21" t="n">
        <x:v>5</x:v>
      </x:c>
      <x:c r="E117" s="21" t="n">
        <x:v>49</x:v>
      </x:c>
      <x:c r="F117" s="22" t="n">
        <x:v>0.8867247835941952</x:v>
      </x:c>
      <x:c r="G117" s="22" t="n">
        <x:v>0.8774778271529049</x:v>
      </x:c>
      <x:c r="H117" s="22" t="n">
        <x:v>0.6462984750489266</x:v>
      </x:c>
      <x:c r="I117" s="22" t="n">
        <x:v>76.98576224080053</x:v>
      </x:c>
      <x:c r="J117" s="21" t="n">
        <x:v>4</x:v>
      </x:c>
      <x:c r="K117" s="21" t="n">
        <x:v>49</x:v>
      </x:c>
      <x:c r="L117" s="23" t="n">
        <x:v>1.6452937187689996e-20</x:v>
      </x:c>
    </x:row>
    <x:row r="118" ht="24" customHeight="1">
      <x:c r="A118" s="21" t="str">
        <x:v>FB：首次相信→辟谣后转为不相信</x:v>
      </x:c>
      <x:c r="B118" s="21" t="str">
        <x:v>M3</x:v>
      </x:c>
      <x:c r="C118" s="21" t="n">
        <x:v>54</x:v>
      </x:c>
      <x:c r="D118" s="21" t="n">
        <x:v>8</x:v>
      </x:c>
      <x:c r="E118" s="21" t="n">
        <x:v>46</x:v>
      </x:c>
      <x:c r="F118" s="22" t="n">
        <x:v>0.8941190015402142</x:v>
      </x:c>
      <x:c r="G118" s="22" t="n">
        <x:v>0.8780066756876381</x:v>
      </x:c>
      <x:c r="H118" s="22" t="n">
        <x:v>0.644902141563626</x:v>
      </x:c>
      <x:c r="I118" s="22" t="n">
        <x:v>42.69178278118881</x:v>
      </x:c>
      <x:c r="J118" s="21" t="n">
        <x:v>7</x:v>
      </x:c>
      <x:c r="K118" s="21" t="n">
        <x:v>46</x:v>
      </x:c>
      <x:c r="L118" s="23" t="n">
        <x:v>4.9164570431972314e-18</x:v>
      </x:c>
    </x:row>
    <x:row r="119" ht="24" customHeight="1">
      <x:c r="A119" s="21" t="str">
        <x:v>POST 严格排除发布当轮</x:v>
      </x:c>
      <x:c r="B119" s="21" t="str">
        <x:v>M1</x:v>
      </x:c>
      <x:c r="C119" s="21" t="n">
        <x:v>52</x:v>
      </x:c>
      <x:c r="D119" s="21" t="n">
        <x:v>4</x:v>
      </x:c>
      <x:c r="E119" s="21" t="n">
        <x:v>48</x:v>
      </x:c>
      <x:c r="F119" s="22" t="n">
        <x:v>0.5587296299010804</x:v>
      </x:c>
      <x:c r="G119" s="22" t="n">
        <x:v>0.531150231769898</x:v>
      </x:c>
      <x:c r="H119" s="22" t="n">
        <x:v>0.6244275573769004</x:v>
      </x:c>
      <x:c r="I119" s="22" t="n">
        <x:v>20.846874345089613</x:v>
      </x:c>
      <x:c r="J119" s="21" t="n">
        <x:v>3</x:v>
      </x:c>
      <x:c r="K119" s="21" t="n">
        <x:v>48</x:v>
      </x:c>
      <x:c r="L119" s="23" t="n">
        <x:v>8.65686263581222e-9</x:v>
      </x:c>
    </x:row>
    <x:row r="120" ht="24" customHeight="1">
      <x:c r="A120" s="21" t="str">
        <x:v>POST 严格排除发布当轮</x:v>
      </x:c>
      <x:c r="B120" s="21" t="str">
        <x:v>M2</x:v>
      </x:c>
      <x:c r="C120" s="21" t="n">
        <x:v>52</x:v>
      </x:c>
      <x:c r="D120" s="21" t="n">
        <x:v>5</x:v>
      </x:c>
      <x:c r="E120" s="21" t="n">
        <x:v>47</x:v>
      </x:c>
      <x:c r="F120" s="22" t="n">
        <x:v>0.5966721798350447</x:v>
      </x:c>
      <x:c r="G120" s="22" t="n">
        <x:v>0.5623464079061125</x:v>
      </x:c>
      <x:c r="H120" s="22" t="n">
        <x:v>0.6032960155447136</x:v>
      </x:c>
      <x:c r="I120" s="22" t="n">
        <x:v>15.072825007011168</x:v>
      </x:c>
      <x:c r="J120" s="21" t="n">
        <x:v>4</x:v>
      </x:c>
      <x:c r="K120" s="21" t="n">
        <x:v>47</x:v>
      </x:c>
      <x:c r="L120" s="23" t="n">
        <x:v>5.3517176096451786e-8</x:v>
      </x:c>
    </x:row>
    <x:row r="121" ht="24" customHeight="1">
      <x:c r="A121" s="21" t="str">
        <x:v>POST 严格排除发布当轮</x:v>
      </x:c>
      <x:c r="B121" s="21" t="str">
        <x:v>M3</x:v>
      </x:c>
      <x:c r="C121" s="21" t="n">
        <x:v>52</x:v>
      </x:c>
      <x:c r="D121" s="21" t="n">
        <x:v>8</x:v>
      </x:c>
      <x:c r="E121" s="21" t="n">
        <x:v>44</x:v>
      </x:c>
      <x:c r="F121" s="22" t="n">
        <x:v>0.6470540365517894</x:v>
      </x:c>
      <x:c r="G121" s="22" t="n">
        <x:v>0.5909035423668467</x:v>
      </x:c>
      <x:c r="H121" s="22" t="n">
        <x:v>0.5832813197089282</x:v>
      </x:c>
      <x:c r="I121" s="22" t="n">
        <x:v>9.18079341583766</x:v>
      </x:c>
      <x:c r="J121" s="21" t="n">
        <x:v>7</x:v>
      </x:c>
      <x:c r="K121" s="21" t="n">
        <x:v>44</x:v>
      </x:c>
      <x:c r="L121" s="23" t="n">
        <x:v>6.032956543343144e-7</x:v>
      </x:c>
    </x:row>
    <x:row r="122" ht="24" customHeight="1">
      <x:c r="A122" s="21" t="str">
        <x:v>FB 严格排除发布当轮</x:v>
      </x:c>
      <x:c r="B122" s="21" t="str">
        <x:v>M1</x:v>
      </x:c>
      <x:c r="C122" s="21" t="n">
        <x:v>52</x:v>
      </x:c>
      <x:c r="D122" s="21" t="n">
        <x:v>4</x:v>
      </x:c>
      <x:c r="E122" s="21" t="n">
        <x:v>48</x:v>
      </x:c>
      <x:c r="F122" s="22" t="n">
        <x:v>0.8792613185459821</x:v>
      </x:c>
      <x:c r="G122" s="22" t="n">
        <x:v>0.871715150955106</x:v>
      </x:c>
      <x:c r="H122" s="22" t="n">
        <x:v>0.6660547103678158</x:v>
      </x:c>
      <x:c r="I122" s="22" t="n">
        <x:v>121.36402274209024</x:v>
      </x:c>
      <x:c r="J122" s="21" t="n">
        <x:v>3</x:v>
      </x:c>
      <x:c r="K122" s="21" t="n">
        <x:v>48</x:v>
      </x:c>
      <x:c r="L122" s="23" t="n">
        <x:v>2.0579295498934623e-22</x:v>
      </x:c>
    </x:row>
    <x:row r="123" ht="24" customHeight="1">
      <x:c r="A123" s="21" t="str">
        <x:v>FB 严格排除发布当轮</x:v>
      </x:c>
      <x:c r="B123" s="21" t="str">
        <x:v>M2</x:v>
      </x:c>
      <x:c r="C123" s="21" t="n">
        <x:v>52</x:v>
      </x:c>
      <x:c r="D123" s="21" t="n">
        <x:v>5</x:v>
      </x:c>
      <x:c r="E123" s="21" t="n">
        <x:v>47</x:v>
      </x:c>
      <x:c r="F123" s="22" t="n">
        <x:v>0.8794134775019825</x:v>
      </x:c>
      <x:c r="G123" s="22" t="n">
        <x:v>0.8691507947361938</x:v>
      </x:c>
      <x:c r="H123" s="22" t="n">
        <x:v>0.6726788373247741</x:v>
      </x:c>
      <x:c r="I123" s="22" t="n">
        <x:v>89.61726308164928</x:v>
      </x:c>
      <x:c r="J123" s="21" t="n">
        <x:v>4</x:v>
      </x:c>
      <x:c r="K123" s="21" t="n">
        <x:v>47</x:v>
      </x:c>
      <x:c r="L123" s="23" t="n">
        <x:v>2.2144782732149298e-21</x:v>
      </x:c>
    </x:row>
    <x:row r="124" ht="24" customHeight="1">
      <x:c r="A124" s="21" t="str">
        <x:v>FB 严格排除发布当轮</x:v>
      </x:c>
      <x:c r="B124" s="21" t="str">
        <x:v>M3</x:v>
      </x:c>
      <x:c r="C124" s="21" t="n">
        <x:v>52</x:v>
      </x:c>
      <x:c r="D124" s="21" t="n">
        <x:v>8</x:v>
      </x:c>
      <x:c r="E124" s="21" t="n">
        <x:v>44</x:v>
      </x:c>
      <x:c r="F124" s="22" t="n">
        <x:v>0.8854206186402743</x:v>
      </x:c>
      <x:c r="G124" s="22" t="n">
        <x:v>0.8671920806966816</x:v>
      </x:c>
      <x:c r="H124" s="22" t="n">
        <x:v>0.6776948831928135</x:v>
      </x:c>
      <x:c r="I124" s="22" t="n">
        <x:v>50.986995104424764</x:v>
      </x:c>
      <x:c r="J124" s="21" t="n">
        <x:v>7</x:v>
      </x:c>
      <x:c r="K124" s="21" t="n">
        <x:v>44</x:v>
      </x:c>
      <x:c r="L124" s="23" t="n">
        <x:v>4.849735216056604e-19</x:v>
      </x:c>
    </x:row>
    <x:row r="125" ht="24" customHeight="1">
      <x:c r="A125" s="21" t="str">
        <x:v>初始相信队列9轮受限历时</x:v>
      </x:c>
      <x:c r="B125" s="21" t="str">
        <x:v>M1</x:v>
      </x:c>
      <x:c r="C125" s="21" t="n">
        <x:v>54</x:v>
      </x:c>
      <x:c r="D125" s="21" t="n">
        <x:v>4</x:v>
      </x:c>
      <x:c r="E125" s="21" t="n">
        <x:v>50</x:v>
      </x:c>
      <x:c r="F125" s="22" t="n">
        <x:v>0.8814158771653601</x:v>
      </x:c>
      <x:c r="G125" s="22" t="n">
        <x:v>0.8743008297952817</x:v>
      </x:c>
      <x:c r="H125" s="22" t="n">
        <x:v>0.7924190675762877</x:v>
      </x:c>
      <x:c r="I125" s="22" t="n">
        <x:v>146.35513800098613</x:v>
      </x:c>
      <x:c r="J125" s="21" t="n">
        <x:v>3</x:v>
      </x:c>
      <x:c r="K125" s="21" t="n">
        <x:v>50</x:v>
      </x:c>
      <x:c r="L125" s="23" t="n">
        <x:v>9.450601155161747e-25</x:v>
      </x:c>
    </x:row>
    <x:row r="126" ht="24" customHeight="1">
      <x:c r="A126" s="21" t="str">
        <x:v>初始相信队列9轮受限历时</x:v>
      </x:c>
      <x:c r="B126" s="21" t="str">
        <x:v>M2</x:v>
      </x:c>
      <x:c r="C126" s="21" t="n">
        <x:v>54</x:v>
      </x:c>
      <x:c r="D126" s="21" t="n">
        <x:v>5</x:v>
      </x:c>
      <x:c r="E126" s="21" t="n">
        <x:v>49</x:v>
      </x:c>
      <x:c r="F126" s="22" t="n">
        <x:v>0.8815218680582314</x:v>
      </x:c>
      <x:c r="G126" s="22" t="n">
        <x:v>0.871850183818087</x:v>
      </x:c>
      <x:c r="H126" s="22" t="n">
        <x:v>0.8001063287071626</x:v>
      </x:c>
      <x:c r="I126" s="22" t="n">
        <x:v>110.15119549326023</x:v>
      </x:c>
      <x:c r="J126" s="21" t="n">
        <x:v>4</x:v>
      </x:c>
      <x:c r="K126" s="21" t="n">
        <x:v>49</x:v>
      </x:c>
      <x:c r="L126" s="23" t="n">
        <x:v>7.433942182140062e-24</x:v>
      </x:c>
    </x:row>
    <x:row r="127" ht="24" customHeight="1">
      <x:c r="A127" s="21" t="str">
        <x:v>初始相信队列9轮受限历时</x:v>
      </x:c>
      <x:c r="B127" s="21" t="str">
        <x:v>M3</x:v>
      </x:c>
      <x:c r="C127" s="21" t="n">
        <x:v>54</x:v>
      </x:c>
      <x:c r="D127" s="21" t="n">
        <x:v>8</x:v>
      </x:c>
      <x:c r="E127" s="21" t="n">
        <x:v>46</x:v>
      </x:c>
      <x:c r="F127" s="22" t="n">
        <x:v>0.9017073349663502</x:v>
      </x:c>
      <x:c r="G127" s="22" t="n">
        <x:v>0.8867497555047079</x:v>
      </x:c>
      <x:c r="H127" s="22" t="n">
        <x:v>0.7521566264709961</x:v>
      </x:c>
      <x:c r="I127" s="22" t="n">
        <x:v>60.29013824613004</x:v>
      </x:c>
      <x:c r="J127" s="21" t="n">
        <x:v>7</x:v>
      </x:c>
      <x:c r="K127" s="21" t="n">
        <x:v>46</x:v>
      </x:c>
      <x:c r="L127" s="23" t="n">
        <x:v>4.8050494114560764e-21</x:v>
      </x:c>
    </x:row>
    <x:row r="128" ht="24" customHeight="1">
      <x:c r="A128" s="21" t="str">
        <x:v>发布后共同3轮受限等待</x:v>
      </x:c>
      <x:c r="B128" s="21" t="str">
        <x:v>M1</x:v>
      </x:c>
      <x:c r="C128" s="21" t="n">
        <x:v>54</x:v>
      </x:c>
      <x:c r="D128" s="21" t="n">
        <x:v>4</x:v>
      </x:c>
      <x:c r="E128" s="21" t="n">
        <x:v>50</x:v>
      </x:c>
      <x:c r="F128" s="22" t="n">
        <x:v>0.7878286444182496</x:v>
      </x:c>
      <x:c r="G128" s="22" t="n">
        <x:v>0.7750983630833446</x:v>
      </x:c>
      <x:c r="H128" s="22" t="n">
        <x:v>0.37771979123624577</x:v>
      </x:c>
      <x:c r="I128" s="22" t="n">
        <x:v>106.15498102745134</x:v>
      </x:c>
      <x:c r="J128" s="21" t="n">
        <x:v>3</x:v>
      </x:c>
      <x:c r="K128" s="21" t="n">
        <x:v>50</x:v>
      </x:c>
      <x:c r="L128" s="23" t="n">
        <x:v>1.1011282662574258e-21</x:v>
      </x:c>
    </x:row>
    <x:row r="129" ht="24" customHeight="1">
      <x:c r="A129" s="21" t="str">
        <x:v>发布后共同3轮受限等待</x:v>
      </x:c>
      <x:c r="B129" s="21" t="str">
        <x:v>M2</x:v>
      </x:c>
      <x:c r="C129" s="21" t="n">
        <x:v>54</x:v>
      </x:c>
      <x:c r="D129" s="21" t="n">
        <x:v>5</x:v>
      </x:c>
      <x:c r="E129" s="21" t="n">
        <x:v>49</x:v>
      </x:c>
      <x:c r="F129" s="22" t="n">
        <x:v>0.7884019709026038</x:v>
      </x:c>
      <x:c r="G129" s="22" t="n">
        <x:v>0.7711286624048571</x:v>
      </x:c>
      <x:c r="H129" s="22" t="n">
        <x:v>0.38103874374258057</x:v>
      </x:c>
      <x:c r="I129" s="22" t="n">
        <x:v>91.19144157011483</x:v>
      </x:c>
      <x:c r="J129" s="21" t="n">
        <x:v>4</x:v>
      </x:c>
      <x:c r="K129" s="21" t="n">
        <x:v>49</x:v>
      </x:c>
      <x:c r="L129" s="23" t="n">
        <x:v>4.501931504182445e-22</x:v>
      </x:c>
    </x:row>
    <x:row r="130" ht="24" customHeight="1">
      <x:c r="A130" s="21" t="str">
        <x:v>发布后共同3轮受限等待</x:v>
      </x:c>
      <x:c r="B130" s="21" t="str">
        <x:v>M3</x:v>
      </x:c>
      <x:c r="C130" s="21" t="n">
        <x:v>54</x:v>
      </x:c>
      <x:c r="D130" s="21" t="n">
        <x:v>8</x:v>
      </x:c>
      <x:c r="E130" s="21" t="n">
        <x:v>46</x:v>
      </x:c>
      <x:c r="F130" s="22" t="n">
        <x:v>0.8105580755843327</x:v>
      </x:c>
      <x:c r="G130" s="22" t="n">
        <x:v>0.7817299566515137</x:v>
      </x:c>
      <x:c r="H130" s="22" t="n">
        <x:v>0.37210927926416043</x:v>
      </x:c>
      <x:c r="I130" s="22" t="n">
        <x:v>94.44075099083867</x:v>
      </x:c>
      <x:c r="J130" s="21" t="n">
        <x:v>7</x:v>
      </x:c>
      <x:c r="K130" s="21" t="n">
        <x:v>46</x:v>
      </x:c>
      <x:c r="L130" s="23" t="n">
        <x:v>3.9597412952935026e-25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5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19" hidden="0" customWidth="1"/>
    <x:col min="9" max="9" width="25" hidden="0" customWidth="1"/>
    <x:col min="10" max="10" width="24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9" hidden="0" customWidth="1"/>
    <x:col min="17" max="17" width="23" hidden="0" customWidth="1"/>
    <x:col min="18" max="18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1" customHeight="1">
      <x:c r="A2" s="3" t="str">
        <x:v>54情景双口径TBU及核算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4" t="str">
        <x:v>计数和均值链接用户明细；严格旧版无事件的两个情景仍留空。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8" customHeight="1">
      <x:c r="A6" s="8" t="str">
        <x:v>情景ID</x:v>
      </x:c>
      <x:c r="B6" s="8" t="str">
        <x:v>RT</x:v>
      </x:c>
      <x:c r="C6" s="8" t="str">
        <x:v>TC</x:v>
      </x:c>
      <x:c r="D6" s="8" t="str">
        <x:v>GC</x:v>
      </x:c>
      <x:c r="E6" s="8" t="str">
        <x:v>DGC</x:v>
      </x:c>
      <x:c r="F6" s="8" t="str">
        <x:v>曾相信人数</x:v>
      </x:c>
      <x:c r="G6" s="8" t="str">
        <x:v>合格转变数</x:v>
      </x:c>
      <x:c r="H6" s="8" t="str">
        <x:v>严格发布后数</x:v>
      </x:c>
      <x:c r="I6" s="8" t="str">
        <x:v>首次片段未转变数</x:v>
      </x:c>
      <x:c r="J6" s="8" t="str">
        <x:v>发布前已转变数</x:v>
      </x:c>
      <x:c r="K6" s="8" t="str">
        <x:v>POST TBU 轮</x:v>
      </x:c>
      <x:c r="L6" s="8" t="str">
        <x:v>FB TBU 轮</x:v>
      </x:c>
      <x:c r="M6" s="8" t="str">
        <x:v>FB减POST 轮</x:v>
      </x:c>
      <x:c r="N6" s="8" t="str">
        <x:v>严格POST 轮</x:v>
      </x:c>
      <x:c r="O6" s="8" t="str">
        <x:v>严格FB 轮</x:v>
      </x:c>
      <x:c r="P6" s="8" t="str">
        <x:v>合格者平均首次相信轮</x:v>
      </x:c>
      <x:c r="Q6" s="8" t="str">
        <x:v>初始队列RBD9</x:v>
      </x:c>
      <x:c r="R6" s="8" t="str">
        <x:v>发布后PRUD3</x:v>
      </x:c>
    </x:row>
    <x:row r="7" ht="24" customHeight="1">
      <x:c r="A7" s="2" t="str">
        <x:v>D000_T02_C020_G025</x:v>
      </x:c>
      <x:c r="B7" s="2" t="n">
        <x:v>2</x:v>
      </x:c>
      <x:c r="C7" s="20" t="n">
        <x:v>0.2</x:v>
      </x:c>
      <x:c r="D7" s="20" t="n">
        <x:v>0.25</x:v>
      </x:c>
      <x:c r="E7" s="20" t="n">
        <x:v>0</x:v>
      </x:c>
      <x:c r="F7" s="2" t="n">
        <x:f>COUNTIFS('用户明细'!$A$7:$A$986,A7)</x:f>
        <x:v>7</x:v>
      </x:c>
      <x:c r="G7" s="2" t="n">
        <x:f>COUNTIFS('用户明细'!$A$7:$A$986,A7,'用户明细'!$H$7:$H$986,1)</x:f>
        <x:v>6</x:v>
      </x:c>
      <x:c r="H7" s="2" t="n">
        <x:f>COUNTIFS('用户明细'!$A$7:$A$986,A7,'用户明细'!$I$7:$I$986,1)</x:f>
        <x:v>6</x:v>
      </x:c>
      <x:c r="I7" s="2" t="n">
        <x:f>COUNTIFS('用户明细'!$A$7:$A$986,A7,'用户明细'!$G$7:$G$986,"right_censored")</x:f>
        <x:v>1</x:v>
      </x:c>
      <x:c r="J7" s="2" t="n">
        <x:f>COUNTIFS('用户明细'!$A$7:$A$986,A7,'用户明细'!$G$7:$G$986,"resolved_before_release")</x:f>
        <x:v>0</x:v>
      </x:c>
      <x:c r="K7" s="9" t="n">
        <x:f>IF(G7=0,"",SUMIFS('用户明细'!$J$7:$J$986,'用户明细'!$A$7:$A$986,A7)/G7)</x:f>
        <x:v>4.333333333333333</x:v>
      </x:c>
      <x:c r="L7" s="9" t="n">
        <x:f>IF(G7=0,"",SUMIFS('用户明细'!$K$7:$K$986,'用户明细'!$A$7:$A$986,A7)/G7)</x:f>
        <x:v>4.333333333333333</x:v>
      </x:c>
      <x:c r="M7" s="9" t="n">
        <x:f>IF(G7=0,"",L7-K7)</x:f>
        <x:v>0</x:v>
      </x:c>
      <x:c r="N7" s="9" t="n">
        <x:f>IF(H7=0,"",SUMIFS('用户明细'!$J$7:$J$986,'用户明细'!$A$7:$A$986,A7,'用户明细'!$I$7:$I$986,1)/H7)</x:f>
        <x:v>4.333333333333333</x:v>
      </x:c>
      <x:c r="O7" s="9" t="n">
        <x:f>IF(H7=0,"",SUMIFS('用户明细'!$K$7:$K$986,'用户明细'!$A$7:$A$986,A7,'用户明细'!$I$7:$I$986,1)/H7)</x:f>
        <x:v>4.333333333333333</x:v>
      </x:c>
      <x:c r="P7" s="9" t="n">
        <x:v>2</x:v>
      </x:c>
      <x:c r="Q7" s="9" t="n">
        <x:v>5.5</x:v>
      </x:c>
      <x:c r="R7" s="9" t="n">
        <x:v>3</x:v>
      </x:c>
    </x:row>
    <x:row r="8" ht="24" customHeight="1">
      <x:c r="A8" s="2" t="str">
        <x:v>D000_T02_C020_G050</x:v>
      </x:c>
      <x:c r="B8" s="2" t="n">
        <x:v>2</x:v>
      </x:c>
      <x:c r="C8" s="20" t="n">
        <x:v>0.2</x:v>
      </x:c>
      <x:c r="D8" s="20" t="n">
        <x:v>0.5</x:v>
      </x:c>
      <x:c r="E8" s="20" t="n">
        <x:v>0</x:v>
      </x:c>
      <x:c r="F8" s="2" t="n">
        <x:f>COUNTIFS('用户明细'!$A$7:$A$986,A8)</x:f>
        <x:v>7</x:v>
      </x:c>
      <x:c r="G8" s="2" t="n">
        <x:f>COUNTIFS('用户明细'!$A$7:$A$986,A8,'用户明细'!$H$7:$H$986,1)</x:f>
        <x:v>7</x:v>
      </x:c>
      <x:c r="H8" s="2" t="n">
        <x:f>COUNTIFS('用户明细'!$A$7:$A$986,A8,'用户明细'!$I$7:$I$986,1)</x:f>
        <x:v>5</x:v>
      </x:c>
      <x:c r="I8" s="2" t="n">
        <x:f>COUNTIFS('用户明细'!$A$7:$A$986,A8,'用户明细'!$G$7:$G$986,"right_censored")</x:f>
        <x:v>0</x:v>
      </x:c>
      <x:c r="J8" s="2" t="n">
        <x:f>COUNTIFS('用户明细'!$A$7:$A$986,A8,'用户明细'!$G$7:$G$986,"resolved_before_release")</x:f>
        <x:v>0</x:v>
      </x:c>
      <x:c r="K8" s="9" t="n">
        <x:f>IF(G8=0,"",SUMIFS('用户明细'!$J$7:$J$986,'用户明细'!$A$7:$A$986,A8)/G8)</x:f>
        <x:v>3.142857142857143</x:v>
      </x:c>
      <x:c r="L8" s="9" t="n">
        <x:f>IF(G8=0,"",SUMIFS('用户明细'!$K$7:$K$986,'用户明细'!$A$7:$A$986,A8)/G8)</x:f>
        <x:v>4.142857142857143</x:v>
      </x:c>
      <x:c r="M8" s="9" t="n">
        <x:f>IF(G8=0,"",L8-K8)</x:f>
        <x:v>1.0000000000000004</x:v>
      </x:c>
      <x:c r="N8" s="9" t="n">
        <x:f>IF(H8=0,"",SUMIFS('用户明细'!$J$7:$J$986,'用户明细'!$A$7:$A$986,A8,'用户明细'!$I$7:$I$986,1)/H8)</x:f>
        <x:v>4.4</x:v>
      </x:c>
      <x:c r="O8" s="9" t="n">
        <x:f>IF(H8=0,"",SUMIFS('用户明细'!$K$7:$K$986,'用户明细'!$A$7:$A$986,A8,'用户明细'!$I$7:$I$986,1)/H8)</x:f>
        <x:v>5.4</x:v>
      </x:c>
      <x:c r="P8" s="9" t="n">
        <x:v>1</x:v>
      </x:c>
      <x:c r="Q8" s="9" t="n">
        <x:v>4.142857142857143</x:v>
      </x:c>
      <x:c r="R8" s="9" t="n">
        <x:v>1.7142857142857142</x:v>
      </x:c>
    </x:row>
    <x:row r="9" ht="24" customHeight="1">
      <x:c r="A9" s="2" t="str">
        <x:v>D000_T02_C020_G075</x:v>
      </x:c>
      <x:c r="B9" s="2" t="n">
        <x:v>2</x:v>
      </x:c>
      <x:c r="C9" s="20" t="n">
        <x:v>0.2</x:v>
      </x:c>
      <x:c r="D9" s="20" t="n">
        <x:v>0.75</x:v>
      </x:c>
      <x:c r="E9" s="20" t="n">
        <x:v>0</x:v>
      </x:c>
      <x:c r="F9" s="2" t="n">
        <x:f>COUNTIFS('用户明细'!$A$7:$A$986,A9)</x:f>
        <x:v>4</x:v>
      </x:c>
      <x:c r="G9" s="2" t="n">
        <x:f>COUNTIFS('用户明细'!$A$7:$A$986,A9,'用户明细'!$H$7:$H$986,1)</x:f>
        <x:v>4</x:v>
      </x:c>
      <x:c r="H9" s="2" t="n">
        <x:f>COUNTIFS('用户明细'!$A$7:$A$986,A9,'用户明细'!$I$7:$I$986,1)</x:f>
        <x:v>3</x:v>
      </x:c>
      <x:c r="I9" s="2" t="n">
        <x:f>COUNTIFS('用户明细'!$A$7:$A$986,A9,'用户明细'!$G$7:$G$986,"right_censored")</x:f>
        <x:v>0</x:v>
      </x:c>
      <x:c r="J9" s="2" t="n">
        <x:f>COUNTIFS('用户明细'!$A$7:$A$986,A9,'用户明细'!$G$7:$G$986,"resolved_before_release")</x:f>
        <x:v>0</x:v>
      </x:c>
      <x:c r="K9" s="9" t="n">
        <x:f>IF(G9=0,"",SUMIFS('用户明细'!$J$7:$J$986,'用户明细'!$A$7:$A$986,A9)/G9)</x:f>
        <x:v>1.75</x:v>
      </x:c>
      <x:c r="L9" s="9" t="n">
        <x:f>IF(G9=0,"",SUMIFS('用户明细'!$K$7:$K$986,'用户明细'!$A$7:$A$986,A9)/G9)</x:f>
        <x:v>2.25</x:v>
      </x:c>
      <x:c r="M9" s="9" t="n">
        <x:f>IF(G9=0,"",L9-K9)</x:f>
        <x:v>0.5</x:v>
      </x:c>
      <x:c r="N9" s="9" t="n">
        <x:f>IF(H9=0,"",SUMIFS('用户明细'!$J$7:$J$986,'用户明细'!$A$7:$A$986,A9,'用户明细'!$I$7:$I$986,1)/H9)</x:f>
        <x:v>2.3333333333333335</x:v>
      </x:c>
      <x:c r="O9" s="9" t="n">
        <x:f>IF(H9=0,"",SUMIFS('用户明细'!$K$7:$K$986,'用户明细'!$A$7:$A$986,A9,'用户明细'!$I$7:$I$986,1)/H9)</x:f>
        <x:v>2.6666666666666665</x:v>
      </x:c>
      <x:c r="P9" s="9" t="n">
        <x:v>1.5</x:v>
      </x:c>
      <x:c r="Q9" s="9" t="n">
        <x:v>2.333333333333333</x:v>
      </x:c>
      <x:c r="R9" s="9" t="n">
        <x:v>1.3333333333333333</x:v>
      </x:c>
    </x:row>
    <x:row r="10" ht="24" customHeight="1">
      <x:c r="A10" s="2" t="str">
        <x:v>D000_T02_C080_G025</x:v>
      </x:c>
      <x:c r="B10" s="2" t="n">
        <x:v>2</x:v>
      </x:c>
      <x:c r="C10" s="20" t="n">
        <x:v>0.8</x:v>
      </x:c>
      <x:c r="D10" s="20" t="n">
        <x:v>0.25</x:v>
      </x:c>
      <x:c r="E10" s="20" t="n">
        <x:v>0</x:v>
      </x:c>
      <x:c r="F10" s="2" t="n">
        <x:f>COUNTIFS('用户明细'!$A$7:$A$986,A10)</x:f>
        <x:v>4</x:v>
      </x:c>
      <x:c r="G10" s="2" t="n">
        <x:f>COUNTIFS('用户明细'!$A$7:$A$986,A10,'用户明细'!$H$7:$H$986,1)</x:f>
        <x:v>3</x:v>
      </x:c>
      <x:c r="H10" s="2" t="n">
        <x:f>COUNTIFS('用户明细'!$A$7:$A$986,A10,'用户明细'!$I$7:$I$986,1)</x:f>
        <x:v>3</x:v>
      </x:c>
      <x:c r="I10" s="2" t="n">
        <x:f>COUNTIFS('用户明细'!$A$7:$A$986,A10,'用户明细'!$G$7:$G$986,"right_censored")</x:f>
        <x:v>1</x:v>
      </x:c>
      <x:c r="J10" s="2" t="n">
        <x:f>COUNTIFS('用户明细'!$A$7:$A$986,A10,'用户明细'!$G$7:$G$986,"resolved_before_release")</x:f>
        <x:v>0</x:v>
      </x:c>
      <x:c r="K10" s="9" t="n">
        <x:f>IF(G10=0,"",SUMIFS('用户明细'!$J$7:$J$986,'用户明细'!$A$7:$A$986,A10)/G10)</x:f>
        <x:v>1.6666666666666667</x:v>
      </x:c>
      <x:c r="L10" s="9" t="n">
        <x:f>IF(G10=0,"",SUMIFS('用户明细'!$K$7:$K$986,'用户明细'!$A$7:$A$986,A10)/G10)</x:f>
        <x:v>2.6666666666666665</x:v>
      </x:c>
      <x:c r="M10" s="9" t="n">
        <x:f>IF(G10=0,"",L10-K10)</x:f>
        <x:v>0.9999999999999998</x:v>
      </x:c>
      <x:c r="N10" s="9" t="n">
        <x:f>IF(H10=0,"",SUMIFS('用户明细'!$J$7:$J$986,'用户明细'!$A$7:$A$986,A10,'用户明细'!$I$7:$I$986,1)/H10)</x:f>
        <x:v>1.6666666666666667</x:v>
      </x:c>
      <x:c r="O10" s="9" t="n">
        <x:f>IF(H10=0,"",SUMIFS('用户明细'!$K$7:$K$986,'用户明细'!$A$7:$A$986,A10,'用户明细'!$I$7:$I$986,1)/H10)</x:f>
        <x:v>2.6666666666666665</x:v>
      </x:c>
      <x:c r="P10" s="9" t="n">
        <x:v>1</x:v>
      </x:c>
      <x:c r="Q10" s="9" t="n">
        <x:v>2.6666666666666665</x:v>
      </x:c>
      <x:c r="R10" s="9" t="n">
        <x:v>1.6666666666666667</x:v>
      </x:c>
    </x:row>
    <x:row r="11" ht="24" customHeight="1">
      <x:c r="A11" s="2" t="str">
        <x:v>D000_T02_C080_G050</x:v>
      </x:c>
      <x:c r="B11" s="2" t="n">
        <x:v>2</x:v>
      </x:c>
      <x:c r="C11" s="20" t="n">
        <x:v>0.8</x:v>
      </x:c>
      <x:c r="D11" s="20" t="n">
        <x:v>0.5</x:v>
      </x:c>
      <x:c r="E11" s="20" t="n">
        <x:v>0</x:v>
      </x:c>
      <x:c r="F11" s="2" t="n">
        <x:f>COUNTIFS('用户明细'!$A$7:$A$986,A11)</x:f>
        <x:v>6</x:v>
      </x:c>
      <x:c r="G11" s="2" t="n">
        <x:f>COUNTIFS('用户明细'!$A$7:$A$986,A11,'用户明细'!$H$7:$H$986,1)</x:f>
        <x:v>6</x:v>
      </x:c>
      <x:c r="H11" s="2" t="n">
        <x:f>COUNTIFS('用户明细'!$A$7:$A$986,A11,'用户明细'!$I$7:$I$986,1)</x:f>
        <x:v>3</x:v>
      </x:c>
      <x:c r="I11" s="2" t="n">
        <x:f>COUNTIFS('用户明细'!$A$7:$A$986,A11,'用户明细'!$G$7:$G$986,"right_censored")</x:f>
        <x:v>0</x:v>
      </x:c>
      <x:c r="J11" s="2" t="n">
        <x:f>COUNTIFS('用户明细'!$A$7:$A$986,A11,'用户明细'!$G$7:$G$986,"resolved_before_release")</x:f>
        <x:v>0</x:v>
      </x:c>
      <x:c r="K11" s="9" t="n">
        <x:f>IF(G11=0,"",SUMIFS('用户明细'!$J$7:$J$986,'用户明细'!$A$7:$A$986,A11)/G11)</x:f>
        <x:v>1.5</x:v>
      </x:c>
      <x:c r="L11" s="9" t="n">
        <x:f>IF(G11=0,"",SUMIFS('用户明细'!$K$7:$K$986,'用户明细'!$A$7:$A$986,A11)/G11)</x:f>
        <x:v>2.1666666666666665</x:v>
      </x:c>
      <x:c r="M11" s="9" t="n">
        <x:f>IF(G11=0,"",L11-K11)</x:f>
        <x:v>0.6666666666666665</x:v>
      </x:c>
      <x:c r="N11" s="9" t="n">
        <x:f>IF(H11=0,"",SUMIFS('用户明细'!$J$7:$J$986,'用户明细'!$A$7:$A$986,A11,'用户明细'!$I$7:$I$986,1)/H11)</x:f>
        <x:v>3</x:v>
      </x:c>
      <x:c r="O11" s="9" t="n">
        <x:f>IF(H11=0,"",SUMIFS('用户明细'!$K$7:$K$986,'用户明细'!$A$7:$A$986,A11,'用户明细'!$I$7:$I$986,1)/H11)</x:f>
        <x:v>3.3333333333333335</x:v>
      </x:c>
      <x:c r="P11" s="9" t="n">
        <x:v>1.3333333333333333</x:v>
      </x:c>
      <x:c r="Q11" s="9" t="n">
        <x:v>2.2</x:v>
      </x:c>
      <x:c r="R11" s="9" t="n">
        <x:v>0.8</x:v>
      </x:c>
    </x:row>
    <x:row r="12" ht="24" customHeight="1">
      <x:c r="A12" s="2" t="str">
        <x:v>D000_T02_C080_G075</x:v>
      </x:c>
      <x:c r="B12" s="2" t="n">
        <x:v>2</x:v>
      </x:c>
      <x:c r="C12" s="20" t="n">
        <x:v>0.8</x:v>
      </x:c>
      <x:c r="D12" s="20" t="n">
        <x:v>0.75</x:v>
      </x:c>
      <x:c r="E12" s="20" t="n">
        <x:v>0</x:v>
      </x:c>
      <x:c r="F12" s="2" t="n">
        <x:f>COUNTIFS('用户明细'!$A$7:$A$986,A12)</x:f>
        <x:v>9</x:v>
      </x:c>
      <x:c r="G12" s="2" t="n">
        <x:f>COUNTIFS('用户明细'!$A$7:$A$986,A12,'用户明细'!$H$7:$H$986,1)</x:f>
        <x:v>9</x:v>
      </x:c>
      <x:c r="H12" s="2" t="n">
        <x:f>COUNTIFS('用户明细'!$A$7:$A$986,A12,'用户明细'!$I$7:$I$986,1)</x:f>
        <x:v>3</x:v>
      </x:c>
      <x:c r="I12" s="2" t="n">
        <x:f>COUNTIFS('用户明细'!$A$7:$A$986,A12,'用户明细'!$G$7:$G$986,"right_censored")</x:f>
        <x:v>0</x:v>
      </x:c>
      <x:c r="J12" s="2" t="n">
        <x:f>COUNTIFS('用户明细'!$A$7:$A$986,A12,'用户明细'!$G$7:$G$986,"resolved_before_release")</x:f>
        <x:v>0</x:v>
      </x:c>
      <x:c r="K12" s="9" t="n">
        <x:f>IF(G12=0,"",SUMIFS('用户明细'!$J$7:$J$986,'用户明细'!$A$7:$A$986,A12)/G12)</x:f>
        <x:v>0.6666666666666666</x:v>
      </x:c>
      <x:c r="L12" s="9" t="n">
        <x:f>IF(G12=0,"",SUMIFS('用户明细'!$K$7:$K$986,'用户明细'!$A$7:$A$986,A12)/G12)</x:f>
        <x:v>1.3333333333333333</x:v>
      </x:c>
      <x:c r="M12" s="9" t="n">
        <x:f>IF(G12=0,"",L12-K12)</x:f>
        <x:v>0.6666666666666666</x:v>
      </x:c>
      <x:c r="N12" s="9" t="n">
        <x:f>IF(H12=0,"",SUMIFS('用户明细'!$J$7:$J$986,'用户明细'!$A$7:$A$986,A12,'用户明细'!$I$7:$I$986,1)/H12)</x:f>
        <x:v>2</x:v>
      </x:c>
      <x:c r="O12" s="9" t="n">
        <x:f>IF(H12=0,"",SUMIFS('用户明细'!$K$7:$K$986,'用户明细'!$A$7:$A$986,A12,'用户明细'!$I$7:$I$986,1)/H12)</x:f>
        <x:v>2</x:v>
      </x:c>
      <x:c r="P12" s="9" t="n">
        <x:v>1.3333333333333333</x:v>
      </x:c>
      <x:c r="Q12" s="9" t="n">
        <x:v>1.375</x:v>
      </x:c>
      <x:c r="R12" s="9" t="n">
        <x:v>0.375</x:v>
      </x:c>
    </x:row>
    <x:row r="13" ht="24" customHeight="1">
      <x:c r="A13" s="2" t="str">
        <x:v>D000_T04_C020_G025</x:v>
      </x:c>
      <x:c r="B13" s="2" t="n">
        <x:v>4</x:v>
      </x:c>
      <x:c r="C13" s="20" t="n">
        <x:v>0.2</x:v>
      </x:c>
      <x:c r="D13" s="20" t="n">
        <x:v>0.25</x:v>
      </x:c>
      <x:c r="E13" s="20" t="n">
        <x:v>0</x:v>
      </x:c>
      <x:c r="F13" s="2" t="n">
        <x:f>COUNTIFS('用户明细'!$A$7:$A$986,A13)</x:f>
        <x:v>7</x:v>
      </x:c>
      <x:c r="G13" s="2" t="n">
        <x:f>COUNTIFS('用户明细'!$A$7:$A$986,A13,'用户明细'!$H$7:$H$986,1)</x:f>
        <x:v>5</x:v>
      </x:c>
      <x:c r="H13" s="2" t="n">
        <x:f>COUNTIFS('用户明细'!$A$7:$A$986,A13,'用户明细'!$I$7:$I$986,1)</x:f>
        <x:v>4</x:v>
      </x:c>
      <x:c r="I13" s="2" t="n">
        <x:f>COUNTIFS('用户明细'!$A$7:$A$986,A13,'用户明细'!$G$7:$G$986,"right_censored")</x:f>
        <x:v>2</x:v>
      </x:c>
      <x:c r="J13" s="2" t="n">
        <x:f>COUNTIFS('用户明细'!$A$7:$A$986,A13,'用户明细'!$G$7:$G$986,"resolved_before_release")</x:f>
        <x:v>0</x:v>
      </x:c>
      <x:c r="K13" s="9" t="n">
        <x:f>IF(G13=0,"",SUMIFS('用户明细'!$J$7:$J$986,'用户明细'!$A$7:$A$986,A13)/G13)</x:f>
        <x:v>2.4</x:v>
      </x:c>
      <x:c r="L13" s="9" t="n">
        <x:f>IF(G13=0,"",SUMIFS('用户明细'!$K$7:$K$986,'用户明细'!$A$7:$A$986,A13)/G13)</x:f>
        <x:v>4.8</x:v>
      </x:c>
      <x:c r="M13" s="9" t="n">
        <x:f>IF(G13=0,"",L13-K13)</x:f>
        <x:v>2.4</x:v>
      </x:c>
      <x:c r="N13" s="9" t="n">
        <x:f>IF(H13=0,"",SUMIFS('用户明细'!$J$7:$J$986,'用户明细'!$A$7:$A$986,A13,'用户明细'!$I$7:$I$986,1)/H13)</x:f>
        <x:v>3</x:v>
      </x:c>
      <x:c r="O13" s="9" t="n">
        <x:f>IF(H13=0,"",SUMIFS('用户明细'!$K$7:$K$986,'用户明细'!$A$7:$A$986,A13,'用户明细'!$I$7:$I$986,1)/H13)</x:f>
        <x:v>5.25</x:v>
      </x:c>
      <x:c r="P13" s="9" t="n">
        <x:v>1.6</x:v>
      </x:c>
      <x:c r="Q13" s="9" t="n">
        <x:v>5.8</x:v>
      </x:c>
      <x:c r="R13" s="9" t="n">
        <x:v>1.8</x:v>
      </x:c>
    </x:row>
    <x:row r="14" ht="24" customHeight="1">
      <x:c r="A14" s="2" t="str">
        <x:v>D000_T04_C020_G050</x:v>
      </x:c>
      <x:c r="B14" s="2" t="n">
        <x:v>4</x:v>
      </x:c>
      <x:c r="C14" s="20" t="n">
        <x:v>0.2</x:v>
      </x:c>
      <x:c r="D14" s="20" t="n">
        <x:v>0.5</x:v>
      </x:c>
      <x:c r="E14" s="20" t="n">
        <x:v>0</x:v>
      </x:c>
      <x:c r="F14" s="2" t="n">
        <x:f>COUNTIFS('用户明细'!$A$7:$A$986,A14)</x:f>
        <x:v>8</x:v>
      </x:c>
      <x:c r="G14" s="2" t="n">
        <x:f>COUNTIFS('用户明细'!$A$7:$A$986,A14,'用户明细'!$H$7:$H$986,1)</x:f>
        <x:v>6</x:v>
      </x:c>
      <x:c r="H14" s="2" t="n">
        <x:f>COUNTIFS('用户明细'!$A$7:$A$986,A14,'用户明细'!$I$7:$I$986,1)</x:f>
        <x:v>4</x:v>
      </x:c>
      <x:c r="I14" s="2" t="n">
        <x:f>COUNTIFS('用户明细'!$A$7:$A$986,A14,'用户明细'!$G$7:$G$986,"right_censored")</x:f>
        <x:v>2</x:v>
      </x:c>
      <x:c r="J14" s="2" t="n">
        <x:f>COUNTIFS('用户明细'!$A$7:$A$986,A14,'用户明细'!$G$7:$G$986,"resolved_before_release")</x:f>
        <x:v>0</x:v>
      </x:c>
      <x:c r="K14" s="9" t="n">
        <x:f>IF(G14=0,"",SUMIFS('用户明细'!$J$7:$J$986,'用户明细'!$A$7:$A$986,A14)/G14)</x:f>
        <x:v>2.3333333333333335</x:v>
      </x:c>
      <x:c r="L14" s="9" t="n">
        <x:f>IF(G14=0,"",SUMIFS('用户明细'!$K$7:$K$986,'用户明细'!$A$7:$A$986,A14)/G14)</x:f>
        <x:v>4.833333333333333</x:v>
      </x:c>
      <x:c r="M14" s="9" t="n">
        <x:f>IF(G14=0,"",L14-K14)</x:f>
        <x:v>2.4999999999999996</x:v>
      </x:c>
      <x:c r="N14" s="9" t="n">
        <x:f>IF(H14=0,"",SUMIFS('用户明细'!$J$7:$J$986,'用户明细'!$A$7:$A$986,A14,'用户明细'!$I$7:$I$986,1)/H14)</x:f>
        <x:v>3.5</x:v>
      </x:c>
      <x:c r="O14" s="9" t="n">
        <x:f>IF(H14=0,"",SUMIFS('用户明细'!$K$7:$K$986,'用户明细'!$A$7:$A$986,A14,'用户明细'!$I$7:$I$986,1)/H14)</x:f>
        <x:v>5.75</x:v>
      </x:c>
      <x:c r="P14" s="9" t="n">
        <x:v>1.5</x:v>
      </x:c>
      <x:c r="Q14" s="9" t="n">
        <x:v>6.166666666666667</x:v>
      </x:c>
      <x:c r="R14" s="9" t="n">
        <x:v>2.142857142857143</x:v>
      </x:c>
    </x:row>
    <x:row r="15" ht="24" customHeight="1">
      <x:c r="A15" s="2" t="str">
        <x:v>D000_T04_C020_G075</x:v>
      </x:c>
      <x:c r="B15" s="2" t="n">
        <x:v>4</x:v>
      </x:c>
      <x:c r="C15" s="20" t="n">
        <x:v>0.2</x:v>
      </x:c>
      <x:c r="D15" s="20" t="n">
        <x:v>0.75</x:v>
      </x:c>
      <x:c r="E15" s="20" t="n">
        <x:v>0</x:v>
      </x:c>
      <x:c r="F15" s="2" t="n">
        <x:f>COUNTIFS('用户明细'!$A$7:$A$986,A15)</x:f>
        <x:v>5</x:v>
      </x:c>
      <x:c r="G15" s="2" t="n">
        <x:f>COUNTIFS('用户明细'!$A$7:$A$986,A15,'用户明细'!$H$7:$H$986,1)</x:f>
        <x:v>4</x:v>
      </x:c>
      <x:c r="H15" s="2" t="n">
        <x:f>COUNTIFS('用户明细'!$A$7:$A$986,A15,'用户明细'!$I$7:$I$986,1)</x:f>
        <x:v>4</x:v>
      </x:c>
      <x:c r="I15" s="2" t="n">
        <x:f>COUNTIFS('用户明细'!$A$7:$A$986,A15,'用户明细'!$G$7:$G$986,"right_censored")</x:f>
        <x:v>1</x:v>
      </x:c>
      <x:c r="J15" s="2" t="n">
        <x:f>COUNTIFS('用户明细'!$A$7:$A$986,A15,'用户明细'!$G$7:$G$986,"resolved_before_release")</x:f>
        <x:v>0</x:v>
      </x:c>
      <x:c r="K15" s="9" t="n">
        <x:f>IF(G15=0,"",SUMIFS('用户明细'!$J$7:$J$986,'用户明细'!$A$7:$A$986,A15)/G15)</x:f>
        <x:v>3</x:v>
      </x:c>
      <x:c r="L15" s="9" t="n">
        <x:f>IF(G15=0,"",SUMIFS('用户明细'!$K$7:$K$986,'用户明细'!$A$7:$A$986,A15)/G15)</x:f>
        <x:v>4</x:v>
      </x:c>
      <x:c r="M15" s="9" t="n">
        <x:f>IF(G15=0,"",L15-K15)</x:f>
        <x:v>1</x:v>
      </x:c>
      <x:c r="N15" s="9" t="n">
        <x:f>IF(H15=0,"",SUMIFS('用户明细'!$J$7:$J$986,'用户明细'!$A$7:$A$986,A15,'用户明细'!$I$7:$I$986,1)/H15)</x:f>
        <x:v>3</x:v>
      </x:c>
      <x:c r="O15" s="9" t="n">
        <x:f>IF(H15=0,"",SUMIFS('用户明细'!$K$7:$K$986,'用户明细'!$A$7:$A$986,A15,'用户明细'!$I$7:$I$986,1)/H15)</x:f>
        <x:v>4</x:v>
      </x:c>
      <x:c r="P15" s="9" t="n">
        <x:v>3</x:v>
      </x:c>
      <x:c r="Q15" s="9" t="n">
        <x:v>7.5</x:v>
      </x:c>
      <x:c r="R15" s="9" t="n">
        <x:v>2.75</x:v>
      </x:c>
    </x:row>
    <x:row r="16" ht="24" customHeight="1">
      <x:c r="A16" s="2" t="str">
        <x:v>D000_T04_C080_G025</x:v>
      </x:c>
      <x:c r="B16" s="2" t="n">
        <x:v>4</x:v>
      </x:c>
      <x:c r="C16" s="20" t="n">
        <x:v>0.8</x:v>
      </x:c>
      <x:c r="D16" s="20" t="n">
        <x:v>0.25</x:v>
      </x:c>
      <x:c r="E16" s="20" t="n">
        <x:v>0</x:v>
      </x:c>
      <x:c r="F16" s="2" t="n">
        <x:f>COUNTIFS('用户明细'!$A$7:$A$986,A16)</x:f>
        <x:v>11</x:v>
      </x:c>
      <x:c r="G16" s="2" t="n">
        <x:f>COUNTIFS('用户明细'!$A$7:$A$986,A16,'用户明细'!$H$7:$H$986,1)</x:f>
        <x:v>5</x:v>
      </x:c>
      <x:c r="H16" s="2" t="n">
        <x:f>COUNTIFS('用户明细'!$A$7:$A$986,A16,'用户明细'!$I$7:$I$986,1)</x:f>
        <x:v>2</x:v>
      </x:c>
      <x:c r="I16" s="2" t="n">
        <x:f>COUNTIFS('用户明细'!$A$7:$A$986,A16,'用户明细'!$G$7:$G$986,"right_censored")</x:f>
        <x:v>6</x:v>
      </x:c>
      <x:c r="J16" s="2" t="n">
        <x:f>COUNTIFS('用户明细'!$A$7:$A$986,A16,'用户明细'!$G$7:$G$986,"resolved_before_release")</x:f>
        <x:v>0</x:v>
      </x:c>
      <x:c r="K16" s="9" t="n">
        <x:f>IF(G16=0,"",SUMIFS('用户明细'!$J$7:$J$986,'用户明细'!$A$7:$A$986,A16)/G16)</x:f>
        <x:v>1.6</x:v>
      </x:c>
      <x:c r="L16" s="9" t="n">
        <x:f>IF(G16=0,"",SUMIFS('用户明细'!$K$7:$K$986,'用户明细'!$A$7:$A$986,A16)/G16)</x:f>
        <x:v>4.6</x:v>
      </x:c>
      <x:c r="M16" s="9" t="n">
        <x:f>IF(G16=0,"",L16-K16)</x:f>
        <x:v>2.9999999999999996</x:v>
      </x:c>
      <x:c r="N16" s="9" t="n">
        <x:f>IF(H16=0,"",SUMIFS('用户明细'!$J$7:$J$986,'用户明细'!$A$7:$A$986,A16,'用户明细'!$I$7:$I$986,1)/H16)</x:f>
        <x:v>4</x:v>
      </x:c>
      <x:c r="O16" s="9" t="n">
        <x:f>IF(H16=0,"",SUMIFS('用户明细'!$K$7:$K$986,'用户明细'!$A$7:$A$986,A16,'用户明细'!$I$7:$I$986,1)/H16)</x:f>
        <x:v>7</x:v>
      </x:c>
      <x:c r="P16" s="9" t="n">
        <x:v>1</x:v>
      </x:c>
      <x:c r="Q16" s="9" t="n">
        <x:v>6.25</x:v>
      </x:c>
      <x:c r="R16" s="9" t="n">
        <x:v>2</x:v>
      </x:c>
    </x:row>
    <x:row r="17" ht="24" customHeight="1">
      <x:c r="A17" s="2" t="str">
        <x:v>D000_T04_C080_G050</x:v>
      </x:c>
      <x:c r="B17" s="2" t="n">
        <x:v>4</x:v>
      </x:c>
      <x:c r="C17" s="20" t="n">
        <x:v>0.8</x:v>
      </x:c>
      <x:c r="D17" s="20" t="n">
        <x:v>0.5</x:v>
      </x:c>
      <x:c r="E17" s="20" t="n">
        <x:v>0</x:v>
      </x:c>
      <x:c r="F17" s="2" t="n">
        <x:f>COUNTIFS('用户明细'!$A$7:$A$986,A17)</x:f>
        <x:v>4</x:v>
      </x:c>
      <x:c r="G17" s="2" t="n">
        <x:f>COUNTIFS('用户明细'!$A$7:$A$986,A17,'用户明细'!$H$7:$H$986,1)</x:f>
        <x:v>3</x:v>
      </x:c>
      <x:c r="H17" s="2" t="n">
        <x:f>COUNTIFS('用户明细'!$A$7:$A$986,A17,'用户明细'!$I$7:$I$986,1)</x:f>
        <x:v>0</x:v>
      </x:c>
      <x:c r="I17" s="2" t="n">
        <x:f>COUNTIFS('用户明细'!$A$7:$A$986,A17,'用户明细'!$G$7:$G$986,"right_censored")</x:f>
        <x:v>1</x:v>
      </x:c>
      <x:c r="J17" s="2" t="n">
        <x:f>COUNTIFS('用户明细'!$A$7:$A$986,A17,'用户明细'!$G$7:$G$986,"resolved_before_release")</x:f>
        <x:v>0</x:v>
      </x:c>
      <x:c r="K17" s="9" t="n">
        <x:f>IF(G17=0,"",SUMIFS('用户明细'!$J$7:$J$986,'用户明细'!$A$7:$A$986,A17)/G17)</x:f>
        <x:v>0</x:v>
      </x:c>
      <x:c r="L17" s="9" t="n">
        <x:f>IF(G17=0,"",SUMIFS('用户明细'!$K$7:$K$986,'用户明细'!$A$7:$A$986,A17)/G17)</x:f>
        <x:v>3</x:v>
      </x:c>
      <x:c r="M17" s="9" t="n">
        <x:f>IF(G17=0,"",L17-K17)</x:f>
        <x:v>3</x:v>
      </x:c>
      <x:c r="N17" s="9" t="str">
        <x:f>IF(H17=0,"",SUMIFS('用户明细'!$J$7:$J$986,'用户明细'!$A$7:$A$986,A17,'用户明细'!$I$7:$I$986,1)/H17)</x:f>
      </x:c>
      <x:c r="O17" s="9" t="str">
        <x:f>IF(H17=0,"",SUMIFS('用户明细'!$K$7:$K$986,'用户明细'!$A$7:$A$986,A17,'用户明细'!$I$7:$I$986,1)/H17)</x:f>
      </x:c>
      <x:c r="P17" s="9" t="n">
        <x:v>1</x:v>
      </x:c>
      <x:c r="Q17" s="9" t="n">
        <x:v>4.5</x:v>
      </x:c>
      <x:c r="R17" s="9" t="n">
        <x:v>0.75</x:v>
      </x:c>
    </x:row>
    <x:row r="18" ht="24" customHeight="1">
      <x:c r="A18" s="2" t="str">
        <x:v>D000_T04_C080_G075</x:v>
      </x:c>
      <x:c r="B18" s="2" t="n">
        <x:v>4</x:v>
      </x:c>
      <x:c r="C18" s="20" t="n">
        <x:v>0.8</x:v>
      </x:c>
      <x:c r="D18" s="20" t="n">
        <x:v>0.75</x:v>
      </x:c>
      <x:c r="E18" s="20" t="n">
        <x:v>0</x:v>
      </x:c>
      <x:c r="F18" s="2" t="n">
        <x:f>COUNTIFS('用户明细'!$A$7:$A$986,A18)</x:f>
        <x:v>6</x:v>
      </x:c>
      <x:c r="G18" s="2" t="n">
        <x:f>COUNTIFS('用户明细'!$A$7:$A$986,A18,'用户明细'!$H$7:$H$986,1)</x:f>
        <x:v>6</x:v>
      </x:c>
      <x:c r="H18" s="2" t="n">
        <x:f>COUNTIFS('用户明细'!$A$7:$A$986,A18,'用户明细'!$I$7:$I$986,1)</x:f>
        <x:v>2</x:v>
      </x:c>
      <x:c r="I18" s="2" t="n">
        <x:f>COUNTIFS('用户明细'!$A$7:$A$986,A18,'用户明细'!$G$7:$G$986,"right_censored")</x:f>
        <x:v>0</x:v>
      </x:c>
      <x:c r="J18" s="2" t="n">
        <x:f>COUNTIFS('用户明细'!$A$7:$A$986,A18,'用户明细'!$G$7:$G$986,"resolved_before_release")</x:f>
        <x:v>0</x:v>
      </x:c>
      <x:c r="K18" s="9" t="n">
        <x:f>IF(G18=0,"",SUMIFS('用户明细'!$J$7:$J$986,'用户明细'!$A$7:$A$986,A18)/G18)</x:f>
        <x:v>0.5</x:v>
      </x:c>
      <x:c r="L18" s="9" t="n">
        <x:f>IF(G18=0,"",SUMIFS('用户明细'!$K$7:$K$986,'用户明细'!$A$7:$A$986,A18)/G18)</x:f>
        <x:v>3.5</x:v>
      </x:c>
      <x:c r="M18" s="9" t="n">
        <x:f>IF(G18=0,"",L18-K18)</x:f>
        <x:v>3</x:v>
      </x:c>
      <x:c r="N18" s="9" t="n">
        <x:f>IF(H18=0,"",SUMIFS('用户明细'!$J$7:$J$986,'用户明细'!$A$7:$A$986,A18,'用户明细'!$I$7:$I$986,1)/H18)</x:f>
        <x:v>1.5</x:v>
      </x:c>
      <x:c r="O18" s="9" t="n">
        <x:f>IF(H18=0,"",SUMIFS('用户明细'!$K$7:$K$986,'用户明细'!$A$7:$A$986,A18,'用户明细'!$I$7:$I$986,1)/H18)</x:f>
        <x:v>4.5</x:v>
      </x:c>
      <x:c r="P18" s="9" t="n">
        <x:v>1</x:v>
      </x:c>
      <x:c r="Q18" s="9" t="n">
        <x:v>3.5</x:v>
      </x:c>
      <x:c r="R18" s="9" t="n">
        <x:v>0.5</x:v>
      </x:c>
    </x:row>
    <x:row r="19" ht="24" customHeight="1">
      <x:c r="A19" s="2" t="str">
        <x:v>D000_T07_C020_G025</x:v>
      </x:c>
      <x:c r="B19" s="2" t="n">
        <x:v>7</x:v>
      </x:c>
      <x:c r="C19" s="20" t="n">
        <x:v>0.2</x:v>
      </x:c>
      <x:c r="D19" s="20" t="n">
        <x:v>0.25</x:v>
      </x:c>
      <x:c r="E19" s="20" t="n">
        <x:v>0</x:v>
      </x:c>
      <x:c r="F19" s="2" t="n">
        <x:f>COUNTIFS('用户明细'!$A$7:$A$986,A19)</x:f>
        <x:v>12</x:v>
      </x:c>
      <x:c r="G19" s="2" t="n">
        <x:f>COUNTIFS('用户明细'!$A$7:$A$986,A19,'用户明细'!$H$7:$H$986,1)</x:f>
        <x:v>3</x:v>
      </x:c>
      <x:c r="H19" s="2" t="n">
        <x:f>COUNTIFS('用户明细'!$A$7:$A$986,A19,'用户明细'!$I$7:$I$986,1)</x:f>
        <x:v>1</x:v>
      </x:c>
      <x:c r="I19" s="2" t="n">
        <x:f>COUNTIFS('用户明细'!$A$7:$A$986,A19,'用户明细'!$G$7:$G$986,"right_censored")</x:f>
        <x:v>9</x:v>
      </x:c>
      <x:c r="J19" s="2" t="n">
        <x:f>COUNTIFS('用户明细'!$A$7:$A$986,A19,'用户明细'!$G$7:$G$986,"resolved_before_release")</x:f>
        <x:v>0</x:v>
      </x:c>
      <x:c r="K19" s="9" t="n">
        <x:f>IF(G19=0,"",SUMIFS('用户明细'!$J$7:$J$986,'用户明细'!$A$7:$A$986,A19)/G19)</x:f>
        <x:v>0.6666666666666666</x:v>
      </x:c>
      <x:c r="L19" s="9" t="n">
        <x:f>IF(G19=0,"",SUMIFS('用户明细'!$K$7:$K$986,'用户明细'!$A$7:$A$986,A19)/G19)</x:f>
        <x:v>6.666666666666667</x:v>
      </x:c>
      <x:c r="M19" s="9" t="n">
        <x:f>IF(G19=0,"",L19-K19)</x:f>
        <x:v>6</x:v>
      </x:c>
      <x:c r="N19" s="9" t="n">
        <x:f>IF(H19=0,"",SUMIFS('用户明细'!$J$7:$J$986,'用户明细'!$A$7:$A$986,A19,'用户明细'!$I$7:$I$986,1)/H19)</x:f>
        <x:v>2</x:v>
      </x:c>
      <x:c r="O19" s="9" t="n">
        <x:f>IF(H19=0,"",SUMIFS('用户明细'!$K$7:$K$986,'用户明细'!$A$7:$A$986,A19,'用户明细'!$I$7:$I$986,1)/H19)</x:f>
        <x:v>8</x:v>
      </x:c>
      <x:c r="P19" s="9" t="n">
        <x:v>1</x:v>
      </x:c>
      <x:c r="Q19" s="9" t="n">
        <x:v>8</x:v>
      </x:c>
      <x:c r="R19" s="9" t="n">
        <x:v>2.363636363636364</x:v>
      </x:c>
    </x:row>
    <x:row r="20" ht="24" customHeight="1">
      <x:c r="A20" s="2" t="str">
        <x:v>D000_T07_C020_G050</x:v>
      </x:c>
      <x:c r="B20" s="2" t="n">
        <x:v>7</x:v>
      </x:c>
      <x:c r="C20" s="20" t="n">
        <x:v>0.2</x:v>
      </x:c>
      <x:c r="D20" s="20" t="n">
        <x:v>0.5</x:v>
      </x:c>
      <x:c r="E20" s="20" t="n">
        <x:v>0</x:v>
      </x:c>
      <x:c r="F20" s="2" t="n">
        <x:f>COUNTIFS('用户明细'!$A$7:$A$986,A20)</x:f>
        <x:v>8</x:v>
      </x:c>
      <x:c r="G20" s="2" t="n">
        <x:f>COUNTIFS('用户明细'!$A$7:$A$986,A20,'用户明细'!$H$7:$H$986,1)</x:f>
        <x:v>5</x:v>
      </x:c>
      <x:c r="H20" s="2" t="n">
        <x:f>COUNTIFS('用户明细'!$A$7:$A$986,A20,'用户明细'!$I$7:$I$986,1)</x:f>
        <x:v>2</x:v>
      </x:c>
      <x:c r="I20" s="2" t="n">
        <x:f>COUNTIFS('用户明细'!$A$7:$A$986,A20,'用户明细'!$G$7:$G$986,"right_censored")</x:f>
        <x:v>3</x:v>
      </x:c>
      <x:c r="J20" s="2" t="n">
        <x:f>COUNTIFS('用户明细'!$A$7:$A$986,A20,'用户明细'!$G$7:$G$986,"resolved_before_release")</x:f>
        <x:v>0</x:v>
      </x:c>
      <x:c r="K20" s="9" t="n">
        <x:f>IF(G20=0,"",SUMIFS('用户明细'!$J$7:$J$986,'用户明细'!$A$7:$A$986,A20)/G20)</x:f>
        <x:v>1</x:v>
      </x:c>
      <x:c r="L20" s="9" t="n">
        <x:f>IF(G20=0,"",SUMIFS('用户明细'!$K$7:$K$986,'用户明细'!$A$7:$A$986,A20)/G20)</x:f>
        <x:v>7</x:v>
      </x:c>
      <x:c r="M20" s="9" t="n">
        <x:f>IF(G20=0,"",L20-K20)</x:f>
        <x:v>6</x:v>
      </x:c>
      <x:c r="N20" s="9" t="n">
        <x:f>IF(H20=0,"",SUMIFS('用户明细'!$J$7:$J$986,'用户明细'!$A$7:$A$986,A20,'用户明细'!$I$7:$I$986,1)/H20)</x:f>
        <x:v>2.5</x:v>
      </x:c>
      <x:c r="O20" s="9" t="n">
        <x:f>IF(H20=0,"",SUMIFS('用户明细'!$K$7:$K$986,'用户明细'!$A$7:$A$986,A20,'用户明细'!$I$7:$I$986,1)/H20)</x:f>
        <x:v>8.5</x:v>
      </x:c>
      <x:c r="P20" s="9" t="n">
        <x:v>1</x:v>
      </x:c>
      <x:c r="Q20" s="9" t="n">
        <x:v>7.571428571428571</x:v>
      </x:c>
      <x:c r="R20" s="9" t="n">
        <x:v>1.75</x:v>
      </x:c>
    </x:row>
    <x:row r="21" ht="24" customHeight="1">
      <x:c r="A21" s="2" t="str">
        <x:v>D000_T07_C020_G075</x:v>
      </x:c>
      <x:c r="B21" s="2" t="n">
        <x:v>7</x:v>
      </x:c>
      <x:c r="C21" s="20" t="n">
        <x:v>0.2</x:v>
      </x:c>
      <x:c r="D21" s="20" t="n">
        <x:v>0.75</x:v>
      </x:c>
      <x:c r="E21" s="20" t="n">
        <x:v>0</x:v>
      </x:c>
      <x:c r="F21" s="2" t="n">
        <x:f>COUNTIFS('用户明细'!$A$7:$A$986,A21)</x:f>
        <x:v>6</x:v>
      </x:c>
      <x:c r="G21" s="2" t="n">
        <x:f>COUNTIFS('用户明细'!$A$7:$A$986,A21,'用户明细'!$H$7:$H$986,1)</x:f>
        <x:v>6</x:v>
      </x:c>
      <x:c r="H21" s="2" t="n">
        <x:f>COUNTIFS('用户明细'!$A$7:$A$986,A21,'用户明细'!$I$7:$I$986,1)</x:f>
        <x:v>5</x:v>
      </x:c>
      <x:c r="I21" s="2" t="n">
        <x:f>COUNTIFS('用户明细'!$A$7:$A$986,A21,'用户明细'!$G$7:$G$986,"right_censored")</x:f>
        <x:v>0</x:v>
      </x:c>
      <x:c r="J21" s="2" t="n">
        <x:f>COUNTIFS('用户明细'!$A$7:$A$986,A21,'用户明细'!$G$7:$G$986,"resolved_before_release")</x:f>
        <x:v>0</x:v>
      </x:c>
      <x:c r="K21" s="9" t="n">
        <x:f>IF(G21=0,"",SUMIFS('用户明细'!$J$7:$J$986,'用户明细'!$A$7:$A$986,A21)/G21)</x:f>
        <x:v>2</x:v>
      </x:c>
      <x:c r="L21" s="9" t="n">
        <x:f>IF(G21=0,"",SUMIFS('用户明细'!$K$7:$K$986,'用户明细'!$A$7:$A$986,A21)/G21)</x:f>
        <x:v>6.666666666666667</x:v>
      </x:c>
      <x:c r="M21" s="9" t="n">
        <x:f>IF(G21=0,"",L21-K21)</x:f>
        <x:v>4.666666666666667</x:v>
      </x:c>
      <x:c r="N21" s="9" t="n">
        <x:f>IF(H21=0,"",SUMIFS('用户明细'!$J$7:$J$986,'用户明细'!$A$7:$A$986,A21,'用户明细'!$I$7:$I$986,1)/H21)</x:f>
        <x:v>2.4</x:v>
      </x:c>
      <x:c r="O21" s="9" t="n">
        <x:f>IF(H21=0,"",SUMIFS('用户明细'!$K$7:$K$986,'用户明细'!$A$7:$A$986,A21,'用户明细'!$I$7:$I$986,1)/H21)</x:f>
        <x:v>7.2</x:v>
      </x:c>
      <x:c r="P21" s="9" t="n">
        <x:v>2.333333333333333</x:v>
      </x:c>
      <x:c r="Q21" s="9" t="n">
        <x:v>8.25</x:v>
      </x:c>
      <x:c r="R21" s="9" t="n">
        <x:v>1.8</x:v>
      </x:c>
    </x:row>
    <x:row r="22" ht="24" customHeight="1">
      <x:c r="A22" s="2" t="str">
        <x:v>D000_T07_C080_G025</x:v>
      </x:c>
      <x:c r="B22" s="2" t="n">
        <x:v>7</x:v>
      </x:c>
      <x:c r="C22" s="20" t="n">
        <x:v>0.8</x:v>
      </x:c>
      <x:c r="D22" s="20" t="n">
        <x:v>0.25</x:v>
      </x:c>
      <x:c r="E22" s="20" t="n">
        <x:v>0</x:v>
      </x:c>
      <x:c r="F22" s="2" t="n">
        <x:f>COUNTIFS('用户明细'!$A$7:$A$986,A22)</x:f>
        <x:v>8</x:v>
      </x:c>
      <x:c r="G22" s="2" t="n">
        <x:f>COUNTIFS('用户明细'!$A$7:$A$986,A22,'用户明细'!$H$7:$H$986,1)</x:f>
        <x:v>5</x:v>
      </x:c>
      <x:c r="H22" s="2" t="n">
        <x:f>COUNTIFS('用户明细'!$A$7:$A$986,A22,'用户明细'!$I$7:$I$986,1)</x:f>
        <x:v>3</x:v>
      </x:c>
      <x:c r="I22" s="2" t="n">
        <x:f>COUNTIFS('用户明细'!$A$7:$A$986,A22,'用户明细'!$G$7:$G$986,"right_censored")</x:f>
        <x:v>3</x:v>
      </x:c>
      <x:c r="J22" s="2" t="n">
        <x:f>COUNTIFS('用户明细'!$A$7:$A$986,A22,'用户明细'!$G$7:$G$986,"resolved_before_release")</x:f>
        <x:v>0</x:v>
      </x:c>
      <x:c r="K22" s="9" t="n">
        <x:f>IF(G22=0,"",SUMIFS('用户明细'!$J$7:$J$986,'用户明细'!$A$7:$A$986,A22)/G22)</x:f>
        <x:v>1</x:v>
      </x:c>
      <x:c r="L22" s="9" t="n">
        <x:f>IF(G22=0,"",SUMIFS('用户明细'!$K$7:$K$986,'用户明细'!$A$7:$A$986,A22)/G22)</x:f>
        <x:v>6.2</x:v>
      </x:c>
      <x:c r="M22" s="9" t="n">
        <x:f>IF(G22=0,"",L22-K22)</x:f>
        <x:v>5.2</x:v>
      </x:c>
      <x:c r="N22" s="9" t="n">
        <x:f>IF(H22=0,"",SUMIFS('用户明细'!$J$7:$J$986,'用户明细'!$A$7:$A$986,A22,'用户明细'!$I$7:$I$986,1)/H22)</x:f>
        <x:v>1.6666666666666667</x:v>
      </x:c>
      <x:c r="O22" s="9" t="n">
        <x:f>IF(H22=0,"",SUMIFS('用户明细'!$K$7:$K$986,'用户明细'!$A$7:$A$986,A22,'用户明细'!$I$7:$I$986,1)/H22)</x:f>
        <x:v>7.666666666666667</x:v>
      </x:c>
      <x:c r="P22" s="9" t="n">
        <x:v>1.8</x:v>
      </x:c>
      <x:c r="Q22" s="9" t="n">
        <x:v>7.6</x:v>
      </x:c>
      <x:c r="R22" s="9" t="n">
        <x:v>1.75</x:v>
      </x:c>
    </x:row>
    <x:row r="23" ht="24" customHeight="1">
      <x:c r="A23" s="2" t="str">
        <x:v>D000_T07_C080_G050</x:v>
      </x:c>
      <x:c r="B23" s="2" t="n">
        <x:v>7</x:v>
      </x:c>
      <x:c r="C23" s="20" t="n">
        <x:v>0.8</x:v>
      </x:c>
      <x:c r="D23" s="20" t="n">
        <x:v>0.5</x:v>
      </x:c>
      <x:c r="E23" s="20" t="n">
        <x:v>0</x:v>
      </x:c>
      <x:c r="F23" s="2" t="n">
        <x:f>COUNTIFS('用户明细'!$A$7:$A$986,A23)</x:f>
        <x:v>7</x:v>
      </x:c>
      <x:c r="G23" s="2" t="n">
        <x:f>COUNTIFS('用户明细'!$A$7:$A$986,A23,'用户明细'!$H$7:$H$986,1)</x:f>
        <x:v>6</x:v>
      </x:c>
      <x:c r="H23" s="2" t="n">
        <x:f>COUNTIFS('用户明细'!$A$7:$A$986,A23,'用户明细'!$I$7:$I$986,1)</x:f>
        <x:v>3</x:v>
      </x:c>
      <x:c r="I23" s="2" t="n">
        <x:f>COUNTIFS('用户明细'!$A$7:$A$986,A23,'用户明细'!$G$7:$G$986,"right_censored")</x:f>
        <x:v>1</x:v>
      </x:c>
      <x:c r="J23" s="2" t="n">
        <x:f>COUNTIFS('用户明细'!$A$7:$A$986,A23,'用户明细'!$G$7:$G$986,"resolved_before_release")</x:f>
        <x:v>0</x:v>
      </x:c>
      <x:c r="K23" s="9" t="n">
        <x:f>IF(G23=0,"",SUMIFS('用户明细'!$J$7:$J$986,'用户明细'!$A$7:$A$986,A23)/G23)</x:f>
        <x:v>1</x:v>
      </x:c>
      <x:c r="L23" s="9" t="n">
        <x:f>IF(G23=0,"",SUMIFS('用户明细'!$K$7:$K$986,'用户明细'!$A$7:$A$986,A23)/G23)</x:f>
        <x:v>5.5</x:v>
      </x:c>
      <x:c r="M23" s="9" t="n">
        <x:f>IF(G23=0,"",L23-K23)</x:f>
        <x:v>4.5</x:v>
      </x:c>
      <x:c r="N23" s="9" t="n">
        <x:f>IF(H23=0,"",SUMIFS('用户明细'!$J$7:$J$986,'用户明细'!$A$7:$A$986,A23,'用户明细'!$I$7:$I$986,1)/H23)</x:f>
        <x:v>2</x:v>
      </x:c>
      <x:c r="O23" s="9" t="n">
        <x:f>IF(H23=0,"",SUMIFS('用户明细'!$K$7:$K$986,'用户明细'!$A$7:$A$986,A23,'用户明细'!$I$7:$I$986,1)/H23)</x:f>
        <x:v>6</x:v>
      </x:c>
      <x:c r="P23" s="9" t="n">
        <x:v>2.5</x:v>
      </x:c>
      <x:c r="Q23" s="9" t="n">
        <x:v>7</x:v>
      </x:c>
      <x:c r="R23" s="9" t="n">
        <x:v>1.1666666666666667</x:v>
      </x:c>
    </x:row>
    <x:row r="24" ht="24" customHeight="1">
      <x:c r="A24" s="2" t="str">
        <x:v>D000_T07_C080_G075</x:v>
      </x:c>
      <x:c r="B24" s="2" t="n">
        <x:v>7</x:v>
      </x:c>
      <x:c r="C24" s="20" t="n">
        <x:v>0.8</x:v>
      </x:c>
      <x:c r="D24" s="20" t="n">
        <x:v>0.75</x:v>
      </x:c>
      <x:c r="E24" s="20" t="n">
        <x:v>0</x:v>
      </x:c>
      <x:c r="F24" s="2" t="n">
        <x:f>COUNTIFS('用户明细'!$A$7:$A$986,A24)</x:f>
        <x:v>4</x:v>
      </x:c>
      <x:c r="G24" s="2" t="n">
        <x:f>COUNTIFS('用户明细'!$A$7:$A$986,A24,'用户明细'!$H$7:$H$986,1)</x:f>
        <x:v>4</x:v>
      </x:c>
      <x:c r="H24" s="2" t="n">
        <x:f>COUNTIFS('用户明细'!$A$7:$A$986,A24,'用户明细'!$I$7:$I$986,1)</x:f>
        <x:v>1</x:v>
      </x:c>
      <x:c r="I24" s="2" t="n">
        <x:f>COUNTIFS('用户明细'!$A$7:$A$986,A24,'用户明细'!$G$7:$G$986,"right_censored")</x:f>
        <x:v>0</x:v>
      </x:c>
      <x:c r="J24" s="2" t="n">
        <x:f>COUNTIFS('用户明细'!$A$7:$A$986,A24,'用户明细'!$G$7:$G$986,"resolved_before_release")</x:f>
        <x:v>0</x:v>
      </x:c>
      <x:c r="K24" s="9" t="n">
        <x:f>IF(G24=0,"",SUMIFS('用户明细'!$J$7:$J$986,'用户明细'!$A$7:$A$986,A24)/G24)</x:f>
        <x:v>0.25</x:v>
      </x:c>
      <x:c r="L24" s="9" t="n">
        <x:f>IF(G24=0,"",SUMIFS('用户明细'!$K$7:$K$986,'用户明细'!$A$7:$A$986,A24)/G24)</x:f>
        <x:v>5.75</x:v>
      </x:c>
      <x:c r="M24" s="9" t="n">
        <x:f>IF(G24=0,"",L24-K24)</x:f>
        <x:v>5.5</x:v>
      </x:c>
      <x:c r="N24" s="9" t="n">
        <x:f>IF(H24=0,"",SUMIFS('用户明细'!$J$7:$J$986,'用户明细'!$A$7:$A$986,A24,'用户明细'!$I$7:$I$986,1)/H24)</x:f>
        <x:v>1</x:v>
      </x:c>
      <x:c r="O24" s="9" t="n">
        <x:f>IF(H24=0,"",SUMIFS('用户明细'!$K$7:$K$986,'用户明细'!$A$7:$A$986,A24,'用户明细'!$I$7:$I$986,1)/H24)</x:f>
        <x:v>7</x:v>
      </x:c>
      <x:c r="P24" s="9" t="n">
        <x:v>1.5</x:v>
      </x:c>
      <x:c r="Q24" s="9" t="n">
        <x:v>6.333333333333333</x:v>
      </x:c>
      <x:c r="R24" s="9" t="n">
        <x:v>0.25</x:v>
      </x:c>
    </x:row>
    <x:row r="25" ht="24" customHeight="1">
      <x:c r="A25" s="2" t="str">
        <x:v>D020_T02_C020_G025</x:v>
      </x:c>
      <x:c r="B25" s="2" t="n">
        <x:v>2</x:v>
      </x:c>
      <x:c r="C25" s="20" t="n">
        <x:v>0.2</x:v>
      </x:c>
      <x:c r="D25" s="20" t="n">
        <x:v>0.25</x:v>
      </x:c>
      <x:c r="E25" s="20" t="n">
        <x:v>0.2</x:v>
      </x:c>
      <x:c r="F25" s="2" t="n">
        <x:f>COUNTIFS('用户明细'!$A$7:$A$986,A25)</x:f>
        <x:v>18</x:v>
      </x:c>
      <x:c r="G25" s="2" t="n">
        <x:f>COUNTIFS('用户明细'!$A$7:$A$986,A25,'用户明细'!$H$7:$H$986,1)</x:f>
        <x:v>12</x:v>
      </x:c>
      <x:c r="H25" s="2" t="n">
        <x:f>COUNTIFS('用户明细'!$A$7:$A$986,A25,'用户明细'!$I$7:$I$986,1)</x:f>
        <x:v>12</x:v>
      </x:c>
      <x:c r="I25" s="2" t="n">
        <x:f>COUNTIFS('用户明细'!$A$7:$A$986,A25,'用户明细'!$G$7:$G$986,"right_censored")</x:f>
        <x:v>6</x:v>
      </x:c>
      <x:c r="J25" s="2" t="n">
        <x:f>COUNTIFS('用户明细'!$A$7:$A$986,A25,'用户明细'!$G$7:$G$986,"resolved_before_release")</x:f>
        <x:v>0</x:v>
      </x:c>
      <x:c r="K25" s="9" t="n">
        <x:f>IF(G25=0,"",SUMIFS('用户明细'!$J$7:$J$986,'用户明细'!$A$7:$A$986,A25)/G25)</x:f>
        <x:v>3.8333333333333335</x:v>
      </x:c>
      <x:c r="L25" s="9" t="n">
        <x:f>IF(G25=0,"",SUMIFS('用户明细'!$K$7:$K$986,'用户明细'!$A$7:$A$986,A25)/G25)</x:f>
        <x:v>4.833333333333333</x:v>
      </x:c>
      <x:c r="M25" s="9" t="n">
        <x:f>IF(G25=0,"",L25-K25)</x:f>
        <x:v>0.9999999999999996</x:v>
      </x:c>
      <x:c r="N25" s="9" t="n">
        <x:f>IF(H25=0,"",SUMIFS('用户明细'!$J$7:$J$986,'用户明细'!$A$7:$A$986,A25,'用户明细'!$I$7:$I$986,1)/H25)</x:f>
        <x:v>3.8333333333333335</x:v>
      </x:c>
      <x:c r="O25" s="9" t="n">
        <x:f>IF(H25=0,"",SUMIFS('用户明细'!$K$7:$K$986,'用户明细'!$A$7:$A$986,A25,'用户明细'!$I$7:$I$986,1)/H25)</x:f>
        <x:v>4.833333333333333</x:v>
      </x:c>
      <x:c r="P25" s="9" t="n">
        <x:v>1</x:v>
      </x:c>
      <x:c r="Q25" s="9" t="n">
        <x:v>6.222222222222222</x:v>
      </x:c>
      <x:c r="R25" s="9" t="n">
        <x:v>2.4444444444444446</x:v>
      </x:c>
    </x:row>
    <x:row r="26" ht="24" customHeight="1">
      <x:c r="A26" s="2" t="str">
        <x:v>D020_T02_C020_G050</x:v>
      </x:c>
      <x:c r="B26" s="2" t="n">
        <x:v>2</x:v>
      </x:c>
      <x:c r="C26" s="20" t="n">
        <x:v>0.2</x:v>
      </x:c>
      <x:c r="D26" s="20" t="n">
        <x:v>0.5</x:v>
      </x:c>
      <x:c r="E26" s="20" t="n">
        <x:v>0.2</x:v>
      </x:c>
      <x:c r="F26" s="2" t="n">
        <x:f>COUNTIFS('用户明细'!$A$7:$A$986,A26)</x:f>
        <x:v>16</x:v>
      </x:c>
      <x:c r="G26" s="2" t="n">
        <x:f>COUNTIFS('用户明细'!$A$7:$A$986,A26,'用户明细'!$H$7:$H$986,1)</x:f>
        <x:v>11</x:v>
      </x:c>
      <x:c r="H26" s="2" t="n">
        <x:f>COUNTIFS('用户明细'!$A$7:$A$986,A26,'用户明细'!$I$7:$I$986,1)</x:f>
        <x:v>7</x:v>
      </x:c>
      <x:c r="I26" s="2" t="n">
        <x:f>COUNTIFS('用户明细'!$A$7:$A$986,A26,'用户明细'!$G$7:$G$986,"right_censored")</x:f>
        <x:v>5</x:v>
      </x:c>
      <x:c r="J26" s="2" t="n">
        <x:f>COUNTIFS('用户明细'!$A$7:$A$986,A26,'用户明细'!$G$7:$G$986,"resolved_before_release")</x:f>
        <x:v>0</x:v>
      </x:c>
      <x:c r="K26" s="9" t="n">
        <x:f>IF(G26=0,"",SUMIFS('用户明细'!$J$7:$J$986,'用户明细'!$A$7:$A$986,A26)/G26)</x:f>
        <x:v>1.4545454545454546</x:v>
      </x:c>
      <x:c r="L26" s="9" t="n">
        <x:f>IF(G26=0,"",SUMIFS('用户明细'!$K$7:$K$986,'用户明细'!$A$7:$A$986,A26)/G26)</x:f>
        <x:v>2.1818181818181817</x:v>
      </x:c>
      <x:c r="M26" s="9" t="n">
        <x:f>IF(G26=0,"",L26-K26)</x:f>
        <x:v>0.7272727272727271</x:v>
      </x:c>
      <x:c r="N26" s="9" t="n">
        <x:f>IF(H26=0,"",SUMIFS('用户明细'!$J$7:$J$986,'用户明细'!$A$7:$A$986,A26,'用户明细'!$I$7:$I$986,1)/H26)</x:f>
        <x:v>2.2857142857142856</x:v>
      </x:c>
      <x:c r="O26" s="9" t="n">
        <x:f>IF(H26=0,"",SUMIFS('用户明细'!$K$7:$K$986,'用户明细'!$A$7:$A$986,A26,'用户明细'!$I$7:$I$986,1)/H26)</x:f>
        <x:v>2.857142857142857</x:v>
      </x:c>
      <x:c r="P26" s="9" t="n">
        <x:v>1.2727272727272727</x:v>
      </x:c>
      <x:c r="Q26" s="9" t="n">
        <x:v>4.533333333333333</x:v>
      </x:c>
      <x:c r="R26" s="9" t="n">
        <x:v>1.8666666666666667</x:v>
      </x:c>
    </x:row>
    <x:row r="27" ht="24" customHeight="1">
      <x:c r="A27" s="2" t="str">
        <x:v>D020_T02_C020_G075</x:v>
      </x:c>
      <x:c r="B27" s="2" t="n">
        <x:v>2</x:v>
      </x:c>
      <x:c r="C27" s="20" t="n">
        <x:v>0.2</x:v>
      </x:c>
      <x:c r="D27" s="20" t="n">
        <x:v>0.75</x:v>
      </x:c>
      <x:c r="E27" s="20" t="n">
        <x:v>0.2</x:v>
      </x:c>
      <x:c r="F27" s="2" t="n">
        <x:f>COUNTIFS('用户明细'!$A$7:$A$986,A27)</x:f>
        <x:v>15</x:v>
      </x:c>
      <x:c r="G27" s="2" t="n">
        <x:f>COUNTIFS('用户明细'!$A$7:$A$986,A27,'用户明细'!$H$7:$H$986,1)</x:f>
        <x:v>14</x:v>
      </x:c>
      <x:c r="H27" s="2" t="n">
        <x:f>COUNTIFS('用户明细'!$A$7:$A$986,A27,'用户明细'!$I$7:$I$986,1)</x:f>
        <x:v>10</x:v>
      </x:c>
      <x:c r="I27" s="2" t="n">
        <x:f>COUNTIFS('用户明细'!$A$7:$A$986,A27,'用户明细'!$G$7:$G$986,"right_censored")</x:f>
        <x:v>1</x:v>
      </x:c>
      <x:c r="J27" s="2" t="n">
        <x:f>COUNTIFS('用户明细'!$A$7:$A$986,A27,'用户明细'!$G$7:$G$986,"resolved_before_release")</x:f>
        <x:v>0</x:v>
      </x:c>
      <x:c r="K27" s="9" t="n">
        <x:f>IF(G27=0,"",SUMIFS('用户明细'!$J$7:$J$986,'用户明细'!$A$7:$A$986,A27)/G27)</x:f>
        <x:v>1.2857142857142858</x:v>
      </x:c>
      <x:c r="L27" s="9" t="n">
        <x:f>IF(G27=0,"",SUMIFS('用户明细'!$K$7:$K$986,'用户明细'!$A$7:$A$986,A27)/G27)</x:f>
        <x:v>2.142857142857143</x:v>
      </x:c>
      <x:c r="M27" s="9" t="n">
        <x:f>IF(G27=0,"",L27-K27)</x:f>
        <x:v>0.857142857142857</x:v>
      </x:c>
      <x:c r="N27" s="9" t="n">
        <x:f>IF(H27=0,"",SUMIFS('用户明细'!$J$7:$J$986,'用户明细'!$A$7:$A$986,A27,'用户明细'!$I$7:$I$986,1)/H27)</x:f>
        <x:v>1.8</x:v>
      </x:c>
      <x:c r="O27" s="9" t="n">
        <x:f>IF(H27=0,"",SUMIFS('用户明细'!$K$7:$K$986,'用户明细'!$A$7:$A$986,A27,'用户明细'!$I$7:$I$986,1)/H27)</x:f>
        <x:v>2.6</x:v>
      </x:c>
      <x:c r="P27" s="9" t="n">
        <x:v>1.1428571428571428</x:v>
      </x:c>
      <x:c r="Q27" s="9" t="n">
        <x:v>2.7142857142857144</x:v>
      </x:c>
      <x:c r="R27" s="9" t="n">
        <x:v>1.3571428571428572</x:v>
      </x:c>
    </x:row>
    <x:row r="28" ht="24" customHeight="1">
      <x:c r="A28" s="2" t="str">
        <x:v>D020_T02_C080_G025</x:v>
      </x:c>
      <x:c r="B28" s="2" t="n">
        <x:v>2</x:v>
      </x:c>
      <x:c r="C28" s="20" t="n">
        <x:v>0.8</x:v>
      </x:c>
      <x:c r="D28" s="20" t="n">
        <x:v>0.25</x:v>
      </x:c>
      <x:c r="E28" s="20" t="n">
        <x:v>0.2</x:v>
      </x:c>
      <x:c r="F28" s="2" t="n">
        <x:f>COUNTIFS('用户明细'!$A$7:$A$986,A28)</x:f>
        <x:v>16</x:v>
      </x:c>
      <x:c r="G28" s="2" t="n">
        <x:f>COUNTIFS('用户明细'!$A$7:$A$986,A28,'用户明细'!$H$7:$H$986,1)</x:f>
        <x:v>15</x:v>
      </x:c>
      <x:c r="H28" s="2" t="n">
        <x:f>COUNTIFS('用户明细'!$A$7:$A$986,A28,'用户明细'!$I$7:$I$986,1)</x:f>
        <x:v>11</x:v>
      </x:c>
      <x:c r="I28" s="2" t="n">
        <x:f>COUNTIFS('用户明细'!$A$7:$A$986,A28,'用户明细'!$G$7:$G$986,"right_censored")</x:f>
        <x:v>1</x:v>
      </x:c>
      <x:c r="J28" s="2" t="n">
        <x:f>COUNTIFS('用户明细'!$A$7:$A$986,A28,'用户明细'!$G$7:$G$986,"resolved_before_release")</x:f>
        <x:v>0</x:v>
      </x:c>
      <x:c r="K28" s="9" t="n">
        <x:f>IF(G28=0,"",SUMIFS('用户明细'!$J$7:$J$986,'用户明细'!$A$7:$A$986,A28)/G28)</x:f>
        <x:v>2.1333333333333333</x:v>
      </x:c>
      <x:c r="L28" s="9" t="n">
        <x:f>IF(G28=0,"",SUMIFS('用户明细'!$K$7:$K$986,'用户明细'!$A$7:$A$986,A28)/G28)</x:f>
        <x:v>3.1333333333333333</x:v>
      </x:c>
      <x:c r="M28" s="9" t="n">
        <x:f>IF(G28=0,"",L28-K28)</x:f>
        <x:v>1</x:v>
      </x:c>
      <x:c r="N28" s="9" t="n">
        <x:f>IF(H28=0,"",SUMIFS('用户明细'!$J$7:$J$986,'用户明细'!$A$7:$A$986,A28,'用户明细'!$I$7:$I$986,1)/H28)</x:f>
        <x:v>2.909090909090909</x:v>
      </x:c>
      <x:c r="O28" s="9" t="n">
        <x:f>IF(H28=0,"",SUMIFS('用户明细'!$K$7:$K$986,'用户明细'!$A$7:$A$986,A28,'用户明细'!$I$7:$I$986,1)/H28)</x:f>
        <x:v>3.909090909090909</x:v>
      </x:c>
      <x:c r="P28" s="9" t="n">
        <x:v>1</x:v>
      </x:c>
      <x:c r="Q28" s="9" t="n">
        <x:v>3.5</x:v>
      </x:c>
      <x:c r="R28" s="9" t="n">
        <x:v>1.6875</x:v>
      </x:c>
    </x:row>
    <x:row r="29" ht="24" customHeight="1">
      <x:c r="A29" s="2" t="str">
        <x:v>D020_T02_C080_G050</x:v>
      </x:c>
      <x:c r="B29" s="2" t="n">
        <x:v>2</x:v>
      </x:c>
      <x:c r="C29" s="20" t="n">
        <x:v>0.8</x:v>
      </x:c>
      <x:c r="D29" s="20" t="n">
        <x:v>0.5</x:v>
      </x:c>
      <x:c r="E29" s="20" t="n">
        <x:v>0.2</x:v>
      </x:c>
      <x:c r="F29" s="2" t="n">
        <x:f>COUNTIFS('用户明细'!$A$7:$A$986,A29)</x:f>
        <x:v>14</x:v>
      </x:c>
      <x:c r="G29" s="2" t="n">
        <x:f>COUNTIFS('用户明细'!$A$7:$A$986,A29,'用户明细'!$H$7:$H$986,1)</x:f>
        <x:v>13</x:v>
      </x:c>
      <x:c r="H29" s="2" t="n">
        <x:f>COUNTIFS('用户明细'!$A$7:$A$986,A29,'用户明细'!$I$7:$I$986,1)</x:f>
        <x:v>5</x:v>
      </x:c>
      <x:c r="I29" s="2" t="n">
        <x:f>COUNTIFS('用户明细'!$A$7:$A$986,A29,'用户明细'!$G$7:$G$986,"right_censored")</x:f>
        <x:v>1</x:v>
      </x:c>
      <x:c r="J29" s="2" t="n">
        <x:f>COUNTIFS('用户明细'!$A$7:$A$986,A29,'用户明细'!$G$7:$G$986,"resolved_before_release")</x:f>
        <x:v>0</x:v>
      </x:c>
      <x:c r="K29" s="9" t="n">
        <x:f>IF(G29=0,"",SUMIFS('用户明细'!$J$7:$J$986,'用户明细'!$A$7:$A$986,A29)/G29)</x:f>
        <x:v>0.5384615384615384</x:v>
      </x:c>
      <x:c r="L29" s="9" t="n">
        <x:f>IF(G29=0,"",SUMIFS('用户明细'!$K$7:$K$986,'用户明细'!$A$7:$A$986,A29)/G29)</x:f>
        <x:v>1.5384615384615385</x:v>
      </x:c>
      <x:c r="M29" s="9" t="n">
        <x:f>IF(G29=0,"",L29-K29)</x:f>
        <x:v>1</x:v>
      </x:c>
      <x:c r="N29" s="9" t="n">
        <x:f>IF(H29=0,"",SUMIFS('用户明细'!$J$7:$J$986,'用户明细'!$A$7:$A$986,A29,'用户明细'!$I$7:$I$986,1)/H29)</x:f>
        <x:v>1.4</x:v>
      </x:c>
      <x:c r="O29" s="9" t="n">
        <x:f>IF(H29=0,"",SUMIFS('用户明细'!$K$7:$K$986,'用户明细'!$A$7:$A$986,A29,'用户明细'!$I$7:$I$986,1)/H29)</x:f>
        <x:v>2.4</x:v>
      </x:c>
      <x:c r="P29" s="9" t="n">
        <x:v>1</x:v>
      </x:c>
      <x:c r="Q29" s="9" t="n">
        <x:v>2.071428571428572</x:v>
      </x:c>
      <x:c r="R29" s="9" t="n">
        <x:v>0.7142857142857143</x:v>
      </x:c>
    </x:row>
    <x:row r="30" ht="24" customHeight="1">
      <x:c r="A30" s="2" t="str">
        <x:v>D020_T02_C080_G075</x:v>
      </x:c>
      <x:c r="B30" s="2" t="n">
        <x:v>2</x:v>
      </x:c>
      <x:c r="C30" s="20" t="n">
        <x:v>0.8</x:v>
      </x:c>
      <x:c r="D30" s="20" t="n">
        <x:v>0.75</x:v>
      </x:c>
      <x:c r="E30" s="20" t="n">
        <x:v>0.2</x:v>
      </x:c>
      <x:c r="F30" s="2" t="n">
        <x:f>COUNTIFS('用户明细'!$A$7:$A$986,A30)</x:f>
        <x:v>10</x:v>
      </x:c>
      <x:c r="G30" s="2" t="n">
        <x:f>COUNTIFS('用户明细'!$A$7:$A$986,A30,'用户明细'!$H$7:$H$986,1)</x:f>
        <x:v>10</x:v>
      </x:c>
      <x:c r="H30" s="2" t="n">
        <x:f>COUNTIFS('用户明细'!$A$7:$A$986,A30,'用户明细'!$I$7:$I$986,1)</x:f>
        <x:v>3</x:v>
      </x:c>
      <x:c r="I30" s="2" t="n">
        <x:f>COUNTIFS('用户明细'!$A$7:$A$986,A30,'用户明细'!$G$7:$G$986,"right_censored")</x:f>
        <x:v>0</x:v>
      </x:c>
      <x:c r="J30" s="2" t="n">
        <x:f>COUNTIFS('用户明细'!$A$7:$A$986,A30,'用户明细'!$G$7:$G$986,"resolved_before_release")</x:f>
        <x:v>0</x:v>
      </x:c>
      <x:c r="K30" s="9" t="n">
        <x:f>IF(G30=0,"",SUMIFS('用户明细'!$J$7:$J$986,'用户明细'!$A$7:$A$986,A30)/G30)</x:f>
        <x:v>0.4</x:v>
      </x:c>
      <x:c r="L30" s="9" t="n">
        <x:f>IF(G30=0,"",SUMIFS('用户明细'!$K$7:$K$986,'用户明细'!$A$7:$A$986,A30)/G30)</x:f>
        <x:v>1.4</x:v>
      </x:c>
      <x:c r="M30" s="9" t="n">
        <x:f>IF(G30=0,"",L30-K30)</x:f>
        <x:v>0.9999999999999999</x:v>
      </x:c>
      <x:c r="N30" s="9" t="n">
        <x:f>IF(H30=0,"",SUMIFS('用户明细'!$J$7:$J$986,'用户明细'!$A$7:$A$986,A30,'用户明细'!$I$7:$I$986,1)/H30)</x:f>
        <x:v>1.3333333333333333</x:v>
      </x:c>
      <x:c r="O30" s="9" t="n">
        <x:f>IF(H30=0,"",SUMIFS('用户明细'!$K$7:$K$986,'用户明细'!$A$7:$A$986,A30,'用户明细'!$I$7:$I$986,1)/H30)</x:f>
        <x:v>2.3333333333333335</x:v>
      </x:c>
      <x:c r="P30" s="9" t="n">
        <x:v>1</x:v>
      </x:c>
      <x:c r="Q30" s="9" t="n">
        <x:v>1.4</x:v>
      </x:c>
      <x:c r="R30" s="9" t="n">
        <x:v>0.4</x:v>
      </x:c>
    </x:row>
    <x:row r="31" ht="24" customHeight="1">
      <x:c r="A31" s="2" t="str">
        <x:v>D020_T04_C020_G025</x:v>
      </x:c>
      <x:c r="B31" s="2" t="n">
        <x:v>4</x:v>
      </x:c>
      <x:c r="C31" s="20" t="n">
        <x:v>0.2</x:v>
      </x:c>
      <x:c r="D31" s="20" t="n">
        <x:v>0.25</x:v>
      </x:c>
      <x:c r="E31" s="20" t="n">
        <x:v>0.2</x:v>
      </x:c>
      <x:c r="F31" s="2" t="n">
        <x:f>COUNTIFS('用户明细'!$A$7:$A$986,A31)</x:f>
        <x:v>16</x:v>
      </x:c>
      <x:c r="G31" s="2" t="n">
        <x:f>COUNTIFS('用户明细'!$A$7:$A$986,A31,'用户明细'!$H$7:$H$986,1)</x:f>
        <x:v>6</x:v>
      </x:c>
      <x:c r="H31" s="2" t="n">
        <x:f>COUNTIFS('用户明细'!$A$7:$A$986,A31,'用户明细'!$I$7:$I$986,1)</x:f>
        <x:v>4</x:v>
      </x:c>
      <x:c r="I31" s="2" t="n">
        <x:f>COUNTIFS('用户明细'!$A$7:$A$986,A31,'用户明细'!$G$7:$G$986,"right_censored")</x:f>
        <x:v>10</x:v>
      </x:c>
      <x:c r="J31" s="2" t="n">
        <x:f>COUNTIFS('用户明细'!$A$7:$A$986,A31,'用户明细'!$G$7:$G$986,"resolved_before_release")</x:f>
        <x:v>0</x:v>
      </x:c>
      <x:c r="K31" s="9" t="n">
        <x:f>IF(G31=0,"",SUMIFS('用户明细'!$J$7:$J$986,'用户明细'!$A$7:$A$986,A31)/G31)</x:f>
        <x:v>1.6666666666666667</x:v>
      </x:c>
      <x:c r="L31" s="9" t="n">
        <x:f>IF(G31=0,"",SUMIFS('用户明细'!$K$7:$K$986,'用户明细'!$A$7:$A$986,A31)/G31)</x:f>
        <x:v>4.666666666666667</x:v>
      </x:c>
      <x:c r="M31" s="9" t="n">
        <x:f>IF(G31=0,"",L31-K31)</x:f>
        <x:v>3</x:v>
      </x:c>
      <x:c r="N31" s="9" t="n">
        <x:f>IF(H31=0,"",SUMIFS('用户明细'!$J$7:$J$986,'用户明细'!$A$7:$A$986,A31,'用户明细'!$I$7:$I$986,1)/H31)</x:f>
        <x:v>2.5</x:v>
      </x:c>
      <x:c r="O31" s="9" t="n">
        <x:f>IF(H31=0,"",SUMIFS('用户明细'!$K$7:$K$986,'用户明细'!$A$7:$A$986,A31,'用户明细'!$I$7:$I$986,1)/H31)</x:f>
        <x:v>5.5</x:v>
      </x:c>
      <x:c r="P31" s="9" t="n">
        <x:v>1</x:v>
      </x:c>
      <x:c r="Q31" s="9" t="n">
        <x:v>7.375</x:v>
      </x:c>
      <x:c r="R31" s="9" t="n">
        <x:v>2.5</x:v>
      </x:c>
    </x:row>
    <x:row r="32" ht="24" customHeight="1">
      <x:c r="A32" s="2" t="str">
        <x:v>D020_T04_C020_G050</x:v>
      </x:c>
      <x:c r="B32" s="2" t="n">
        <x:v>4</x:v>
      </x:c>
      <x:c r="C32" s="20" t="n">
        <x:v>0.2</x:v>
      </x:c>
      <x:c r="D32" s="20" t="n">
        <x:v>0.5</x:v>
      </x:c>
      <x:c r="E32" s="20" t="n">
        <x:v>0.2</x:v>
      </x:c>
      <x:c r="F32" s="2" t="n">
        <x:f>COUNTIFS('用户明细'!$A$7:$A$986,A32)</x:f>
        <x:v>19</x:v>
      </x:c>
      <x:c r="G32" s="2" t="n">
        <x:f>COUNTIFS('用户明细'!$A$7:$A$986,A32,'用户明细'!$H$7:$H$986,1)</x:f>
        <x:v>15</x:v>
      </x:c>
      <x:c r="H32" s="2" t="n">
        <x:f>COUNTIFS('用户明细'!$A$7:$A$986,A32,'用户明细'!$I$7:$I$986,1)</x:f>
        <x:v>10</x:v>
      </x:c>
      <x:c r="I32" s="2" t="n">
        <x:f>COUNTIFS('用户明细'!$A$7:$A$986,A32,'用户明细'!$G$7:$G$986,"right_censored")</x:f>
        <x:v>4</x:v>
      </x:c>
      <x:c r="J32" s="2" t="n">
        <x:f>COUNTIFS('用户明细'!$A$7:$A$986,A32,'用户明细'!$G$7:$G$986,"resolved_before_release")</x:f>
        <x:v>0</x:v>
      </x:c>
      <x:c r="K32" s="9" t="n">
        <x:f>IF(G32=0,"",SUMIFS('用户明细'!$J$7:$J$986,'用户明细'!$A$7:$A$986,A32)/G32)</x:f>
        <x:v>1.3333333333333333</x:v>
      </x:c>
      <x:c r="L32" s="9" t="n">
        <x:f>IF(G32=0,"",SUMIFS('用户明细'!$K$7:$K$986,'用户明细'!$A$7:$A$986,A32)/G32)</x:f>
        <x:v>3.933333333333333</x:v>
      </x:c>
      <x:c r="M32" s="9" t="n">
        <x:f>IF(G32=0,"",L32-K32)</x:f>
        <x:v>2.5999999999999996</x:v>
      </x:c>
      <x:c r="N32" s="9" t="n">
        <x:f>IF(H32=0,"",SUMIFS('用户明细'!$J$7:$J$986,'用户明细'!$A$7:$A$986,A32,'用户明细'!$I$7:$I$986,1)/H32)</x:f>
        <x:v>2</x:v>
      </x:c>
      <x:c r="O32" s="9" t="n">
        <x:f>IF(H32=0,"",SUMIFS('用户明细'!$K$7:$K$986,'用户明细'!$A$7:$A$986,A32,'用户明细'!$I$7:$I$986,1)/H32)</x:f>
        <x:v>4.4</x:v>
      </x:c>
      <x:c r="P32" s="9" t="n">
        <x:v>1.4</x:v>
      </x:c>
      <x:c r="Q32" s="9" t="n">
        <x:v>5.352941176470588</x:v>
      </x:c>
      <x:c r="R32" s="9" t="n">
        <x:v>1.5555555555555556</x:v>
      </x:c>
    </x:row>
    <x:row r="33" ht="24" customHeight="1">
      <x:c r="A33" s="2" t="str">
        <x:v>D020_T04_C020_G075</x:v>
      </x:c>
      <x:c r="B33" s="2" t="n">
        <x:v>4</x:v>
      </x:c>
      <x:c r="C33" s="20" t="n">
        <x:v>0.2</x:v>
      </x:c>
      <x:c r="D33" s="20" t="n">
        <x:v>0.75</x:v>
      </x:c>
      <x:c r="E33" s="20" t="n">
        <x:v>0.2</x:v>
      </x:c>
      <x:c r="F33" s="2" t="n">
        <x:f>COUNTIFS('用户明细'!$A$7:$A$986,A33)</x:f>
        <x:v>11</x:v>
      </x:c>
      <x:c r="G33" s="2" t="n">
        <x:f>COUNTIFS('用户明细'!$A$7:$A$986,A33,'用户明细'!$H$7:$H$986,1)</x:f>
        <x:v>9</x:v>
      </x:c>
      <x:c r="H33" s="2" t="n">
        <x:f>COUNTIFS('用户明细'!$A$7:$A$986,A33,'用户明细'!$I$7:$I$986,1)</x:f>
        <x:v>6</x:v>
      </x:c>
      <x:c r="I33" s="2" t="n">
        <x:f>COUNTIFS('用户明细'!$A$7:$A$986,A33,'用户明细'!$G$7:$G$986,"right_censored")</x:f>
        <x:v>2</x:v>
      </x:c>
      <x:c r="J33" s="2" t="n">
        <x:f>COUNTIFS('用户明细'!$A$7:$A$986,A33,'用户明细'!$G$7:$G$986,"resolved_before_release")</x:f>
        <x:v>0</x:v>
      </x:c>
      <x:c r="K33" s="9" t="n">
        <x:f>IF(G33=0,"",SUMIFS('用户明细'!$J$7:$J$986,'用户明细'!$A$7:$A$986,A33)/G33)</x:f>
        <x:v>1.3333333333333333</x:v>
      </x:c>
      <x:c r="L33" s="9" t="n">
        <x:f>IF(G33=0,"",SUMIFS('用户明细'!$K$7:$K$986,'用户明细'!$A$7:$A$986,A33)/G33)</x:f>
        <x:v>4.333333333333333</x:v>
      </x:c>
      <x:c r="M33" s="9" t="n">
        <x:f>IF(G33=0,"",L33-K33)</x:f>
        <x:v>3</x:v>
      </x:c>
      <x:c r="N33" s="9" t="n">
        <x:f>IF(H33=0,"",SUMIFS('用户明细'!$J$7:$J$986,'用户明细'!$A$7:$A$986,A33,'用户明细'!$I$7:$I$986,1)/H33)</x:f>
        <x:v>2</x:v>
      </x:c>
      <x:c r="O33" s="9" t="n">
        <x:f>IF(H33=0,"",SUMIFS('用户明细'!$K$7:$K$986,'用户明细'!$A$7:$A$986,A33,'用户明细'!$I$7:$I$986,1)/H33)</x:f>
        <x:v>5</x:v>
      </x:c>
      <x:c r="P33" s="9" t="n">
        <x:v>1</x:v>
      </x:c>
      <x:c r="Q33" s="9" t="n">
        <x:v>5.181818181818182</x:v>
      </x:c>
      <x:c r="R33" s="9" t="n">
        <x:v>1.4545454545454546</x:v>
      </x:c>
    </x:row>
    <x:row r="34" ht="24" customHeight="1">
      <x:c r="A34" s="2" t="str">
        <x:v>D020_T04_C080_G025</x:v>
      </x:c>
      <x:c r="B34" s="2" t="n">
        <x:v>4</x:v>
      </x:c>
      <x:c r="C34" s="20" t="n">
        <x:v>0.8</x:v>
      </x:c>
      <x:c r="D34" s="20" t="n">
        <x:v>0.25</x:v>
      </x:c>
      <x:c r="E34" s="20" t="n">
        <x:v>0.2</x:v>
      </x:c>
      <x:c r="F34" s="2" t="n">
        <x:f>COUNTIFS('用户明细'!$A$7:$A$986,A34)</x:f>
        <x:v>20</x:v>
      </x:c>
      <x:c r="G34" s="2" t="n">
        <x:f>COUNTIFS('用户明细'!$A$7:$A$986,A34,'用户明细'!$H$7:$H$986,1)</x:f>
        <x:v>14</x:v>
      </x:c>
      <x:c r="H34" s="2" t="n">
        <x:f>COUNTIFS('用户明细'!$A$7:$A$986,A34,'用户明细'!$I$7:$I$986,1)</x:f>
        <x:v>10</x:v>
      </x:c>
      <x:c r="I34" s="2" t="n">
        <x:f>COUNTIFS('用户明细'!$A$7:$A$986,A34,'用户明细'!$G$7:$G$986,"right_censored")</x:f>
        <x:v>6</x:v>
      </x:c>
      <x:c r="J34" s="2" t="n">
        <x:f>COUNTIFS('用户明细'!$A$7:$A$986,A34,'用户明细'!$G$7:$G$986,"resolved_before_release")</x:f>
        <x:v>0</x:v>
      </x:c>
      <x:c r="K34" s="9" t="n">
        <x:f>IF(G34=0,"",SUMIFS('用户明细'!$J$7:$J$986,'用户明细'!$A$7:$A$986,A34)/G34)</x:f>
        <x:v>2</x:v>
      </x:c>
      <x:c r="L34" s="9" t="n">
        <x:f>IF(G34=0,"",SUMIFS('用户明细'!$K$7:$K$986,'用户明细'!$A$7:$A$986,A34)/G34)</x:f>
        <x:v>4.5</x:v>
      </x:c>
      <x:c r="M34" s="9" t="n">
        <x:f>IF(G34=0,"",L34-K34)</x:f>
        <x:v>2.5</x:v>
      </x:c>
      <x:c r="N34" s="9" t="n">
        <x:f>IF(H34=0,"",SUMIFS('用户明细'!$J$7:$J$986,'用户明细'!$A$7:$A$986,A34,'用户明细'!$I$7:$I$986,1)/H34)</x:f>
        <x:v>2.8</x:v>
      </x:c>
      <x:c r="O34" s="9" t="n">
        <x:f>IF(H34=0,"",SUMIFS('用户明细'!$K$7:$K$986,'用户明细'!$A$7:$A$986,A34,'用户明细'!$I$7:$I$986,1)/H34)</x:f>
        <x:v>5.3</x:v>
      </x:c>
      <x:c r="P34" s="9" t="n">
        <x:v>1.5</x:v>
      </x:c>
      <x:c r="Q34" s="9" t="n">
        <x:v>6.176470588235294</x:v>
      </x:c>
      <x:c r="R34" s="9" t="n">
        <x:v>1.8888888888888888</x:v>
      </x:c>
    </x:row>
    <x:row r="35" ht="24" customHeight="1">
      <x:c r="A35" s="2" t="str">
        <x:v>D020_T04_C080_G050</x:v>
      </x:c>
      <x:c r="B35" s="2" t="n">
        <x:v>4</x:v>
      </x:c>
      <x:c r="C35" s="20" t="n">
        <x:v>0.8</x:v>
      </x:c>
      <x:c r="D35" s="20" t="n">
        <x:v>0.5</x:v>
      </x:c>
      <x:c r="E35" s="20" t="n">
        <x:v>0.2</x:v>
      </x:c>
      <x:c r="F35" s="2" t="n">
        <x:f>COUNTIFS('用户明细'!$A$7:$A$986,A35)</x:f>
        <x:v>17</x:v>
      </x:c>
      <x:c r="G35" s="2" t="n">
        <x:f>COUNTIFS('用户明细'!$A$7:$A$986,A35,'用户明细'!$H$7:$H$986,1)</x:f>
        <x:v>17</x:v>
      </x:c>
      <x:c r="H35" s="2" t="n">
        <x:f>COUNTIFS('用户明细'!$A$7:$A$986,A35,'用户明细'!$I$7:$I$986,1)</x:f>
        <x:v>8</x:v>
      </x:c>
      <x:c r="I35" s="2" t="n">
        <x:f>COUNTIFS('用户明细'!$A$7:$A$986,A35,'用户明细'!$G$7:$G$986,"right_censored")</x:f>
        <x:v>0</x:v>
      </x:c>
      <x:c r="J35" s="2" t="n">
        <x:f>COUNTIFS('用户明细'!$A$7:$A$986,A35,'用户明细'!$G$7:$G$986,"resolved_before_release")</x:f>
        <x:v>0</x:v>
      </x:c>
      <x:c r="K35" s="9" t="n">
        <x:f>IF(G35=0,"",SUMIFS('用户明细'!$J$7:$J$986,'用户明细'!$A$7:$A$986,A35)/G35)</x:f>
        <x:v>1</x:v>
      </x:c>
      <x:c r="L35" s="9" t="n">
        <x:f>IF(G35=0,"",SUMIFS('用户明细'!$K$7:$K$986,'用户明细'!$A$7:$A$986,A35)/G35)</x:f>
        <x:v>4</x:v>
      </x:c>
      <x:c r="M35" s="9" t="n">
        <x:f>IF(G35=0,"",L35-K35)</x:f>
        <x:v>3</x:v>
      </x:c>
      <x:c r="N35" s="9" t="n">
        <x:f>IF(H35=0,"",SUMIFS('用户明细'!$J$7:$J$986,'用户明细'!$A$7:$A$986,A35,'用户明细'!$I$7:$I$986,1)/H35)</x:f>
        <x:v>2.125</x:v>
      </x:c>
      <x:c r="O35" s="9" t="n">
        <x:f>IF(H35=0,"",SUMIFS('用户明细'!$K$7:$K$986,'用户明细'!$A$7:$A$986,A35,'用户明细'!$I$7:$I$986,1)/H35)</x:f>
        <x:v>5.125</x:v>
      </x:c>
      <x:c r="P35" s="9" t="n">
        <x:v>1</x:v>
      </x:c>
      <x:c r="Q35" s="9" t="n">
        <x:v>4</x:v>
      </x:c>
      <x:c r="R35" s="9" t="n">
        <x:v>0.8235294117647058</x:v>
      </x:c>
    </x:row>
    <x:row r="36" ht="24" customHeight="1">
      <x:c r="A36" s="2" t="str">
        <x:v>D020_T04_C080_G075</x:v>
      </x:c>
      <x:c r="B36" s="2" t="n">
        <x:v>4</x:v>
      </x:c>
      <x:c r="C36" s="20" t="n">
        <x:v>0.8</x:v>
      </x:c>
      <x:c r="D36" s="20" t="n">
        <x:v>0.75</x:v>
      </x:c>
      <x:c r="E36" s="20" t="n">
        <x:v>0.2</x:v>
      </x:c>
      <x:c r="F36" s="2" t="n">
        <x:f>COUNTIFS('用户明细'!$A$7:$A$986,A36)</x:f>
        <x:v>14</x:v>
      </x:c>
      <x:c r="G36" s="2" t="n">
        <x:f>COUNTIFS('用户明细'!$A$7:$A$986,A36,'用户明细'!$H$7:$H$986,1)</x:f>
        <x:v>14</x:v>
      </x:c>
      <x:c r="H36" s="2" t="n">
        <x:f>COUNTIFS('用户明细'!$A$7:$A$986,A36,'用户明细'!$I$7:$I$986,1)</x:f>
        <x:v>3</x:v>
      </x:c>
      <x:c r="I36" s="2" t="n">
        <x:f>COUNTIFS('用户明细'!$A$7:$A$986,A36,'用户明细'!$G$7:$G$986,"right_censored")</x:f>
        <x:v>0</x:v>
      </x:c>
      <x:c r="J36" s="2" t="n">
        <x:f>COUNTIFS('用户明细'!$A$7:$A$986,A36,'用户明细'!$G$7:$G$986,"resolved_before_release")</x:f>
        <x:v>0</x:v>
      </x:c>
      <x:c r="K36" s="9" t="n">
        <x:f>IF(G36=0,"",SUMIFS('用户明细'!$J$7:$J$986,'用户明细'!$A$7:$A$986,A36)/G36)</x:f>
        <x:v>0.2857142857142857</x:v>
      </x:c>
      <x:c r="L36" s="9" t="n">
        <x:f>IF(G36=0,"",SUMIFS('用户明细'!$K$7:$K$986,'用户明细'!$A$7:$A$986,A36)/G36)</x:f>
        <x:v>3.142857142857143</x:v>
      </x:c>
      <x:c r="M36" s="9" t="n">
        <x:f>IF(G36=0,"",L36-K36)</x:f>
        <x:v>2.857142857142857</x:v>
      </x:c>
      <x:c r="N36" s="9" t="n">
        <x:f>IF(H36=0,"",SUMIFS('用户明细'!$J$7:$J$986,'用户明细'!$A$7:$A$986,A36,'用户明细'!$I$7:$I$986,1)/H36)</x:f>
        <x:v>1.3333333333333333</x:v>
      </x:c>
      <x:c r="O36" s="9" t="n">
        <x:f>IF(H36=0,"",SUMIFS('用户明细'!$K$7:$K$986,'用户明细'!$A$7:$A$986,A36,'用户明细'!$I$7:$I$986,1)/H36)</x:f>
        <x:v>4.333333333333333</x:v>
      </x:c>
      <x:c r="P36" s="9" t="n">
        <x:v>1.1428571428571428</x:v>
      </x:c>
      <x:c r="Q36" s="9" t="n">
        <x:v>3.3076923076923075</x:v>
      </x:c>
      <x:c r="R36" s="9" t="n">
        <x:v>0.2857142857142857</x:v>
      </x:c>
    </x:row>
    <x:row r="37" ht="24" customHeight="1">
      <x:c r="A37" s="2" t="str">
        <x:v>D020_T07_C020_G025</x:v>
      </x:c>
      <x:c r="B37" s="2" t="n">
        <x:v>7</x:v>
      </x:c>
      <x:c r="C37" s="20" t="n">
        <x:v>0.2</x:v>
      </x:c>
      <x:c r="D37" s="20" t="n">
        <x:v>0.25</x:v>
      </x:c>
      <x:c r="E37" s="20" t="n">
        <x:v>0.2</x:v>
      </x:c>
      <x:c r="F37" s="2" t="n">
        <x:f>COUNTIFS('用户明细'!$A$7:$A$986,A37)</x:f>
        <x:v>21</x:v>
      </x:c>
      <x:c r="G37" s="2" t="n">
        <x:f>COUNTIFS('用户明细'!$A$7:$A$986,A37,'用户明细'!$H$7:$H$986,1)</x:f>
        <x:v>2</x:v>
      </x:c>
      <x:c r="H37" s="2" t="n">
        <x:f>COUNTIFS('用户明细'!$A$7:$A$986,A37,'用户明细'!$I$7:$I$986,1)</x:f>
        <x:v>0</x:v>
      </x:c>
      <x:c r="I37" s="2" t="n">
        <x:f>COUNTIFS('用户明细'!$A$7:$A$986,A37,'用户明细'!$G$7:$G$986,"right_censored")</x:f>
        <x:v>19</x:v>
      </x:c>
      <x:c r="J37" s="2" t="n">
        <x:f>COUNTIFS('用户明细'!$A$7:$A$986,A37,'用户明细'!$G$7:$G$986,"resolved_before_release")</x:f>
        <x:v>0</x:v>
      </x:c>
      <x:c r="K37" s="9" t="n">
        <x:f>IF(G37=0,"",SUMIFS('用户明细'!$J$7:$J$986,'用户明细'!$A$7:$A$986,A37)/G37)</x:f>
        <x:v>0</x:v>
      </x:c>
      <x:c r="L37" s="9" t="n">
        <x:f>IF(G37=0,"",SUMIFS('用户明细'!$K$7:$K$986,'用户明细'!$A$7:$A$986,A37)/G37)</x:f>
        <x:v>6</x:v>
      </x:c>
      <x:c r="M37" s="9" t="n">
        <x:f>IF(G37=0,"",L37-K37)</x:f>
        <x:v>6</x:v>
      </x:c>
      <x:c r="N37" s="9" t="str">
        <x:f>IF(H37=0,"",SUMIFS('用户明细'!$J$7:$J$986,'用户明细'!$A$7:$A$986,A37,'用户明细'!$I$7:$I$986,1)/H37)</x:f>
      </x:c>
      <x:c r="O37" s="9" t="str">
        <x:f>IF(H37=0,"",SUMIFS('用户明细'!$K$7:$K$986,'用户明细'!$A$7:$A$986,A37,'用户明细'!$I$7:$I$986,1)/H37)</x:f>
      </x:c>
      <x:c r="P37" s="9" t="n">
        <x:v>1</x:v>
      </x:c>
      <x:c r="Q37" s="9" t="n">
        <x:v>8.7</x:v>
      </x:c>
      <x:c r="R37" s="9" t="n">
        <x:v>2.7142857142857144</x:v>
      </x:c>
    </x:row>
    <x:row r="38" ht="24" customHeight="1">
      <x:c r="A38" s="2" t="str">
        <x:v>D020_T07_C020_G050</x:v>
      </x:c>
      <x:c r="B38" s="2" t="n">
        <x:v>7</x:v>
      </x:c>
      <x:c r="C38" s="20" t="n">
        <x:v>0.2</x:v>
      </x:c>
      <x:c r="D38" s="20" t="n">
        <x:v>0.5</x:v>
      </x:c>
      <x:c r="E38" s="20" t="n">
        <x:v>0.2</x:v>
      </x:c>
      <x:c r="F38" s="2" t="n">
        <x:f>COUNTIFS('用户明细'!$A$7:$A$986,A38)</x:f>
        <x:v>18</x:v>
      </x:c>
      <x:c r="G38" s="2" t="n">
        <x:f>COUNTIFS('用户明细'!$A$7:$A$986,A38,'用户明细'!$H$7:$H$986,1)</x:f>
        <x:v>13</x:v>
      </x:c>
      <x:c r="H38" s="2" t="n">
        <x:f>COUNTIFS('用户明细'!$A$7:$A$986,A38,'用户明细'!$I$7:$I$986,1)</x:f>
        <x:v>11</x:v>
      </x:c>
      <x:c r="I38" s="2" t="n">
        <x:f>COUNTIFS('用户明细'!$A$7:$A$986,A38,'用户明细'!$G$7:$G$986,"right_censored")</x:f>
        <x:v>5</x:v>
      </x:c>
      <x:c r="J38" s="2" t="n">
        <x:f>COUNTIFS('用户明细'!$A$7:$A$986,A38,'用户明细'!$G$7:$G$986,"resolved_before_release")</x:f>
        <x:v>0</x:v>
      </x:c>
      <x:c r="K38" s="9" t="n">
        <x:f>IF(G38=0,"",SUMIFS('用户明细'!$J$7:$J$986,'用户明细'!$A$7:$A$986,A38)/G38)</x:f>
        <x:v>1.6153846153846154</x:v>
      </x:c>
      <x:c r="L38" s="9" t="n">
        <x:f>IF(G38=0,"",SUMIFS('用户明细'!$K$7:$K$986,'用户明细'!$A$7:$A$986,A38)/G38)</x:f>
        <x:v>7.615384615384615</x:v>
      </x:c>
      <x:c r="M38" s="9" t="n">
        <x:f>IF(G38=0,"",L38-K38)</x:f>
        <x:v>6</x:v>
      </x:c>
      <x:c r="N38" s="9" t="n">
        <x:f>IF(H38=0,"",SUMIFS('用户明细'!$J$7:$J$986,'用户明细'!$A$7:$A$986,A38,'用户明细'!$I$7:$I$986,1)/H38)</x:f>
        <x:v>1.9090909090909092</x:v>
      </x:c>
      <x:c r="O38" s="9" t="n">
        <x:f>IF(H38=0,"",SUMIFS('用户明细'!$K$7:$K$986,'用户明细'!$A$7:$A$986,A38,'用户明细'!$I$7:$I$986,1)/H38)</x:f>
        <x:v>7.909090909090909</x:v>
      </x:c>
      <x:c r="P38" s="9" t="n">
        <x:v>1</x:v>
      </x:c>
      <x:c r="Q38" s="9" t="n">
        <x:v>8</x:v>
      </x:c>
      <x:c r="R38" s="9" t="n">
        <x:v>2</x:v>
      </x:c>
    </x:row>
    <x:row r="39" ht="24" customHeight="1">
      <x:c r="A39" s="2" t="str">
        <x:v>D020_T07_C020_G075</x:v>
      </x:c>
      <x:c r="B39" s="2" t="n">
        <x:v>7</x:v>
      </x:c>
      <x:c r="C39" s="20" t="n">
        <x:v>0.2</x:v>
      </x:c>
      <x:c r="D39" s="20" t="n">
        <x:v>0.75</x:v>
      </x:c>
      <x:c r="E39" s="20" t="n">
        <x:v>0.2</x:v>
      </x:c>
      <x:c r="F39" s="2" t="n">
        <x:f>COUNTIFS('用户明细'!$A$7:$A$986,A39)</x:f>
        <x:v>20</x:v>
      </x:c>
      <x:c r="G39" s="2" t="n">
        <x:f>COUNTIFS('用户明细'!$A$7:$A$986,A39,'用户明细'!$H$7:$H$986,1)</x:f>
        <x:v>12</x:v>
      </x:c>
      <x:c r="H39" s="2" t="n">
        <x:f>COUNTIFS('用户明细'!$A$7:$A$986,A39,'用户明细'!$I$7:$I$986,1)</x:f>
        <x:v>7</x:v>
      </x:c>
      <x:c r="I39" s="2" t="n">
        <x:f>COUNTIFS('用户明细'!$A$7:$A$986,A39,'用户明细'!$G$7:$G$986,"right_censored")</x:f>
        <x:v>7</x:v>
      </x:c>
      <x:c r="J39" s="2" t="n">
        <x:f>COUNTIFS('用户明细'!$A$7:$A$986,A39,'用户明细'!$G$7:$G$986,"resolved_before_release")</x:f>
        <x:v>1</x:v>
      </x:c>
      <x:c r="K39" s="9" t="n">
        <x:f>IF(G39=0,"",SUMIFS('用户明细'!$J$7:$J$986,'用户明细'!$A$7:$A$986,A39)/G39)</x:f>
        <x:v>0.9166666666666666</x:v>
      </x:c>
      <x:c r="L39" s="9" t="n">
        <x:f>IF(G39=0,"",SUMIFS('用户明细'!$K$7:$K$986,'用户明细'!$A$7:$A$986,A39)/G39)</x:f>
        <x:v>6.583333333333333</x:v>
      </x:c>
      <x:c r="M39" s="9" t="n">
        <x:f>IF(G39=0,"",L39-K39)</x:f>
        <x:v>5.666666666666666</x:v>
      </x:c>
      <x:c r="N39" s="9" t="n">
        <x:f>IF(H39=0,"",SUMIFS('用户明细'!$J$7:$J$986,'用户明细'!$A$7:$A$986,A39,'用户明细'!$I$7:$I$986,1)/H39)</x:f>
        <x:v>1.5714285714285714</x:v>
      </x:c>
      <x:c r="O39" s="9" t="n">
        <x:f>IF(H39=0,"",SUMIFS('用户明细'!$K$7:$K$986,'用户明细'!$A$7:$A$986,A39,'用户明细'!$I$7:$I$986,1)/H39)</x:f>
        <x:v>7.571428571428571</x:v>
      </x:c>
      <x:c r="P39" s="9" t="n">
        <x:v>1.3333333333333333</x:v>
      </x:c>
      <x:c r="Q39" s="9" t="n">
        <x:v>7.705882352941177</x:v>
      </x:c>
      <x:c r="R39" s="9" t="n">
        <x:v>1.6111111111111112</x:v>
      </x:c>
    </x:row>
    <x:row r="40" ht="24" customHeight="1">
      <x:c r="A40" s="2" t="str">
        <x:v>D020_T07_C080_G025</x:v>
      </x:c>
      <x:c r="B40" s="2" t="n">
        <x:v>7</x:v>
      </x:c>
      <x:c r="C40" s="20" t="n">
        <x:v>0.8</x:v>
      </x:c>
      <x:c r="D40" s="20" t="n">
        <x:v>0.25</x:v>
      </x:c>
      <x:c r="E40" s="20" t="n">
        <x:v>0.2</x:v>
      </x:c>
      <x:c r="F40" s="2" t="n">
        <x:f>COUNTIFS('用户明细'!$A$7:$A$986,A40)</x:f>
        <x:v>18</x:v>
      </x:c>
      <x:c r="G40" s="2" t="n">
        <x:f>COUNTIFS('用户明细'!$A$7:$A$986,A40,'用户明细'!$H$7:$H$986,1)</x:f>
        <x:v>6</x:v>
      </x:c>
      <x:c r="H40" s="2" t="n">
        <x:f>COUNTIFS('用户明细'!$A$7:$A$986,A40,'用户明细'!$I$7:$I$986,1)</x:f>
        <x:v>5</x:v>
      </x:c>
      <x:c r="I40" s="2" t="n">
        <x:f>COUNTIFS('用户明细'!$A$7:$A$986,A40,'用户明细'!$G$7:$G$986,"right_censored")</x:f>
        <x:v>12</x:v>
      </x:c>
      <x:c r="J40" s="2" t="n">
        <x:f>COUNTIFS('用户明细'!$A$7:$A$986,A40,'用户明细'!$G$7:$G$986,"resolved_before_release")</x:f>
        <x:v>0</x:v>
      </x:c>
      <x:c r="K40" s="9" t="n">
        <x:f>IF(G40=0,"",SUMIFS('用户明细'!$J$7:$J$986,'用户明细'!$A$7:$A$986,A40)/G40)</x:f>
        <x:v>2.1666666666666665</x:v>
      </x:c>
      <x:c r="L40" s="9" t="n">
        <x:f>IF(G40=0,"",SUMIFS('用户明细'!$K$7:$K$986,'用户明细'!$A$7:$A$986,A40)/G40)</x:f>
        <x:v>8.166666666666666</x:v>
      </x:c>
      <x:c r="M40" s="9" t="n">
        <x:f>IF(G40=0,"",L40-K40)</x:f>
        <x:v>6</x:v>
      </x:c>
      <x:c r="N40" s="9" t="n">
        <x:f>IF(H40=0,"",SUMIFS('用户明细'!$J$7:$J$986,'用户明细'!$A$7:$A$986,A40,'用户明细'!$I$7:$I$986,1)/H40)</x:f>
        <x:v>2.6</x:v>
      </x:c>
      <x:c r="O40" s="9" t="n">
        <x:f>IF(H40=0,"",SUMIFS('用户明细'!$K$7:$K$986,'用户明细'!$A$7:$A$986,A40,'用户明细'!$I$7:$I$986,1)/H40)</x:f>
        <x:v>8.6</x:v>
      </x:c>
      <x:c r="P40" s="9" t="n">
        <x:v>1</x:v>
      </x:c>
      <x:c r="Q40" s="9" t="n">
        <x:v>8.705882352941176</x:v>
      </x:c>
      <x:c r="R40" s="9" t="n">
        <x:v>2.7058823529411766</x:v>
      </x:c>
    </x:row>
    <x:row r="41" ht="24" customHeight="1">
      <x:c r="A41" s="2" t="str">
        <x:v>D020_T07_C080_G050</x:v>
      </x:c>
      <x:c r="B41" s="2" t="n">
        <x:v>7</x:v>
      </x:c>
      <x:c r="C41" s="20" t="n">
        <x:v>0.8</x:v>
      </x:c>
      <x:c r="D41" s="20" t="n">
        <x:v>0.5</x:v>
      </x:c>
      <x:c r="E41" s="20" t="n">
        <x:v>0.2</x:v>
      </x:c>
      <x:c r="F41" s="2" t="n">
        <x:f>COUNTIFS('用户明细'!$A$7:$A$986,A41)</x:f>
        <x:v>21</x:v>
      </x:c>
      <x:c r="G41" s="2" t="n">
        <x:f>COUNTIFS('用户明细'!$A$7:$A$986,A41,'用户明细'!$H$7:$H$986,1)</x:f>
        <x:v>20</x:v>
      </x:c>
      <x:c r="H41" s="2" t="n">
        <x:f>COUNTIFS('用户明细'!$A$7:$A$986,A41,'用户明细'!$I$7:$I$986,1)</x:f>
        <x:v>8</x:v>
      </x:c>
      <x:c r="I41" s="2" t="n">
        <x:f>COUNTIFS('用户明细'!$A$7:$A$986,A41,'用户明细'!$G$7:$G$986,"right_censored")</x:f>
        <x:v>1</x:v>
      </x:c>
      <x:c r="J41" s="2" t="n">
        <x:f>COUNTIFS('用户明细'!$A$7:$A$986,A41,'用户明细'!$G$7:$G$986,"resolved_before_release")</x:f>
        <x:v>0</x:v>
      </x:c>
      <x:c r="K41" s="9" t="n">
        <x:f>IF(G41=0,"",SUMIFS('用户明细'!$J$7:$J$986,'用户明细'!$A$7:$A$986,A41)/G41)</x:f>
        <x:v>0.55</x:v>
      </x:c>
      <x:c r="L41" s="9" t="n">
        <x:f>IF(G41=0,"",SUMIFS('用户明细'!$K$7:$K$986,'用户明细'!$A$7:$A$986,A41)/G41)</x:f>
        <x:v>6.05</x:v>
      </x:c>
      <x:c r="M41" s="9" t="n">
        <x:f>IF(G41=0,"",L41-K41)</x:f>
        <x:v>5.5</x:v>
      </x:c>
      <x:c r="N41" s="9" t="n">
        <x:f>IF(H41=0,"",SUMIFS('用户明细'!$J$7:$J$986,'用户明细'!$A$7:$A$986,A41,'用户明细'!$I$7:$I$986,1)/H41)</x:f>
        <x:v>1.375</x:v>
      </x:c>
      <x:c r="O41" s="9" t="n">
        <x:f>IF(H41=0,"",SUMIFS('用户明细'!$K$7:$K$986,'用户明细'!$A$7:$A$986,A41,'用户明细'!$I$7:$I$986,1)/H41)</x:f>
        <x:v>6.5</x:v>
      </x:c>
      <x:c r="P41" s="9" t="n">
        <x:v>1.5</x:v>
      </x:c>
      <x:c r="Q41" s="9" t="n">
        <x:v>6.631578947368421</x:v>
      </x:c>
      <x:c r="R41" s="9" t="n">
        <x:v>0.6</x:v>
      </x:c>
    </x:row>
    <x:row r="42" ht="24" customHeight="1">
      <x:c r="A42" s="2" t="str">
        <x:v>D020_T07_C080_G075</x:v>
      </x:c>
      <x:c r="B42" s="2" t="n">
        <x:v>7</x:v>
      </x:c>
      <x:c r="C42" s="20" t="n">
        <x:v>0.8</x:v>
      </x:c>
      <x:c r="D42" s="20" t="n">
        <x:v>0.75</x:v>
      </x:c>
      <x:c r="E42" s="20" t="n">
        <x:v>0.2</x:v>
      </x:c>
      <x:c r="F42" s="2" t="n">
        <x:f>COUNTIFS('用户明细'!$A$7:$A$986,A42)</x:f>
        <x:v>18</x:v>
      </x:c>
      <x:c r="G42" s="2" t="n">
        <x:f>COUNTIFS('用户明细'!$A$7:$A$986,A42,'用户明细'!$H$7:$H$986,1)</x:f>
        <x:v>18</x:v>
      </x:c>
      <x:c r="H42" s="2" t="n">
        <x:f>COUNTIFS('用户明细'!$A$7:$A$986,A42,'用户明细'!$I$7:$I$986,1)</x:f>
        <x:v>8</x:v>
      </x:c>
      <x:c r="I42" s="2" t="n">
        <x:f>COUNTIFS('用户明细'!$A$7:$A$986,A42,'用户明细'!$G$7:$G$986,"right_censored")</x:f>
        <x:v>0</x:v>
      </x:c>
      <x:c r="J42" s="2" t="n">
        <x:f>COUNTIFS('用户明细'!$A$7:$A$986,A42,'用户明细'!$G$7:$G$986,"resolved_before_release")</x:f>
        <x:v>0</x:v>
      </x:c>
      <x:c r="K42" s="9" t="n">
        <x:f>IF(G42=0,"",SUMIFS('用户明细'!$J$7:$J$986,'用户明细'!$A$7:$A$986,A42)/G42)</x:f>
        <x:v>0.6666666666666666</x:v>
      </x:c>
      <x:c r="L42" s="9" t="n">
        <x:f>IF(G42=0,"",SUMIFS('用户明细'!$K$7:$K$986,'用户明细'!$A$7:$A$986,A42)/G42)</x:f>
        <x:v>5.777777777777778</x:v>
      </x:c>
      <x:c r="M42" s="9" t="n">
        <x:f>IF(G42=0,"",L42-K42)</x:f>
        <x:v>5.111111111111111</x:v>
      </x:c>
      <x:c r="N42" s="9" t="n">
        <x:f>IF(H42=0,"",SUMIFS('用户明细'!$J$7:$J$986,'用户明细'!$A$7:$A$986,A42,'用户明细'!$I$7:$I$986,1)/H42)</x:f>
        <x:v>1.5</x:v>
      </x:c>
      <x:c r="O42" s="9" t="n">
        <x:f>IF(H42=0,"",SUMIFS('用户明细'!$K$7:$K$986,'用户明细'!$A$7:$A$986,A42,'用户明细'!$I$7:$I$986,1)/H42)</x:f>
        <x:v>6</x:v>
      </x:c>
      <x:c r="P42" s="9" t="n">
        <x:v>1.8888888888888888</x:v>
      </x:c>
      <x:c r="Q42" s="9" t="n">
        <x:v>6.666666666666667</x:v>
      </x:c>
      <x:c r="R42" s="9" t="n">
        <x:v>0.625</x:v>
      </x:c>
    </x:row>
    <x:row r="43" ht="24" customHeight="1">
      <x:c r="A43" s="2" t="str">
        <x:v>D040_T02_C020_G025</x:v>
      </x:c>
      <x:c r="B43" s="2" t="n">
        <x:v>2</x:v>
      </x:c>
      <x:c r="C43" s="20" t="n">
        <x:v>0.2</x:v>
      </x:c>
      <x:c r="D43" s="20" t="n">
        <x:v>0.25</x:v>
      </x:c>
      <x:c r="E43" s="20" t="n">
        <x:v>0.4</x:v>
      </x:c>
      <x:c r="F43" s="2" t="n">
        <x:f>COUNTIFS('用户明细'!$A$7:$A$986,A43)</x:f>
        <x:v>32</x:v>
      </x:c>
      <x:c r="G43" s="2" t="n">
        <x:f>COUNTIFS('用户明细'!$A$7:$A$986,A43,'用户明细'!$H$7:$H$986,1)</x:f>
        <x:v>26</x:v>
      </x:c>
      <x:c r="H43" s="2" t="n">
        <x:f>COUNTIFS('用户明细'!$A$7:$A$986,A43,'用户明细'!$I$7:$I$986,1)</x:f>
        <x:v>26</x:v>
      </x:c>
      <x:c r="I43" s="2" t="n">
        <x:f>COUNTIFS('用户明细'!$A$7:$A$986,A43,'用户明细'!$G$7:$G$986,"right_censored")</x:f>
        <x:v>6</x:v>
      </x:c>
      <x:c r="J43" s="2" t="n">
        <x:f>COUNTIFS('用户明细'!$A$7:$A$986,A43,'用户明细'!$G$7:$G$986,"resolved_before_release")</x:f>
        <x:v>0</x:v>
      </x:c>
      <x:c r="K43" s="9" t="n">
        <x:f>IF(G43=0,"",SUMIFS('用户明细'!$J$7:$J$986,'用户明细'!$A$7:$A$986,A43)/G43)</x:f>
        <x:v>4.269230769230769</x:v>
      </x:c>
      <x:c r="L43" s="9" t="n">
        <x:f>IF(G43=0,"",SUMIFS('用户明细'!$K$7:$K$986,'用户明细'!$A$7:$A$986,A43)/G43)</x:f>
        <x:v>5.269230769230769</x:v>
      </x:c>
      <x:c r="M43" s="9" t="n">
        <x:f>IF(G43=0,"",L43-K43)</x:f>
        <x:v>1</x:v>
      </x:c>
      <x:c r="N43" s="9" t="n">
        <x:f>IF(H43=0,"",SUMIFS('用户明细'!$J$7:$J$986,'用户明细'!$A$7:$A$986,A43,'用户明细'!$I$7:$I$986,1)/H43)</x:f>
        <x:v>4.269230769230769</x:v>
      </x:c>
      <x:c r="O43" s="9" t="n">
        <x:f>IF(H43=0,"",SUMIFS('用户明细'!$K$7:$K$986,'用户明细'!$A$7:$A$986,A43,'用户明细'!$I$7:$I$986,1)/H43)</x:f>
        <x:v>5.269230769230769</x:v>
      </x:c>
      <x:c r="P43" s="9" t="n">
        <x:v>1</x:v>
      </x:c>
      <x:c r="Q43" s="9" t="n">
        <x:v>5.96875</x:v>
      </x:c>
      <x:c r="R43" s="9" t="n">
        <x:v>2.71875</x:v>
      </x:c>
    </x:row>
    <x:row r="44" ht="24" customHeight="1">
      <x:c r="A44" s="2" t="str">
        <x:v>D040_T02_C020_G050</x:v>
      </x:c>
      <x:c r="B44" s="2" t="n">
        <x:v>2</x:v>
      </x:c>
      <x:c r="C44" s="20" t="n">
        <x:v>0.2</x:v>
      </x:c>
      <x:c r="D44" s="20" t="n">
        <x:v>0.5</x:v>
      </x:c>
      <x:c r="E44" s="20" t="n">
        <x:v>0.4</x:v>
      </x:c>
      <x:c r="F44" s="2" t="n">
        <x:f>COUNTIFS('用户明细'!$A$7:$A$986,A44)</x:f>
        <x:v>29</x:v>
      </x:c>
      <x:c r="G44" s="2" t="n">
        <x:f>COUNTIFS('用户明细'!$A$7:$A$986,A44,'用户明细'!$H$7:$H$986,1)</x:f>
        <x:v>28</x:v>
      </x:c>
      <x:c r="H44" s="2" t="n">
        <x:f>COUNTIFS('用户明细'!$A$7:$A$986,A44,'用户明细'!$I$7:$I$986,1)</x:f>
        <x:v>22</x:v>
      </x:c>
      <x:c r="I44" s="2" t="n">
        <x:f>COUNTIFS('用户明细'!$A$7:$A$986,A44,'用户明细'!$G$7:$G$986,"right_censored")</x:f>
        <x:v>1</x:v>
      </x:c>
      <x:c r="J44" s="2" t="n">
        <x:f>COUNTIFS('用户明细'!$A$7:$A$986,A44,'用户明细'!$G$7:$G$986,"resolved_before_release")</x:f>
        <x:v>0</x:v>
      </x:c>
      <x:c r="K44" s="9" t="n">
        <x:f>IF(G44=0,"",SUMIFS('用户明细'!$J$7:$J$986,'用户明细'!$A$7:$A$986,A44)/G44)</x:f>
        <x:v>1.4642857142857142</x:v>
      </x:c>
      <x:c r="L44" s="9" t="n">
        <x:f>IF(G44=0,"",SUMIFS('用户明细'!$K$7:$K$986,'用户明细'!$A$7:$A$986,A44)/G44)</x:f>
        <x:v>2.4642857142857144</x:v>
      </x:c>
      <x:c r="M44" s="9" t="n">
        <x:f>IF(G44=0,"",L44-K44)</x:f>
        <x:v>1.0000000000000002</x:v>
      </x:c>
      <x:c r="N44" s="9" t="n">
        <x:f>IF(H44=0,"",SUMIFS('用户明细'!$J$7:$J$986,'用户明细'!$A$7:$A$986,A44,'用户明细'!$I$7:$I$986,1)/H44)</x:f>
        <x:v>1.8636363636363635</x:v>
      </x:c>
      <x:c r="O44" s="9" t="n">
        <x:f>IF(H44=0,"",SUMIFS('用户明细'!$K$7:$K$986,'用户明细'!$A$7:$A$986,A44,'用户明细'!$I$7:$I$986,1)/H44)</x:f>
        <x:v>2.8636363636363638</x:v>
      </x:c>
      <x:c r="P44" s="9" t="n">
        <x:v>1</x:v>
      </x:c>
      <x:c r="Q44" s="9" t="n">
        <x:v>2.689655172413793</x:v>
      </x:c>
      <x:c r="R44" s="9" t="n">
        <x:v>1.5172413793103448</x:v>
      </x:c>
    </x:row>
    <x:row r="45" ht="24" customHeight="1">
      <x:c r="A45" s="2" t="str">
        <x:v>D040_T02_C020_G075</x:v>
      </x:c>
      <x:c r="B45" s="2" t="n">
        <x:v>2</x:v>
      </x:c>
      <x:c r="C45" s="20" t="n">
        <x:v>0.2</x:v>
      </x:c>
      <x:c r="D45" s="20" t="n">
        <x:v>0.75</x:v>
      </x:c>
      <x:c r="E45" s="20" t="n">
        <x:v>0.4</x:v>
      </x:c>
      <x:c r="F45" s="2" t="n">
        <x:f>COUNTIFS('用户明细'!$A$7:$A$986,A45)</x:f>
        <x:v>31</x:v>
      </x:c>
      <x:c r="G45" s="2" t="n">
        <x:f>COUNTIFS('用户明细'!$A$7:$A$986,A45,'用户明细'!$H$7:$H$986,1)</x:f>
        <x:v>31</x:v>
      </x:c>
      <x:c r="H45" s="2" t="n">
        <x:f>COUNTIFS('用户明细'!$A$7:$A$986,A45,'用户明细'!$I$7:$I$986,1)</x:f>
        <x:v>25</x:v>
      </x:c>
      <x:c r="I45" s="2" t="n">
        <x:f>COUNTIFS('用户明细'!$A$7:$A$986,A45,'用户明细'!$G$7:$G$986,"right_censored")</x:f>
        <x:v>0</x:v>
      </x:c>
      <x:c r="J45" s="2" t="n">
        <x:f>COUNTIFS('用户明细'!$A$7:$A$986,A45,'用户明细'!$G$7:$G$986,"resolved_before_release")</x:f>
        <x:v>0</x:v>
      </x:c>
      <x:c r="K45" s="9" t="n">
        <x:f>IF(G45=0,"",SUMIFS('用户明细'!$J$7:$J$986,'用户明细'!$A$7:$A$986,A45)/G45)</x:f>
        <x:v>1.3548387096774193</x:v>
      </x:c>
      <x:c r="L45" s="9" t="n">
        <x:f>IF(G45=0,"",SUMIFS('用户明细'!$K$7:$K$986,'用户明细'!$A$7:$A$986,A45)/G45)</x:f>
        <x:v>2.3548387096774195</x:v>
      </x:c>
      <x:c r="M45" s="9" t="n">
        <x:f>IF(G45=0,"",L45-K45)</x:f>
        <x:v>1.0000000000000002</x:v>
      </x:c>
      <x:c r="N45" s="9" t="n">
        <x:f>IF(H45=0,"",SUMIFS('用户明细'!$J$7:$J$986,'用户明细'!$A$7:$A$986,A45,'用户明细'!$I$7:$I$986,1)/H45)</x:f>
        <x:v>1.68</x:v>
      </x:c>
      <x:c r="O45" s="9" t="n">
        <x:f>IF(H45=0,"",SUMIFS('用户明细'!$K$7:$K$986,'用户明细'!$A$7:$A$986,A45,'用户明细'!$I$7:$I$986,1)/H45)</x:f>
        <x:v>2.68</x:v>
      </x:c>
      <x:c r="P45" s="9" t="n">
        <x:v>1</x:v>
      </x:c>
      <x:c r="Q45" s="9" t="n">
        <x:v>2.3548387096774195</x:v>
      </x:c>
      <x:c r="R45" s="9" t="n">
        <x:v>1.3548387096774193</x:v>
      </x:c>
    </x:row>
    <x:row r="46" ht="24" customHeight="1">
      <x:c r="A46" s="2" t="str">
        <x:v>D040_T02_C080_G025</x:v>
      </x:c>
      <x:c r="B46" s="2" t="n">
        <x:v>2</x:v>
      </x:c>
      <x:c r="C46" s="20" t="n">
        <x:v>0.8</x:v>
      </x:c>
      <x:c r="D46" s="20" t="n">
        <x:v>0.25</x:v>
      </x:c>
      <x:c r="E46" s="20" t="n">
        <x:v>0.4</x:v>
      </x:c>
      <x:c r="F46" s="2" t="n">
        <x:f>COUNTIFS('用户明细'!$A$7:$A$986,A46)</x:f>
        <x:v>32</x:v>
      </x:c>
      <x:c r="G46" s="2" t="n">
        <x:f>COUNTIFS('用户明细'!$A$7:$A$986,A46,'用户明细'!$H$7:$H$986,1)</x:f>
        <x:v>28</x:v>
      </x:c>
      <x:c r="H46" s="2" t="n">
        <x:f>COUNTIFS('用户明细'!$A$7:$A$986,A46,'用户明细'!$I$7:$I$986,1)</x:f>
        <x:v>23</x:v>
      </x:c>
      <x:c r="I46" s="2" t="n">
        <x:f>COUNTIFS('用户明细'!$A$7:$A$986,A46,'用户明细'!$G$7:$G$986,"right_censored")</x:f>
        <x:v>4</x:v>
      </x:c>
      <x:c r="J46" s="2" t="n">
        <x:f>COUNTIFS('用户明细'!$A$7:$A$986,A46,'用户明细'!$G$7:$G$986,"resolved_before_release")</x:f>
        <x:v>0</x:v>
      </x:c>
      <x:c r="K46" s="9" t="n">
        <x:f>IF(G46=0,"",SUMIFS('用户明细'!$J$7:$J$986,'用户明细'!$A$7:$A$986,A46)/G46)</x:f>
        <x:v>3.0357142857142856</x:v>
      </x:c>
      <x:c r="L46" s="9" t="n">
        <x:f>IF(G46=0,"",SUMIFS('用户明细'!$K$7:$K$986,'用户明细'!$A$7:$A$986,A46)/G46)</x:f>
        <x:v>4.035714285714286</x:v>
      </x:c>
      <x:c r="M46" s="9" t="n">
        <x:f>IF(G46=0,"",L46-K46)</x:f>
        <x:v>1</x:v>
      </x:c>
      <x:c r="N46" s="9" t="n">
        <x:f>IF(H46=0,"",SUMIFS('用户明细'!$J$7:$J$986,'用户明细'!$A$7:$A$986,A46,'用户明细'!$I$7:$I$986,1)/H46)</x:f>
        <x:v>3.6956521739130435</x:v>
      </x:c>
      <x:c r="O46" s="9" t="n">
        <x:f>IF(H46=0,"",SUMIFS('用户明细'!$K$7:$K$986,'用户明细'!$A$7:$A$986,A46,'用户明细'!$I$7:$I$986,1)/H46)</x:f>
        <x:v>4.695652173913044</x:v>
      </x:c>
      <x:c r="P46" s="9" t="n">
        <x:v>1</x:v>
      </x:c>
      <x:c r="Q46" s="9" t="n">
        <x:v>4.65625</x:v>
      </x:c>
      <x:c r="R46" s="9" t="n">
        <x:v>2.09375</x:v>
      </x:c>
    </x:row>
    <x:row r="47" ht="24" customHeight="1">
      <x:c r="A47" s="2" t="str">
        <x:v>D040_T02_C080_G050</x:v>
      </x:c>
      <x:c r="B47" s="2" t="n">
        <x:v>2</x:v>
      </x:c>
      <x:c r="C47" s="20" t="n">
        <x:v>0.8</x:v>
      </x:c>
      <x:c r="D47" s="20" t="n">
        <x:v>0.5</x:v>
      </x:c>
      <x:c r="E47" s="20" t="n">
        <x:v>0.4</x:v>
      </x:c>
      <x:c r="F47" s="2" t="n">
        <x:f>COUNTIFS('用户明细'!$A$7:$A$986,A47)</x:f>
        <x:v>30</x:v>
      </x:c>
      <x:c r="G47" s="2" t="n">
        <x:f>COUNTIFS('用户明细'!$A$7:$A$986,A47,'用户明细'!$H$7:$H$986,1)</x:f>
        <x:v>30</x:v>
      </x:c>
      <x:c r="H47" s="2" t="n">
        <x:f>COUNTIFS('用户明细'!$A$7:$A$986,A47,'用户明细'!$I$7:$I$986,1)</x:f>
        <x:v>12</x:v>
      </x:c>
      <x:c r="I47" s="2" t="n">
        <x:f>COUNTIFS('用户明细'!$A$7:$A$986,A47,'用户明细'!$G$7:$G$986,"right_censored")</x:f>
        <x:v>0</x:v>
      </x:c>
      <x:c r="J47" s="2" t="n">
        <x:f>COUNTIFS('用户明细'!$A$7:$A$986,A47,'用户明细'!$G$7:$G$986,"resolved_before_release")</x:f>
        <x:v>0</x:v>
      </x:c>
      <x:c r="K47" s="9" t="n">
        <x:f>IF(G47=0,"",SUMIFS('用户明细'!$J$7:$J$986,'用户明细'!$A$7:$A$986,A47)/G47)</x:f>
        <x:v>0.8666666666666667</x:v>
      </x:c>
      <x:c r="L47" s="9" t="n">
        <x:f>IF(G47=0,"",SUMIFS('用户明细'!$K$7:$K$986,'用户明细'!$A$7:$A$986,A47)/G47)</x:f>
        <x:v>1.8666666666666667</x:v>
      </x:c>
      <x:c r="M47" s="9" t="n">
        <x:f>IF(G47=0,"",L47-K47)</x:f>
        <x:v>1</x:v>
      </x:c>
      <x:c r="N47" s="9" t="n">
        <x:f>IF(H47=0,"",SUMIFS('用户明细'!$J$7:$J$986,'用户明细'!$A$7:$A$986,A47,'用户明细'!$I$7:$I$986,1)/H47)</x:f>
        <x:v>2.1666666666666665</x:v>
      </x:c>
      <x:c r="O47" s="9" t="n">
        <x:f>IF(H47=0,"",SUMIFS('用户明细'!$K$7:$K$986,'用户明细'!$A$7:$A$986,A47,'用户明细'!$I$7:$I$986,1)/H47)</x:f>
        <x:v>3.1666666666666665</x:v>
      </x:c>
      <x:c r="P47" s="9" t="n">
        <x:v>1</x:v>
      </x:c>
      <x:c r="Q47" s="9" t="n">
        <x:v>1.8666666666666667</x:v>
      </x:c>
      <x:c r="R47" s="9" t="n">
        <x:v>0.7333333333333333</x:v>
      </x:c>
    </x:row>
    <x:row r="48" ht="24" customHeight="1">
      <x:c r="A48" s="2" t="str">
        <x:v>D040_T02_C080_G075</x:v>
      </x:c>
      <x:c r="B48" s="2" t="n">
        <x:v>2</x:v>
      </x:c>
      <x:c r="C48" s="20" t="n">
        <x:v>0.8</x:v>
      </x:c>
      <x:c r="D48" s="20" t="n">
        <x:v>0.75</x:v>
      </x:c>
      <x:c r="E48" s="20" t="n">
        <x:v>0.4</x:v>
      </x:c>
      <x:c r="F48" s="2" t="n">
        <x:f>COUNTIFS('用户明细'!$A$7:$A$986,A48)</x:f>
        <x:v>30</x:v>
      </x:c>
      <x:c r="G48" s="2" t="n">
        <x:f>COUNTIFS('用户明细'!$A$7:$A$986,A48,'用户明细'!$H$7:$H$986,1)</x:f>
        <x:v>29</x:v>
      </x:c>
      <x:c r="H48" s="2" t="n">
        <x:f>COUNTIFS('用户明细'!$A$7:$A$986,A48,'用户明细'!$I$7:$I$986,1)</x:f>
        <x:v>6</x:v>
      </x:c>
      <x:c r="I48" s="2" t="n">
        <x:f>COUNTIFS('用户明细'!$A$7:$A$986,A48,'用户明细'!$G$7:$G$986,"right_censored")</x:f>
        <x:v>1</x:v>
      </x:c>
      <x:c r="J48" s="2" t="n">
        <x:f>COUNTIFS('用户明细'!$A$7:$A$986,A48,'用户明细'!$G$7:$G$986,"resolved_before_release")</x:f>
        <x:v>0</x:v>
      </x:c>
      <x:c r="K48" s="9" t="n">
        <x:f>IF(G48=0,"",SUMIFS('用户明细'!$J$7:$J$986,'用户明细'!$A$7:$A$986,A48)/G48)</x:f>
        <x:v>0.2413793103448276</x:v>
      </x:c>
      <x:c r="L48" s="9" t="n">
        <x:f>IF(G48=0,"",SUMIFS('用户明细'!$K$7:$K$986,'用户明细'!$A$7:$A$986,A48)/G48)</x:f>
        <x:v>1.2413793103448276</x:v>
      </x:c>
      <x:c r="M48" s="9" t="n">
        <x:f>IF(G48=0,"",L48-K48)</x:f>
        <x:v>1</x:v>
      </x:c>
      <x:c r="N48" s="9" t="n">
        <x:f>IF(H48=0,"",SUMIFS('用户明细'!$J$7:$J$986,'用户明细'!$A$7:$A$986,A48,'用户明细'!$I$7:$I$986,1)/H48)</x:f>
        <x:v>1.1666666666666667</x:v>
      </x:c>
      <x:c r="O48" s="9" t="n">
        <x:f>IF(H48=0,"",SUMIFS('用户明细'!$K$7:$K$986,'用户明细'!$A$7:$A$986,A48,'用户明细'!$I$7:$I$986,1)/H48)</x:f>
        <x:v>2.1666666666666665</x:v>
      </x:c>
      <x:c r="P48" s="9" t="n">
        <x:v>1</x:v>
      </x:c>
      <x:c r="Q48" s="9" t="n">
        <x:v>1.5</x:v>
      </x:c>
      <x:c r="R48" s="9" t="n">
        <x:v>0.3333333333333333</x:v>
      </x:c>
    </x:row>
    <x:row r="49" ht="24" customHeight="1">
      <x:c r="A49" s="2" t="str">
        <x:v>D040_T04_C020_G025</x:v>
      </x:c>
      <x:c r="B49" s="2" t="n">
        <x:v>4</x:v>
      </x:c>
      <x:c r="C49" s="20" t="n">
        <x:v>0.2</x:v>
      </x:c>
      <x:c r="D49" s="20" t="n">
        <x:v>0.25</x:v>
      </x:c>
      <x:c r="E49" s="20" t="n">
        <x:v>0.4</x:v>
      </x:c>
      <x:c r="F49" s="2" t="n">
        <x:f>COUNTIFS('用户明细'!$A$7:$A$986,A49)</x:f>
        <x:v>33</x:v>
      </x:c>
      <x:c r="G49" s="2" t="n">
        <x:f>COUNTIFS('用户明细'!$A$7:$A$986,A49,'用户明细'!$H$7:$H$986,1)</x:f>
        <x:v>13</x:v>
      </x:c>
      <x:c r="H49" s="2" t="n">
        <x:f>COUNTIFS('用户明细'!$A$7:$A$986,A49,'用户明细'!$I$7:$I$986,1)</x:f>
        <x:v>11</x:v>
      </x:c>
      <x:c r="I49" s="2" t="n">
        <x:f>COUNTIFS('用户明细'!$A$7:$A$986,A49,'用户明细'!$G$7:$G$986,"right_censored")</x:f>
        <x:v>20</x:v>
      </x:c>
      <x:c r="J49" s="2" t="n">
        <x:f>COUNTIFS('用户明细'!$A$7:$A$986,A49,'用户明细'!$G$7:$G$986,"resolved_before_release")</x:f>
        <x:v>0</x:v>
      </x:c>
      <x:c r="K49" s="9" t="n">
        <x:f>IF(G49=0,"",SUMIFS('用户明细'!$J$7:$J$986,'用户明细'!$A$7:$A$986,A49)/G49)</x:f>
        <x:v>3.1538461538461537</x:v>
      </x:c>
      <x:c r="L49" s="9" t="n">
        <x:f>IF(G49=0,"",SUMIFS('用户明细'!$K$7:$K$986,'用户明细'!$A$7:$A$986,A49)/G49)</x:f>
        <x:v>5.923076923076923</x:v>
      </x:c>
      <x:c r="M49" s="9" t="n">
        <x:f>IF(G49=0,"",L49-K49)</x:f>
        <x:v>2.7692307692307696</x:v>
      </x:c>
      <x:c r="N49" s="9" t="n">
        <x:f>IF(H49=0,"",SUMIFS('用户明细'!$J$7:$J$986,'用户明细'!$A$7:$A$986,A49,'用户明细'!$I$7:$I$986,1)/H49)</x:f>
        <x:v>3.727272727272727</x:v>
      </x:c>
      <x:c r="O49" s="9" t="n">
        <x:f>IF(H49=0,"",SUMIFS('用户明细'!$K$7:$K$986,'用户明细'!$A$7:$A$986,A49,'用户明细'!$I$7:$I$986,1)/H49)</x:f>
        <x:v>6.454545454545454</x:v>
      </x:c>
      <x:c r="P49" s="9" t="n">
        <x:v>1.2307692307692308</x:v>
      </x:c>
      <x:c r="Q49" s="9" t="n">
        <x:v>7.935483870967742</x:v>
      </x:c>
      <x:c r="R49" s="9" t="n">
        <x:v>2.7096774193548385</x:v>
      </x:c>
    </x:row>
    <x:row r="50" ht="24" customHeight="1">
      <x:c r="A50" s="2" t="str">
        <x:v>D040_T04_C020_G050</x:v>
      </x:c>
      <x:c r="B50" s="2" t="n">
        <x:v>4</x:v>
      </x:c>
      <x:c r="C50" s="20" t="n">
        <x:v>0.2</x:v>
      </x:c>
      <x:c r="D50" s="20" t="n">
        <x:v>0.5</x:v>
      </x:c>
      <x:c r="E50" s="20" t="n">
        <x:v>0.4</x:v>
      </x:c>
      <x:c r="F50" s="2" t="n">
        <x:f>COUNTIFS('用户明细'!$A$7:$A$986,A50)</x:f>
        <x:v>31</x:v>
      </x:c>
      <x:c r="G50" s="2" t="n">
        <x:f>COUNTIFS('用户明细'!$A$7:$A$986,A50,'用户明细'!$H$7:$H$986,1)</x:f>
        <x:v>30</x:v>
      </x:c>
      <x:c r="H50" s="2" t="n">
        <x:f>COUNTIFS('用户明细'!$A$7:$A$986,A50,'用户明细'!$I$7:$I$986,1)</x:f>
        <x:v>25</x:v>
      </x:c>
      <x:c r="I50" s="2" t="n">
        <x:f>COUNTIFS('用户明细'!$A$7:$A$986,A50,'用户明细'!$G$7:$G$986,"right_censored")</x:f>
        <x:v>1</x:v>
      </x:c>
      <x:c r="J50" s="2" t="n">
        <x:f>COUNTIFS('用户明细'!$A$7:$A$986,A50,'用户明细'!$G$7:$G$986,"resolved_before_release")</x:f>
        <x:v>0</x:v>
      </x:c>
      <x:c r="K50" s="9" t="n">
        <x:f>IF(G50=0,"",SUMIFS('用户明细'!$J$7:$J$986,'用户明细'!$A$7:$A$986,A50)/G50)</x:f>
        <x:v>1.7666666666666666</x:v>
      </x:c>
      <x:c r="L50" s="9" t="n">
        <x:f>IF(G50=0,"",SUMIFS('用户明细'!$K$7:$K$986,'用户明细'!$A$7:$A$986,A50)/G50)</x:f>
        <x:v>4.666666666666667</x:v>
      </x:c>
      <x:c r="M50" s="9" t="n">
        <x:f>IF(G50=0,"",L50-K50)</x:f>
        <x:v>2.9000000000000004</x:v>
      </x:c>
      <x:c r="N50" s="9" t="n">
        <x:f>IF(H50=0,"",SUMIFS('用户明细'!$J$7:$J$986,'用户明细'!$A$7:$A$986,A50,'用户明细'!$I$7:$I$986,1)/H50)</x:f>
        <x:v>2.12</x:v>
      </x:c>
      <x:c r="O50" s="9" t="n">
        <x:f>IF(H50=0,"",SUMIFS('用户明细'!$K$7:$K$986,'用户明细'!$A$7:$A$986,A50,'用户明细'!$I$7:$I$986,1)/H50)</x:f>
        <x:v>5</x:v>
      </x:c>
      <x:c r="P50" s="9" t="n">
        <x:v>1.1</x:v>
      </x:c>
      <x:c r="Q50" s="9" t="n">
        <x:v>4.9</x:v>
      </x:c>
      <x:c r="R50" s="9" t="n">
        <x:v>1.6666666666666667</x:v>
      </x:c>
    </x:row>
    <x:row r="51" ht="24" customHeight="1">
      <x:c r="A51" s="2" t="str">
        <x:v>D040_T04_C020_G075</x:v>
      </x:c>
      <x:c r="B51" s="2" t="n">
        <x:v>4</x:v>
      </x:c>
      <x:c r="C51" s="20" t="n">
        <x:v>0.2</x:v>
      </x:c>
      <x:c r="D51" s="20" t="n">
        <x:v>0.75</x:v>
      </x:c>
      <x:c r="E51" s="20" t="n">
        <x:v>0.4</x:v>
      </x:c>
      <x:c r="F51" s="2" t="n">
        <x:f>COUNTIFS('用户明细'!$A$7:$A$986,A51)</x:f>
        <x:v>25</x:v>
      </x:c>
      <x:c r="G51" s="2" t="n">
        <x:f>COUNTIFS('用户明细'!$A$7:$A$986,A51,'用户明细'!$H$7:$H$986,1)</x:f>
        <x:v>24</x:v>
      </x:c>
      <x:c r="H51" s="2" t="n">
        <x:f>COUNTIFS('用户明细'!$A$7:$A$986,A51,'用户明细'!$I$7:$I$986,1)</x:f>
        <x:v>22</x:v>
      </x:c>
      <x:c r="I51" s="2" t="n">
        <x:f>COUNTIFS('用户明细'!$A$7:$A$986,A51,'用户明细'!$G$7:$G$986,"right_censored")</x:f>
        <x:v>1</x:v>
      </x:c>
      <x:c r="J51" s="2" t="n">
        <x:f>COUNTIFS('用户明细'!$A$7:$A$986,A51,'用户明细'!$G$7:$G$986,"resolved_before_release")</x:f>
        <x:v>0</x:v>
      </x:c>
      <x:c r="K51" s="9" t="n">
        <x:f>IF(G51=0,"",SUMIFS('用户明细'!$J$7:$J$986,'用户明细'!$A$7:$A$986,A51)/G51)</x:f>
        <x:v>2</x:v>
      </x:c>
      <x:c r="L51" s="9" t="n">
        <x:f>IF(G51=0,"",SUMIFS('用户明细'!$K$7:$K$986,'用户明细'!$A$7:$A$986,A51)/G51)</x:f>
        <x:v>5</x:v>
      </x:c>
      <x:c r="M51" s="9" t="n">
        <x:f>IF(G51=0,"",L51-K51)</x:f>
        <x:v>3</x:v>
      </x:c>
      <x:c r="N51" s="9" t="n">
        <x:f>IF(H51=0,"",SUMIFS('用户明细'!$J$7:$J$986,'用户明细'!$A$7:$A$986,A51,'用户明细'!$I$7:$I$986,1)/H51)</x:f>
        <x:v>2.1818181818181817</x:v>
      </x:c>
      <x:c r="O51" s="9" t="n">
        <x:f>IF(H51=0,"",SUMIFS('用户明细'!$K$7:$K$986,'用户明细'!$A$7:$A$986,A51,'用户明细'!$I$7:$I$986,1)/H51)</x:f>
        <x:v>5.181818181818182</x:v>
      </x:c>
      <x:c r="P51" s="9" t="n">
        <x:v>1</x:v>
      </x:c>
      <x:c r="Q51" s="9" t="n">
        <x:v>5.16</x:v>
      </x:c>
      <x:c r="R51" s="9" t="n">
        <x:v>1.88</x:v>
      </x:c>
    </x:row>
    <x:row r="52" ht="24" customHeight="1">
      <x:c r="A52" s="2" t="str">
        <x:v>D040_T04_C080_G025</x:v>
      </x:c>
      <x:c r="B52" s="2" t="n">
        <x:v>4</x:v>
      </x:c>
      <x:c r="C52" s="20" t="n">
        <x:v>0.8</x:v>
      </x:c>
      <x:c r="D52" s="20" t="n">
        <x:v>0.25</x:v>
      </x:c>
      <x:c r="E52" s="20" t="n">
        <x:v>0.4</x:v>
      </x:c>
      <x:c r="F52" s="2" t="n">
        <x:f>COUNTIFS('用户明细'!$A$7:$A$986,A52)</x:f>
        <x:v>30</x:v>
      </x:c>
      <x:c r="G52" s="2" t="n">
        <x:f>COUNTIFS('用户明细'!$A$7:$A$986,A52,'用户明细'!$H$7:$H$986,1)</x:f>
        <x:v>17</x:v>
      </x:c>
      <x:c r="H52" s="2" t="n">
        <x:f>COUNTIFS('用户明细'!$A$7:$A$986,A52,'用户明细'!$I$7:$I$986,1)</x:f>
        <x:v>15</x:v>
      </x:c>
      <x:c r="I52" s="2" t="n">
        <x:f>COUNTIFS('用户明细'!$A$7:$A$986,A52,'用户明细'!$G$7:$G$986,"right_censored")</x:f>
        <x:v>13</x:v>
      </x:c>
      <x:c r="J52" s="2" t="n">
        <x:f>COUNTIFS('用户明细'!$A$7:$A$986,A52,'用户明细'!$G$7:$G$986,"resolved_before_release")</x:f>
        <x:v>0</x:v>
      </x:c>
      <x:c r="K52" s="9" t="n">
        <x:f>IF(G52=0,"",SUMIFS('用户明细'!$J$7:$J$986,'用户明细'!$A$7:$A$986,A52)/G52)</x:f>
        <x:v>2.8823529411764706</x:v>
      </x:c>
      <x:c r="L52" s="9" t="n">
        <x:f>IF(G52=0,"",SUMIFS('用户明细'!$K$7:$K$986,'用户明细'!$A$7:$A$986,A52)/G52)</x:f>
        <x:v>5.882352941176471</x:v>
      </x:c>
      <x:c r="M52" s="9" t="n">
        <x:f>IF(G52=0,"",L52-K52)</x:f>
        <x:v>3.0000000000000004</x:v>
      </x:c>
      <x:c r="N52" s="9" t="n">
        <x:f>IF(H52=0,"",SUMIFS('用户明细'!$J$7:$J$986,'用户明细'!$A$7:$A$986,A52,'用户明细'!$I$7:$I$986,1)/H52)</x:f>
        <x:v>3.2666666666666666</x:v>
      </x:c>
      <x:c r="O52" s="9" t="n">
        <x:f>IF(H52=0,"",SUMIFS('用户明细'!$K$7:$K$986,'用户明细'!$A$7:$A$986,A52,'用户明细'!$I$7:$I$986,1)/H52)</x:f>
        <x:v>6.266666666666667</x:v>
      </x:c>
      <x:c r="P52" s="9" t="n">
        <x:v>1</x:v>
      </x:c>
      <x:c r="Q52" s="9" t="n">
        <x:v>7.233333333333333</x:v>
      </x:c>
      <x:c r="R52" s="9" t="n">
        <x:v>2.466666666666667</x:v>
      </x:c>
    </x:row>
    <x:row r="53" ht="24" customHeight="1">
      <x:c r="A53" s="2" t="str">
        <x:v>D040_T04_C080_G050</x:v>
      </x:c>
      <x:c r="B53" s="2" t="n">
        <x:v>4</x:v>
      </x:c>
      <x:c r="C53" s="20" t="n">
        <x:v>0.8</x:v>
      </x:c>
      <x:c r="D53" s="20" t="n">
        <x:v>0.5</x:v>
      </x:c>
      <x:c r="E53" s="20" t="n">
        <x:v>0.4</x:v>
      </x:c>
      <x:c r="F53" s="2" t="n">
        <x:f>COUNTIFS('用户明细'!$A$7:$A$986,A53)</x:f>
        <x:v>32</x:v>
      </x:c>
      <x:c r="G53" s="2" t="n">
        <x:f>COUNTIFS('用户明细'!$A$7:$A$986,A53,'用户明细'!$H$7:$H$986,1)</x:f>
        <x:v>31</x:v>
      </x:c>
      <x:c r="H53" s="2" t="n">
        <x:f>COUNTIFS('用户明细'!$A$7:$A$986,A53,'用户明细'!$I$7:$I$986,1)</x:f>
        <x:v>19</x:v>
      </x:c>
      <x:c r="I53" s="2" t="n">
        <x:f>COUNTIFS('用户明细'!$A$7:$A$986,A53,'用户明细'!$G$7:$G$986,"right_censored")</x:f>
        <x:v>1</x:v>
      </x:c>
      <x:c r="J53" s="2" t="n">
        <x:f>COUNTIFS('用户明细'!$A$7:$A$986,A53,'用户明细'!$G$7:$G$986,"resolved_before_release")</x:f>
        <x:v>0</x:v>
      </x:c>
      <x:c r="K53" s="9" t="n">
        <x:f>IF(G53=0,"",SUMIFS('用户明细'!$J$7:$J$986,'用户明细'!$A$7:$A$986,A53)/G53)</x:f>
        <x:v>1.2580645161290323</x:v>
      </x:c>
      <x:c r="L53" s="9" t="n">
        <x:f>IF(G53=0,"",SUMIFS('用户明细'!$K$7:$K$986,'用户明细'!$A$7:$A$986,A53)/G53)</x:f>
        <x:v>4.193548387096774</x:v>
      </x:c>
      <x:c r="M53" s="9" t="n">
        <x:f>IF(G53=0,"",L53-K53)</x:f>
        <x:v>2.935483870967742</x:v>
      </x:c>
      <x:c r="N53" s="9" t="n">
        <x:f>IF(H53=0,"",SUMIFS('用户明细'!$J$7:$J$986,'用户明细'!$A$7:$A$986,A53,'用户明细'!$I$7:$I$986,1)/H53)</x:f>
        <x:v>2.0526315789473686</x:v>
      </x:c>
      <x:c r="O53" s="9" t="n">
        <x:f>IF(H53=0,"",SUMIFS('用户明细'!$K$7:$K$986,'用户明细'!$A$7:$A$986,A53,'用户明细'!$I$7:$I$986,1)/H53)</x:f>
        <x:v>5.052631578947368</x:v>
      </x:c>
      <x:c r="P53" s="9" t="n">
        <x:v>1.064516129032258</x:v>
      </x:c>
      <x:c r="Q53" s="9" t="n">
        <x:v>4.451612903225806</x:v>
      </x:c>
      <x:c r="R53" s="9" t="n">
        <x:v>1.21875</x:v>
      </x:c>
    </x:row>
    <x:row r="54" ht="24" customHeight="1">
      <x:c r="A54" s="2" t="str">
        <x:v>D040_T04_C080_G075</x:v>
      </x:c>
      <x:c r="B54" s="2" t="n">
        <x:v>4</x:v>
      </x:c>
      <x:c r="C54" s="20" t="n">
        <x:v>0.8</x:v>
      </x:c>
      <x:c r="D54" s="20" t="n">
        <x:v>0.75</x:v>
      </x:c>
      <x:c r="E54" s="20" t="n">
        <x:v>0.4</x:v>
      </x:c>
      <x:c r="F54" s="2" t="n">
        <x:f>COUNTIFS('用户明细'!$A$7:$A$986,A54)</x:f>
        <x:v>26</x:v>
      </x:c>
      <x:c r="G54" s="2" t="n">
        <x:f>COUNTIFS('用户明细'!$A$7:$A$986,A54,'用户明细'!$H$7:$H$986,1)</x:f>
        <x:v>26</x:v>
      </x:c>
      <x:c r="H54" s="2" t="n">
        <x:f>COUNTIFS('用户明细'!$A$7:$A$986,A54,'用户明细'!$I$7:$I$986,1)</x:f>
        <x:v>8</x:v>
      </x:c>
      <x:c r="I54" s="2" t="n">
        <x:f>COUNTIFS('用户明细'!$A$7:$A$986,A54,'用户明细'!$G$7:$G$986,"right_censored")</x:f>
        <x:v>0</x:v>
      </x:c>
      <x:c r="J54" s="2" t="n">
        <x:f>COUNTIFS('用户明细'!$A$7:$A$986,A54,'用户明细'!$G$7:$G$986,"resolved_before_release")</x:f>
        <x:v>0</x:v>
      </x:c>
      <x:c r="K54" s="9" t="n">
        <x:f>IF(G54=0,"",SUMIFS('用户明细'!$J$7:$J$986,'用户明细'!$A$7:$A$986,A54)/G54)</x:f>
        <x:v>0.3076923076923077</x:v>
      </x:c>
      <x:c r="L54" s="9" t="n">
        <x:f>IF(G54=0,"",SUMIFS('用户明细'!$K$7:$K$986,'用户明细'!$A$7:$A$986,A54)/G54)</x:f>
        <x:v>3.3076923076923075</x:v>
      </x:c>
      <x:c r="M54" s="9" t="n">
        <x:f>IF(G54=0,"",L54-K54)</x:f>
        <x:v>3</x:v>
      </x:c>
      <x:c r="N54" s="9" t="n">
        <x:f>IF(H54=0,"",SUMIFS('用户明细'!$J$7:$J$986,'用户明细'!$A$7:$A$986,A54,'用户明细'!$I$7:$I$986,1)/H54)</x:f>
        <x:v>1</x:v>
      </x:c>
      <x:c r="O54" s="9" t="n">
        <x:f>IF(H54=0,"",SUMIFS('用户明细'!$K$7:$K$986,'用户明细'!$A$7:$A$986,A54,'用户明细'!$I$7:$I$986,1)/H54)</x:f>
        <x:v>4</x:v>
      </x:c>
      <x:c r="P54" s="9" t="n">
        <x:v>1</x:v>
      </x:c>
      <x:c r="Q54" s="9" t="n">
        <x:v>3.3076923076923075</x:v>
      </x:c>
      <x:c r="R54" s="9" t="n">
        <x:v>0.3076923076923077</x:v>
      </x:c>
    </x:row>
    <x:row r="55" ht="24" customHeight="1">
      <x:c r="A55" s="2" t="str">
        <x:v>D040_T07_C020_G025</x:v>
      </x:c>
      <x:c r="B55" s="2" t="n">
        <x:v>7</x:v>
      </x:c>
      <x:c r="C55" s="20" t="n">
        <x:v>0.2</x:v>
      </x:c>
      <x:c r="D55" s="20" t="n">
        <x:v>0.25</x:v>
      </x:c>
      <x:c r="E55" s="20" t="n">
        <x:v>0.4</x:v>
      </x:c>
      <x:c r="F55" s="2" t="n">
        <x:f>COUNTIFS('用户明细'!$A$7:$A$986,A55)</x:f>
        <x:v>35</x:v>
      </x:c>
      <x:c r="G55" s="2" t="n">
        <x:f>COUNTIFS('用户明细'!$A$7:$A$986,A55,'用户明细'!$H$7:$H$986,1)</x:f>
        <x:v>6</x:v>
      </x:c>
      <x:c r="H55" s="2" t="n">
        <x:f>COUNTIFS('用户明细'!$A$7:$A$986,A55,'用户明细'!$I$7:$I$986,1)</x:f>
        <x:v>6</x:v>
      </x:c>
      <x:c r="I55" s="2" t="n">
        <x:f>COUNTIFS('用户明细'!$A$7:$A$986,A55,'用户明细'!$G$7:$G$986,"right_censored")</x:f>
        <x:v>29</x:v>
      </x:c>
      <x:c r="J55" s="2" t="n">
        <x:f>COUNTIFS('用户明细'!$A$7:$A$986,A55,'用户明细'!$G$7:$G$986,"resolved_before_release")</x:f>
        <x:v>0</x:v>
      </x:c>
      <x:c r="K55" s="9" t="n">
        <x:f>IF(G55=0,"",SUMIFS('用户明细'!$J$7:$J$986,'用户明细'!$A$7:$A$986,A55)/G55)</x:f>
        <x:v>2</x:v>
      </x:c>
      <x:c r="L55" s="9" t="n">
        <x:f>IF(G55=0,"",SUMIFS('用户明细'!$K$7:$K$986,'用户明细'!$A$7:$A$986,A55)/G55)</x:f>
        <x:v>7.166666666666667</x:v>
      </x:c>
      <x:c r="M55" s="9" t="n">
        <x:f>IF(G55=0,"",L55-K55)</x:f>
        <x:v>5.166666666666667</x:v>
      </x:c>
      <x:c r="N55" s="9" t="n">
        <x:f>IF(H55=0,"",SUMIFS('用户明细'!$J$7:$J$986,'用户明细'!$A$7:$A$986,A55,'用户明细'!$I$7:$I$986,1)/H55)</x:f>
        <x:v>2</x:v>
      </x:c>
      <x:c r="O55" s="9" t="n">
        <x:f>IF(H55=0,"",SUMIFS('用户明细'!$K$7:$K$986,'用户明细'!$A$7:$A$986,A55,'用户明细'!$I$7:$I$986,1)/H55)</x:f>
        <x:v>7.166666666666667</x:v>
      </x:c>
      <x:c r="P55" s="9" t="n">
        <x:v>1.8333333333333333</x:v>
      </x:c>
      <x:c r="Q55" s="9" t="n">
        <x:v>8.848484848484848</x:v>
      </x:c>
      <x:c r="R55" s="9" t="n">
        <x:v>2.823529411764706</x:v>
      </x:c>
    </x:row>
    <x:row r="56" ht="24" customHeight="1">
      <x:c r="A56" s="2" t="str">
        <x:v>D040_T07_C020_G050</x:v>
      </x:c>
      <x:c r="B56" s="2" t="n">
        <x:v>7</x:v>
      </x:c>
      <x:c r="C56" s="20" t="n">
        <x:v>0.2</x:v>
      </x:c>
      <x:c r="D56" s="20" t="n">
        <x:v>0.5</x:v>
      </x:c>
      <x:c r="E56" s="20" t="n">
        <x:v>0.4</x:v>
      </x:c>
      <x:c r="F56" s="2" t="n">
        <x:f>COUNTIFS('用户明细'!$A$7:$A$986,A56)</x:f>
        <x:v>32</x:v>
      </x:c>
      <x:c r="G56" s="2" t="n">
        <x:f>COUNTIFS('用户明细'!$A$7:$A$986,A56,'用户明细'!$H$7:$H$986,1)</x:f>
        <x:v>24</x:v>
      </x:c>
      <x:c r="H56" s="2" t="n">
        <x:f>COUNTIFS('用户明细'!$A$7:$A$986,A56,'用户明细'!$I$7:$I$986,1)</x:f>
        <x:v>21</x:v>
      </x:c>
      <x:c r="I56" s="2" t="n">
        <x:f>COUNTIFS('用户明细'!$A$7:$A$986,A56,'用户明细'!$G$7:$G$986,"right_censored")</x:f>
        <x:v>8</x:v>
      </x:c>
      <x:c r="J56" s="2" t="n">
        <x:f>COUNTIFS('用户明细'!$A$7:$A$986,A56,'用户明细'!$G$7:$G$986,"resolved_before_release")</x:f>
        <x:v>0</x:v>
      </x:c>
      <x:c r="K56" s="9" t="n">
        <x:f>IF(G56=0,"",SUMIFS('用户明细'!$J$7:$J$986,'用户明细'!$A$7:$A$986,A56)/G56)</x:f>
        <x:v>1.625</x:v>
      </x:c>
      <x:c r="L56" s="9" t="n">
        <x:f>IF(G56=0,"",SUMIFS('用户明细'!$K$7:$K$986,'用户明细'!$A$7:$A$986,A56)/G56)</x:f>
        <x:v>7.083333333333333</x:v>
      </x:c>
      <x:c r="M56" s="9" t="n">
        <x:f>IF(G56=0,"",L56-K56)</x:f>
        <x:v>5.458333333333333</x:v>
      </x:c>
      <x:c r="N56" s="9" t="n">
        <x:f>IF(H56=0,"",SUMIFS('用户明细'!$J$7:$J$986,'用户明细'!$A$7:$A$986,A56,'用户明细'!$I$7:$I$986,1)/H56)</x:f>
        <x:v>1.8571428571428572</x:v>
      </x:c>
      <x:c r="O56" s="9" t="n">
        <x:f>IF(H56=0,"",SUMIFS('用户明细'!$K$7:$K$986,'用户明细'!$A$7:$A$986,A56,'用户明细'!$I$7:$I$986,1)/H56)</x:f>
        <x:v>7.238095238095238</x:v>
      </x:c>
      <x:c r="P56" s="9" t="n">
        <x:v>1.5416666666666667</x:v>
      </x:c>
      <x:c r="Q56" s="9" t="n">
        <x:v>7.857142857142857</x:v>
      </x:c>
      <x:c r="R56" s="9" t="n">
        <x:v>1.967741935483871</x:v>
      </x:c>
    </x:row>
    <x:row r="57" ht="24" customHeight="1">
      <x:c r="A57" s="2" t="str">
        <x:v>D040_T07_C020_G075</x:v>
      </x:c>
      <x:c r="B57" s="2" t="n">
        <x:v>7</x:v>
      </x:c>
      <x:c r="C57" s="20" t="n">
        <x:v>0.2</x:v>
      </x:c>
      <x:c r="D57" s="20" t="n">
        <x:v>0.75</x:v>
      </x:c>
      <x:c r="E57" s="20" t="n">
        <x:v>0.4</x:v>
      </x:c>
      <x:c r="F57" s="2" t="n">
        <x:f>COUNTIFS('用户明细'!$A$7:$A$986,A57)</x:f>
        <x:v>28</x:v>
      </x:c>
      <x:c r="G57" s="2" t="n">
        <x:f>COUNTIFS('用户明细'!$A$7:$A$986,A57,'用户明细'!$H$7:$H$986,1)</x:f>
        <x:v>26</x:v>
      </x:c>
      <x:c r="H57" s="2" t="n">
        <x:f>COUNTIFS('用户明细'!$A$7:$A$986,A57,'用户明细'!$I$7:$I$986,1)</x:f>
        <x:v>23</x:v>
      </x:c>
      <x:c r="I57" s="2" t="n">
        <x:f>COUNTIFS('用户明细'!$A$7:$A$986,A57,'用户明细'!$G$7:$G$986,"right_censored")</x:f>
        <x:v>2</x:v>
      </x:c>
      <x:c r="J57" s="2" t="n">
        <x:f>COUNTIFS('用户明细'!$A$7:$A$986,A57,'用户明细'!$G$7:$G$986,"resolved_before_release")</x:f>
        <x:v>0</x:v>
      </x:c>
      <x:c r="K57" s="9" t="n">
        <x:f>IF(G57=0,"",SUMIFS('用户明细'!$J$7:$J$986,'用户明细'!$A$7:$A$986,A57)/G57)</x:f>
        <x:v>1.3846153846153846</x:v>
      </x:c>
      <x:c r="L57" s="9" t="n">
        <x:f>IF(G57=0,"",SUMIFS('用户明细'!$K$7:$K$986,'用户明细'!$A$7:$A$986,A57)/G57)</x:f>
        <x:v>7</x:v>
      </x:c>
      <x:c r="M57" s="9" t="n">
        <x:f>IF(G57=0,"",L57-K57)</x:f>
        <x:v>5.615384615384615</x:v>
      </x:c>
      <x:c r="N57" s="9" t="n">
        <x:f>IF(H57=0,"",SUMIFS('用户明细'!$J$7:$J$986,'用户明细'!$A$7:$A$986,A57,'用户明细'!$I$7:$I$986,1)/H57)</x:f>
        <x:v>1.565217391304348</x:v>
      </x:c>
      <x:c r="O57" s="9" t="n">
        <x:f>IF(H57=0,"",SUMIFS('用户明细'!$K$7:$K$986,'用户明细'!$A$7:$A$986,A57,'用户明细'!$I$7:$I$986,1)/H57)</x:f>
        <x:v>7.130434782608695</x:v>
      </x:c>
      <x:c r="P57" s="9" t="n">
        <x:v>1.3846153846153846</x:v>
      </x:c>
      <x:c r="Q57" s="9" t="n">
        <x:v>7.423076923076923</x:v>
      </x:c>
      <x:c r="R57" s="9" t="n">
        <x:v>1.5</x:v>
      </x:c>
    </x:row>
    <x:row r="58" ht="24" customHeight="1">
      <x:c r="A58" s="2" t="str">
        <x:v>D040_T07_C080_G025</x:v>
      </x:c>
      <x:c r="B58" s="2" t="n">
        <x:v>7</x:v>
      </x:c>
      <x:c r="C58" s="20" t="n">
        <x:v>0.8</x:v>
      </x:c>
      <x:c r="D58" s="20" t="n">
        <x:v>0.25</x:v>
      </x:c>
      <x:c r="E58" s="20" t="n">
        <x:v>0.4</x:v>
      </x:c>
      <x:c r="F58" s="2" t="n">
        <x:f>COUNTIFS('用户明细'!$A$7:$A$986,A58)</x:f>
        <x:v>34</x:v>
      </x:c>
      <x:c r="G58" s="2" t="n">
        <x:f>COUNTIFS('用户明细'!$A$7:$A$986,A58,'用户明细'!$H$7:$H$986,1)</x:f>
        <x:v>13</x:v>
      </x:c>
      <x:c r="H58" s="2" t="n">
        <x:f>COUNTIFS('用户明细'!$A$7:$A$986,A58,'用户明细'!$I$7:$I$986,1)</x:f>
        <x:v>8</x:v>
      </x:c>
      <x:c r="I58" s="2" t="n">
        <x:f>COUNTIFS('用户明细'!$A$7:$A$986,A58,'用户明细'!$G$7:$G$986,"right_censored")</x:f>
        <x:v>21</x:v>
      </x:c>
      <x:c r="J58" s="2" t="n">
        <x:f>COUNTIFS('用户明细'!$A$7:$A$986,A58,'用户明细'!$G$7:$G$986,"resolved_before_release")</x:f>
        <x:v>0</x:v>
      </x:c>
      <x:c r="K58" s="9" t="n">
        <x:f>IF(G58=0,"",SUMIFS('用户明细'!$J$7:$J$986,'用户明细'!$A$7:$A$986,A58)/G58)</x:f>
        <x:v>1.2307692307692308</x:v>
      </x:c>
      <x:c r="L58" s="9" t="n">
        <x:f>IF(G58=0,"",SUMIFS('用户明细'!$K$7:$K$986,'用户明细'!$A$7:$A$986,A58)/G58)</x:f>
        <x:v>7.076923076923077</x:v>
      </x:c>
      <x:c r="M58" s="9" t="n">
        <x:f>IF(G58=0,"",L58-K58)</x:f>
        <x:v>5.846153846153846</x:v>
      </x:c>
      <x:c r="N58" s="9" t="n">
        <x:f>IF(H58=0,"",SUMIFS('用户明细'!$J$7:$J$986,'用户明细'!$A$7:$A$986,A58,'用户明细'!$I$7:$I$986,1)/H58)</x:f>
        <x:v>2</x:v>
      </x:c>
      <x:c r="O58" s="9" t="n">
        <x:f>IF(H58=0,"",SUMIFS('用户明细'!$K$7:$K$986,'用户明细'!$A$7:$A$986,A58,'用户明细'!$I$7:$I$986,1)/H58)</x:f>
        <x:v>8</x:v>
      </x:c>
      <x:c r="P58" s="9" t="n">
        <x:v>1.1538461538461535</x:v>
      </x:c>
      <x:c r="Q58" s="9" t="n">
        <x:v>8.393939393939394</x:v>
      </x:c>
      <x:c r="R58" s="9" t="n">
        <x:v>2.323529411764706</x:v>
      </x:c>
    </x:row>
    <x:row r="59" ht="24" customHeight="1">
      <x:c r="A59" s="2" t="str">
        <x:v>D040_T07_C080_G050</x:v>
      </x:c>
      <x:c r="B59" s="2" t="n">
        <x:v>7</x:v>
      </x:c>
      <x:c r="C59" s="20" t="n">
        <x:v>0.8</x:v>
      </x:c>
      <x:c r="D59" s="20" t="n">
        <x:v>0.5</x:v>
      </x:c>
      <x:c r="E59" s="20" t="n">
        <x:v>0.4</x:v>
      </x:c>
      <x:c r="F59" s="2" t="n">
        <x:f>COUNTIFS('用户明细'!$A$7:$A$986,A59)</x:f>
        <x:v>31</x:v>
      </x:c>
      <x:c r="G59" s="2" t="n">
        <x:f>COUNTIFS('用户明细'!$A$7:$A$986,A59,'用户明细'!$H$7:$H$986,1)</x:f>
        <x:v>28</x:v>
      </x:c>
      <x:c r="H59" s="2" t="n">
        <x:f>COUNTIFS('用户明细'!$A$7:$A$986,A59,'用户明细'!$I$7:$I$986,1)</x:f>
        <x:v>13</x:v>
      </x:c>
      <x:c r="I59" s="2" t="n">
        <x:f>COUNTIFS('用户明细'!$A$7:$A$986,A59,'用户明细'!$G$7:$G$986,"right_censored")</x:f>
        <x:v>3</x:v>
      </x:c>
      <x:c r="J59" s="2" t="n">
        <x:f>COUNTIFS('用户明细'!$A$7:$A$986,A59,'用户明细'!$G$7:$G$986,"resolved_before_release")</x:f>
        <x:v>0</x:v>
      </x:c>
      <x:c r="K59" s="9" t="n">
        <x:f>IF(G59=0,"",SUMIFS('用户明细'!$J$7:$J$986,'用户明细'!$A$7:$A$986,A59)/G59)</x:f>
        <x:v>0.5714285714285714</x:v>
      </x:c>
      <x:c r="L59" s="9" t="n">
        <x:f>IF(G59=0,"",SUMIFS('用户明细'!$K$7:$K$986,'用户明细'!$A$7:$A$986,A59)/G59)</x:f>
        <x:v>6.25</x:v>
      </x:c>
      <x:c r="M59" s="9" t="n">
        <x:f>IF(G59=0,"",L59-K59)</x:f>
        <x:v>5.678571428571429</x:v>
      </x:c>
      <x:c r="N59" s="9" t="n">
        <x:f>IF(H59=0,"",SUMIFS('用户明细'!$J$7:$J$986,'用户明细'!$A$7:$A$986,A59,'用户明细'!$I$7:$I$986,1)/H59)</x:f>
        <x:v>1.2307692307692308</x:v>
      </x:c>
      <x:c r="O59" s="9" t="n">
        <x:f>IF(H59=0,"",SUMIFS('用户明细'!$K$7:$K$986,'用户明细'!$A$7:$A$986,A59,'用户明细'!$I$7:$I$986,1)/H59)</x:f>
        <x:v>6.846153846153846</x:v>
      </x:c>
      <x:c r="P59" s="9" t="n">
        <x:v>1.3214285714285714</x:v>
      </x:c>
      <x:c r="Q59" s="9" t="n">
        <x:v>6.857142857142857</x:v>
      </x:c>
      <x:c r="R59" s="9" t="n">
        <x:v>0.8064516129032258</x:v>
      </x:c>
    </x:row>
    <x:row r="60" ht="24" customHeight="1">
      <x:c r="A60" s="2" t="str">
        <x:v>D040_T07_C080_G075</x:v>
      </x:c>
      <x:c r="B60" s="2" t="n">
        <x:v>7</x:v>
      </x:c>
      <x:c r="C60" s="20" t="n">
        <x:v>0.8</x:v>
      </x:c>
      <x:c r="D60" s="20" t="n">
        <x:v>0.75</x:v>
      </x:c>
      <x:c r="E60" s="20" t="n">
        <x:v>0.4</x:v>
      </x:c>
      <x:c r="F60" s="2" t="n">
        <x:f>COUNTIFS('用户明细'!$A$7:$A$986,A60)</x:f>
        <x:v>34</x:v>
      </x:c>
      <x:c r="G60" s="2" t="n">
        <x:f>COUNTIFS('用户明细'!$A$7:$A$986,A60,'用户明细'!$H$7:$H$986,1)</x:f>
        <x:v>33</x:v>
      </x:c>
      <x:c r="H60" s="2" t="n">
        <x:f>COUNTIFS('用户明细'!$A$7:$A$986,A60,'用户明细'!$I$7:$I$986,1)</x:f>
        <x:v>8</x:v>
      </x:c>
      <x:c r="I60" s="2" t="n">
        <x:f>COUNTIFS('用户明细'!$A$7:$A$986,A60,'用户明细'!$G$7:$G$986,"right_censored")</x:f>
        <x:v>1</x:v>
      </x:c>
      <x:c r="J60" s="2" t="n">
        <x:f>COUNTIFS('用户明细'!$A$7:$A$986,A60,'用户明细'!$G$7:$G$986,"resolved_before_release")</x:f>
        <x:v>0</x:v>
      </x:c>
      <x:c r="K60" s="9" t="n">
        <x:f>IF(G60=0,"",SUMIFS('用户明细'!$J$7:$J$986,'用户明细'!$A$7:$A$986,A60)/G60)</x:f>
        <x:v>0.24242424242424243</x:v>
      </x:c>
      <x:c r="L60" s="9" t="n">
        <x:f>IF(G60=0,"",SUMIFS('用户明细'!$K$7:$K$986,'用户明细'!$A$7:$A$986,A60)/G60)</x:f>
        <x:v>5.878787878787879</x:v>
      </x:c>
      <x:c r="M60" s="9" t="n">
        <x:f>IF(G60=0,"",L60-K60)</x:f>
        <x:v>5.636363636363637</x:v>
      </x:c>
      <x:c r="N60" s="9" t="n">
        <x:f>IF(H60=0,"",SUMIFS('用户明细'!$J$7:$J$986,'用户明细'!$A$7:$A$986,A60,'用户明细'!$I$7:$I$986,1)/H60)</x:f>
        <x:v>1</x:v>
      </x:c>
      <x:c r="O60" s="9" t="n">
        <x:f>IF(H60=0,"",SUMIFS('用户明细'!$K$7:$K$986,'用户明细'!$A$7:$A$986,A60,'用户明细'!$I$7:$I$986,1)/H60)</x:f>
        <x:v>5.875</x:v>
      </x:c>
      <x:c r="P60" s="9" t="n">
        <x:v>1.3636363636363635</x:v>
      </x:c>
      <x:c r="Q60" s="9" t="n">
        <x:v>6.290322580645161</x:v>
      </x:c>
      <x:c r="R60" s="9" t="n">
        <x:v>0.3235294117647059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" hidden="0" customWidth="1"/>
    <x:col min="2" max="2" width="16" hidden="0" customWidth="1"/>
    <x:col min="3" max="3" width="14" hidden="0" customWidth="1"/>
    <x:col min="4" max="4" width="23" hidden="0" customWidth="1"/>
    <x:col min="5" max="5" width="22" hidden="0" customWidth="1"/>
    <x:col min="6" max="6" width="28" hidden="0" customWidth="1"/>
    <x:col min="7" max="7" width="3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9" hidden="0" customWidth="1"/>
    <x:col min="13" max="13" width="26" hidden="0" customWidth="1"/>
    <x:col min="14" max="14" width="13" hidden="0" customWidth="1"/>
    <x:col min="15" max="15" width="13" hidden="0" customWidth="1"/>
    <x:col min="16" max="16" width="13" hidden="0" customWidth="1"/>
    <x:col min="17" max="17" width="12" hidden="0" customWidth="1"/>
    <x:col min="18" max="18" width="14" hidden="0" customWidth="1"/>
    <x:col min="19" max="19" width="16" hidden="0" customWidth="1"/>
    <x:col min="20" max="20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1" customHeight="1">
      <x:c r="A2" s="3" t="str">
        <x:v>980份曾相信用户的时间记录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4" t="str">
        <x:v>来源：已验证的54份逐轮轨迹；r为空时按状态区分未转变和发布前已转变。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8" customHeight="1">
      <x:c r="A6" s="8" t="str">
        <x:v>情景ID</x:v>
      </x:c>
      <x:c r="B6" s="8" t="str">
        <x:v>用户ID</x:v>
      </x:c>
      <x:c r="C6" s="8" t="str">
        <x:v>群体</x:v>
      </x:c>
      <x:c r="D6" s="8" t="str">
        <x:v>政府发布轮RT</x:v>
      </x:c>
      <x:c r="E6" s="8" t="str">
        <x:v>首次相信轮b</x:v>
      </x:c>
      <x:c r="F6" s="8" t="str">
        <x:v>合格首次转不信轮r</x:v>
      </x:c>
      <x:c r="G6" s="8" t="str">
        <x:v>结局状态</x:v>
      </x:c>
      <x:c r="H6" s="8" t="str">
        <x:v>合格事件1或0</x:v>
      </x:c>
      <x:c r="I6" s="8" t="str">
        <x:v>严格事件1或0</x:v>
      </x:c>
      <x:c r="J6" s="8" t="str">
        <x:v>POST TBU 轮</x:v>
      </x:c>
      <x:c r="K6" s="8" t="str">
        <x:v>FB TBU 轮</x:v>
      </x:c>
      <x:c r="L6" s="8" t="str">
        <x:v>首次相信后可观察轮数</x:v>
      </x:c>
      <x:c r="M6" s="8" t="str">
        <x:v>首次看到官方轮</x:v>
      </x:c>
      <x:c r="N6" s="8" t="str">
        <x:v>DGC</x:v>
      </x:c>
      <x:c r="O6" s="8" t="str">
        <x:v>TC</x:v>
      </x:c>
      <x:c r="P6" s="8" t="str">
        <x:v>GC</x:v>
      </x:c>
      <x:c r="Q6" s="8" t="str">
        <x:v>年龄</x:v>
      </x:c>
      <x:c r="R6" s="8" t="str">
        <x:v>MBTI</x:v>
      </x:c>
      <x:c r="S6" s="8" t="str">
        <x:v>地区</x:v>
      </x:c>
      <x:c r="T6" s="8" t="str">
        <x:v>职业</x:v>
      </x:c>
    </x:row>
    <x:row r="7" ht="24" customHeight="1">
      <x:c r="A7" s="2" t="str">
        <x:v>D000_T02_C020_G025</x:v>
      </x:c>
      <x:c r="B7" s="2" t="str">
        <x:v>A0011</x:v>
      </x:c>
      <x:c r="C7" s="2" t="str">
        <x:v>inside</x:v>
      </x:c>
      <x:c r="D7" s="2" t="n">
        <x:v>2</x:v>
      </x:c>
      <x:c r="E7" s="2" t="n">
        <x:v>1</x:v>
      </x:c>
      <x:c r="F7" s="2" t="n">
        <x:v>5</x:v>
      </x:c>
      <x:c r="G7" s="2" t="str">
        <x:v>observed_post_release</x:v>
      </x:c>
      <x:c r="H7" s="2" t="n">
        <x:f>IF(AND(ISNUMBER(F7),F7&gt;=D7),1,0)</x:f>
        <x:v>1</x:v>
      </x:c>
      <x:c r="I7" s="2" t="n">
        <x:f>IF(AND(ISNUMBER(F7),F7&gt;D7),1,0)</x:f>
        <x:v>1</x:v>
      </x:c>
      <x:c r="J7" s="2" t="n">
        <x:f>IF(H7=1,F7-D7,"")</x:f>
        <x:v>3</x:v>
      </x:c>
      <x:c r="K7" s="2" t="n">
        <x:f>IF(H7=1,F7-E7,"")</x:f>
        <x:v>4</x:v>
      </x:c>
      <x:c r="L7" s="2" t="n">
        <x:v>9</x:v>
      </x:c>
      <x:c r="M7" s="2" t="n">
        <x:v>2</x:v>
      </x:c>
      <x:c r="N7" s="20" t="n">
        <x:v>0</x:v>
      </x:c>
      <x:c r="O7" s="20" t="n">
        <x:v>0.2</x:v>
      </x:c>
      <x:c r="P7" s="20" t="n">
        <x:v>0.25</x:v>
      </x:c>
      <x:c r="Q7" s="2" t="n">
        <x:v>42</x:v>
      </x:c>
      <x:c r="R7" s="2" t="str">
        <x:v>ENFJ</x:v>
      </x:c>
      <x:c r="S7" s="2" t="str">
        <x:v>西南</x:v>
      </x:c>
      <x:c r="T7" s="2" t="str">
        <x:v>行政或办公室岗位</x:v>
      </x:c>
    </x:row>
    <x:row r="8" ht="24" customHeight="1">
      <x:c r="A8" s="2" t="str">
        <x:v>D000_T02_C020_G025</x:v>
      </x:c>
      <x:c r="B8" s="2" t="str">
        <x:v>A0018</x:v>
      </x:c>
      <x:c r="C8" s="2" t="str">
        <x:v>inside</x:v>
      </x:c>
      <x:c r="D8" s="2" t="n">
        <x:v>2</x:v>
      </x:c>
      <x:c r="E8" s="2" t="n">
        <x:v>1</x:v>
      </x:c>
      <x:c r="F8" s="2" t="n">
        <x:v>6</x:v>
      </x:c>
      <x:c r="G8" s="2" t="str">
        <x:v>observed_post_release</x:v>
      </x:c>
      <x:c r="H8" s="2" t="n">
        <x:f>IF(AND(ISNUMBER(F8),F8&gt;=D8),1,0)</x:f>
        <x:v>1</x:v>
      </x:c>
      <x:c r="I8" s="2" t="n">
        <x:f>IF(AND(ISNUMBER(F8),F8&gt;D8),1,0)</x:f>
        <x:v>1</x:v>
      </x:c>
      <x:c r="J8" s="2" t="n">
        <x:f>IF(H8=1,F8-D8,"")</x:f>
        <x:v>4</x:v>
      </x:c>
      <x:c r="K8" s="2" t="n">
        <x:f>IF(H8=1,F8-E8,"")</x:f>
        <x:v>5</x:v>
      </x:c>
      <x:c r="L8" s="2" t="n">
        <x:v>9</x:v>
      </x:c>
      <x:c r="M8" s="2" t="n">
        <x:v>4</x:v>
      </x:c>
      <x:c r="N8" s="20" t="n">
        <x:v>0</x:v>
      </x:c>
      <x:c r="O8" s="20" t="n">
        <x:v>0.2</x:v>
      </x:c>
      <x:c r="P8" s="20" t="n">
        <x:v>0.25</x:v>
      </x:c>
      <x:c r="Q8" s="2" t="n">
        <x:v>60</x:v>
      </x:c>
      <x:c r="R8" s="2" t="str">
        <x:v>INTJ</x:v>
      </x:c>
      <x:c r="S8" s="2" t="str">
        <x:v>华南</x:v>
      </x:c>
      <x:c r="T8" s="2" t="str">
        <x:v>专业技术岗位</x:v>
      </x:c>
    </x:row>
    <x:row r="9" ht="24" customHeight="1">
      <x:c r="A9" s="2" t="str">
        <x:v>D000_T02_C020_G025</x:v>
      </x:c>
      <x:c r="B9" s="2" t="str">
        <x:v>A0029</x:v>
      </x:c>
      <x:c r="C9" s="2" t="str">
        <x:v>inside</x:v>
      </x:c>
      <x:c r="D9" s="2" t="n">
        <x:v>2</x:v>
      </x:c>
      <x:c r="E9" s="2" t="n">
        <x:v>1</x:v>
      </x:c>
      <x:c r="F9" s="2" t="n">
        <x:v>10</x:v>
      </x:c>
      <x:c r="G9" s="2" t="str">
        <x:v>observed_post_release</x:v>
      </x:c>
      <x:c r="H9" s="2" t="n">
        <x:f>IF(AND(ISNUMBER(F9),F9&gt;=D9),1,0)</x:f>
        <x:v>1</x:v>
      </x:c>
      <x:c r="I9" s="2" t="n">
        <x:f>IF(AND(ISNUMBER(F9),F9&gt;D9),1,0)</x:f>
        <x:v>1</x:v>
      </x:c>
      <x:c r="J9" s="2" t="n">
        <x:f>IF(H9=1,F9-D9,"")</x:f>
        <x:v>8</x:v>
      </x:c>
      <x:c r="K9" s="2" t="n">
        <x:f>IF(H9=1,F9-E9,"")</x:f>
        <x:v>9</x:v>
      </x:c>
      <x:c r="L9" s="2" t="n">
        <x:v>9</x:v>
      </x:c>
      <x:c r="M9" s="2" t="n">
        <x:v>5</x:v>
      </x:c>
      <x:c r="N9" s="20" t="n">
        <x:v>0</x:v>
      </x:c>
      <x:c r="O9" s="20" t="n">
        <x:v>0.2</x:v>
      </x:c>
      <x:c r="P9" s="20" t="n">
        <x:v>0.25</x:v>
      </x:c>
      <x:c r="Q9" s="2" t="n">
        <x:v>69</x:v>
      </x:c>
      <x:c r="R9" s="2" t="str">
        <x:v>ENTP</x:v>
      </x:c>
      <x:c r="S9" s="2" t="str">
        <x:v>华东</x:v>
      </x:c>
      <x:c r="T9" s="2" t="str">
        <x:v>退休人员</x:v>
      </x:c>
    </x:row>
    <x:row r="10" ht="24" customHeight="1">
      <x:c r="A10" s="2" t="str">
        <x:v>D000_T02_C020_G025</x:v>
      </x:c>
      <x:c r="B10" s="2" t="str">
        <x:v>A0032</x:v>
      </x:c>
      <x:c r="C10" s="2" t="str">
        <x:v>inside</x:v>
      </x:c>
      <x:c r="D10" s="2" t="n">
        <x:v>2</x:v>
      </x:c>
      <x:c r="E10" s="2" t="n">
        <x:v>1</x:v>
      </x:c>
      <x:c r="F10" s="2" t="n">
        <x:v>5</x:v>
      </x:c>
      <x:c r="G10" s="2" t="str">
        <x:v>observed_post_release</x:v>
      </x:c>
      <x:c r="H10" s="2" t="n">
        <x:f>IF(AND(ISNUMBER(F10),F10&gt;=D10),1,0)</x:f>
        <x:v>1</x:v>
      </x:c>
      <x:c r="I10" s="2" t="n">
        <x:f>IF(AND(ISNUMBER(F10),F10&gt;D10),1,0)</x:f>
        <x:v>1</x:v>
      </x:c>
      <x:c r="J10" s="2" t="n">
        <x:f>IF(H10=1,F10-D10,"")</x:f>
        <x:v>3</x:v>
      </x:c>
      <x:c r="K10" s="2" t="n">
        <x:f>IF(H10=1,F10-E10,"")</x:f>
        <x:v>4</x:v>
      </x:c>
      <x:c r="L10" s="2" t="n">
        <x:v>9</x:v>
      </x:c>
      <x:c r="M10" s="2" t="n">
        <x:v>2</x:v>
      </x:c>
      <x:c r="N10" s="20" t="n">
        <x:v>0</x:v>
      </x:c>
      <x:c r="O10" s="20" t="n">
        <x:v>0.2</x:v>
      </x:c>
      <x:c r="P10" s="20" t="n">
        <x:v>0.25</x:v>
      </x:c>
      <x:c r="Q10" s="2" t="n">
        <x:v>53</x:v>
      </x:c>
      <x:c r="R10" s="2" t="str">
        <x:v>INTP</x:v>
      </x:c>
      <x:c r="S10" s="2" t="str">
        <x:v>华北</x:v>
      </x:c>
      <x:c r="T10" s="2" t="str">
        <x:v>个体经营或自由职业</x:v>
      </x:c>
    </x:row>
    <x:row r="11" ht="24" customHeight="1">
      <x:c r="A11" s="2" t="str">
        <x:v>D000_T02_C020_G025</x:v>
      </x:c>
      <x:c r="B11" s="2" t="str">
        <x:v>A0109</x:v>
      </x:c>
      <x:c r="C11" s="2" t="str">
        <x:v>outside</x:v>
      </x:c>
      <x:c r="D11" s="2" t="n">
        <x:v>2</x:v>
      </x:c>
      <x:c r="E11" s="2" t="n">
        <x:v>4</x:v>
      </x:c>
      <x:c r="F11" s="2" t="n">
        <x:v>7</x:v>
      </x:c>
      <x:c r="G11" s="2" t="str">
        <x:v>observed_post_release</x:v>
      </x:c>
      <x:c r="H11" s="2" t="n">
        <x:f>IF(AND(ISNUMBER(F11),F11&gt;=D11),1,0)</x:f>
        <x:v>1</x:v>
      </x:c>
      <x:c r="I11" s="2" t="n">
        <x:f>IF(AND(ISNUMBER(F11),F11&gt;D11),1,0)</x:f>
        <x:v>1</x:v>
      </x:c>
      <x:c r="J11" s="2" t="n">
        <x:f>IF(H11=1,F11-D11,"")</x:f>
        <x:v>5</x:v>
      </x:c>
      <x:c r="K11" s="2" t="n">
        <x:f>IF(H11=1,F11-E11,"")</x:f>
        <x:v>3</x:v>
      </x:c>
      <x:c r="L11" s="2" t="n">
        <x:v>6</x:v>
      </x:c>
      <x:c r="M11" s="2" t="n">
        <x:v>6</x:v>
      </x:c>
      <x:c r="N11" s="20" t="n">
        <x:v>0</x:v>
      </x:c>
      <x:c r="O11" s="20" t="n">
        <x:v>0.2</x:v>
      </x:c>
      <x:c r="P11" s="20" t="n">
        <x:v>0.25</x:v>
      </x:c>
      <x:c r="Q11" s="2" t="n">
        <x:v>18</x:v>
      </x:c>
      <x:c r="R11" s="2" t="str">
        <x:v>ENFJ</x:v>
      </x:c>
      <x:c r="S11" s="2" t="str">
        <x:v>华中</x:v>
      </x:c>
      <x:c r="T11" s="2" t="str">
        <x:v>行政或办公室岗位</x:v>
      </x:c>
    </x:row>
    <x:row r="12" ht="24" customHeight="1">
      <x:c r="A12" s="2" t="str">
        <x:v>D000_T02_C020_G025</x:v>
      </x:c>
      <x:c r="B12" s="2" t="str">
        <x:v>A0116</x:v>
      </x:c>
      <x:c r="C12" s="2" t="str">
        <x:v>outside</x:v>
      </x:c>
      <x:c r="D12" s="2" t="n">
        <x:v>2</x:v>
      </x:c>
      <x:c r="E12" s="2" t="n">
        <x:v>3</x:v>
      </x:c>
      <x:c r="F12" s="2"/>
      <x:c r="G12" s="2" t="str">
        <x:v>right_censored</x:v>
      </x:c>
      <x:c r="H12" s="2" t="n">
        <x:f>IF(AND(ISNUMBER(F12),F12&gt;=D12),1,0)</x:f>
        <x:v>0</x:v>
      </x:c>
      <x:c r="I12" s="2" t="n">
        <x:f>IF(AND(ISNUMBER(F12),F12&gt;D12),1,0)</x:f>
        <x:v>0</x:v>
      </x:c>
      <x:c r="J12" s="2" t="str">
        <x:f>IF(H12=1,F12-D12,"")</x:f>
      </x:c>
      <x:c r="K12" s="2" t="str">
        <x:f>IF(H12=1,F12-E12,"")</x:f>
      </x:c>
      <x:c r="L12" s="2" t="n">
        <x:v>7</x:v>
      </x:c>
      <x:c r="M12" s="2" t="n">
        <x:v>3</x:v>
      </x:c>
      <x:c r="N12" s="20" t="n">
        <x:v>0</x:v>
      </x:c>
      <x:c r="O12" s="20" t="n">
        <x:v>0.2</x:v>
      </x:c>
      <x:c r="P12" s="20" t="n">
        <x:v>0.25</x:v>
      </x:c>
      <x:c r="Q12" s="2" t="n">
        <x:v>32</x:v>
      </x:c>
      <x:c r="R12" s="2" t="str">
        <x:v>INTJ</x:v>
      </x:c>
      <x:c r="S12" s="2" t="str">
        <x:v>西南</x:v>
      </x:c>
      <x:c r="T12" s="2" t="str">
        <x:v>个体经营或自由职业</x:v>
      </x:c>
    </x:row>
    <x:row r="13" ht="24" customHeight="1">
      <x:c r="A13" s="2" t="str">
        <x:v>D000_T02_C020_G025</x:v>
      </x:c>
      <x:c r="B13" s="2" t="str">
        <x:v>A0164</x:v>
      </x:c>
      <x:c r="C13" s="2" t="str">
        <x:v>outside</x:v>
      </x:c>
      <x:c r="D13" s="2" t="n">
        <x:v>2</x:v>
      </x:c>
      <x:c r="E13" s="2" t="n">
        <x:v>4</x:v>
      </x:c>
      <x:c r="F13" s="2" t="n">
        <x:v>5</x:v>
      </x:c>
      <x:c r="G13" s="2" t="str">
        <x:v>observed_post_release</x:v>
      </x:c>
      <x:c r="H13" s="2" t="n">
        <x:f>IF(AND(ISNUMBER(F13),F13&gt;=D13),1,0)</x:f>
        <x:v>1</x:v>
      </x:c>
      <x:c r="I13" s="2" t="n">
        <x:f>IF(AND(ISNUMBER(F13),F13&gt;D13),1,0)</x:f>
        <x:v>1</x:v>
      </x:c>
      <x:c r="J13" s="2" t="n">
        <x:f>IF(H13=1,F13-D13,"")</x:f>
        <x:v>3</x:v>
      </x:c>
      <x:c r="K13" s="2" t="n">
        <x:f>IF(H13=1,F13-E13,"")</x:f>
        <x:v>1</x:v>
      </x:c>
      <x:c r="L13" s="2" t="n">
        <x:v>6</x:v>
      </x:c>
      <x:c r="M13" s="2" t="n">
        <x:v>5</x:v>
      </x:c>
      <x:c r="N13" s="20" t="n">
        <x:v>0</x:v>
      </x:c>
      <x:c r="O13" s="20" t="n">
        <x:v>0.2</x:v>
      </x:c>
      <x:c r="P13" s="20" t="n">
        <x:v>0.25</x:v>
      </x:c>
      <x:c r="Q13" s="2" t="n">
        <x:v>33</x:v>
      </x:c>
      <x:c r="R13" s="2" t="str">
        <x:v>ENTJ</x:v>
      </x:c>
      <x:c r="S13" s="2" t="str">
        <x:v>华南</x:v>
      </x:c>
      <x:c r="T13" s="2" t="str">
        <x:v>商业服务岗位</x:v>
      </x:c>
    </x:row>
    <x:row r="14" ht="24" customHeight="1">
      <x:c r="A14" s="2" t="str">
        <x:v>D000_T02_C020_G050</x:v>
      </x:c>
      <x:c r="B14" s="2" t="str">
        <x:v>A0011</x:v>
      </x:c>
      <x:c r="C14" s="2" t="str">
        <x:v>inside</x:v>
      </x:c>
      <x:c r="D14" s="2" t="n">
        <x:v>2</x:v>
      </x:c>
      <x:c r="E14" s="2" t="n">
        <x:v>1</x:v>
      </x:c>
      <x:c r="F14" s="2" t="n">
        <x:v>2</x:v>
      </x:c>
      <x:c r="G14" s="2" t="str">
        <x:v>observed_post_release</x:v>
      </x:c>
      <x:c r="H14" s="2" t="n">
        <x:f>IF(AND(ISNUMBER(F14),F14&gt;=D14),1,0)</x:f>
        <x:v>1</x:v>
      </x:c>
      <x:c r="I14" s="2" t="n">
        <x:f>IF(AND(ISNUMBER(F14),F14&gt;D14),1,0)</x:f>
        <x:v>0</x:v>
      </x:c>
      <x:c r="J14" s="2" t="n">
        <x:f>IF(H14=1,F14-D14,"")</x:f>
        <x:v>0</x:v>
      </x:c>
      <x:c r="K14" s="2" t="n">
        <x:f>IF(H14=1,F14-E14,"")</x:f>
        <x:v>1</x:v>
      </x:c>
      <x:c r="L14" s="2" t="n">
        <x:v>9</x:v>
      </x:c>
      <x:c r="M14" s="2" t="n">
        <x:v>2</x:v>
      </x:c>
      <x:c r="N14" s="20" t="n">
        <x:v>0</x:v>
      </x:c>
      <x:c r="O14" s="20" t="n">
        <x:v>0.2</x:v>
      </x:c>
      <x:c r="P14" s="20" t="n">
        <x:v>0.5</x:v>
      </x:c>
      <x:c r="Q14" s="2" t="n">
        <x:v>42</x:v>
      </x:c>
      <x:c r="R14" s="2" t="str">
        <x:v>ENFJ</x:v>
      </x:c>
      <x:c r="S14" s="2" t="str">
        <x:v>西南</x:v>
      </x:c>
      <x:c r="T14" s="2" t="str">
        <x:v>行政或办公室岗位</x:v>
      </x:c>
    </x:row>
    <x:row r="15" ht="24" customHeight="1">
      <x:c r="A15" s="2" t="str">
        <x:v>D000_T02_C020_G050</x:v>
      </x:c>
      <x:c r="B15" s="2" t="str">
        <x:v>A0014</x:v>
      </x:c>
      <x:c r="C15" s="2" t="str">
        <x:v>inside</x:v>
      </x:c>
      <x:c r="D15" s="2" t="n">
        <x:v>2</x:v>
      </x:c>
      <x:c r="E15" s="2" t="n">
        <x:v>1</x:v>
      </x:c>
      <x:c r="F15" s="2" t="n">
        <x:v>2</x:v>
      </x:c>
      <x:c r="G15" s="2" t="str">
        <x:v>observed_post_release</x:v>
      </x:c>
      <x:c r="H15" s="2" t="n">
        <x:f>IF(AND(ISNUMBER(F15),F15&gt;=D15),1,0)</x:f>
        <x:v>1</x:v>
      </x:c>
      <x:c r="I15" s="2" t="n">
        <x:f>IF(AND(ISNUMBER(F15),F15&gt;D15),1,0)</x:f>
        <x:v>0</x:v>
      </x:c>
      <x:c r="J15" s="2" t="n">
        <x:f>IF(H15=1,F15-D15,"")</x:f>
        <x:v>0</x:v>
      </x:c>
      <x:c r="K15" s="2" t="n">
        <x:f>IF(H15=1,F15-E15,"")</x:f>
        <x:v>1</x:v>
      </x:c>
      <x:c r="L15" s="2" t="n">
        <x:v>9</x:v>
      </x:c>
      <x:c r="M15" s="2" t="n">
        <x:v>2</x:v>
      </x:c>
      <x:c r="N15" s="20" t="n">
        <x:v>0</x:v>
      </x:c>
      <x:c r="O15" s="20" t="n">
        <x:v>0.2</x:v>
      </x:c>
      <x:c r="P15" s="20" t="n">
        <x:v>0.5</x:v>
      </x:c>
      <x:c r="Q15" s="2" t="n">
        <x:v>52</x:v>
      </x:c>
      <x:c r="R15" s="2" t="str">
        <x:v>INFJ</x:v>
      </x:c>
      <x:c r="S15" s="2" t="str">
        <x:v>华东</x:v>
      </x:c>
      <x:c r="T15" s="2" t="str">
        <x:v>生产运输或体力岗位</x:v>
      </x:c>
    </x:row>
    <x:row r="16" ht="24" customHeight="1">
      <x:c r="A16" s="2" t="str">
        <x:v>D000_T02_C020_G050</x:v>
      </x:c>
      <x:c r="B16" s="2" t="str">
        <x:v>A0016</x:v>
      </x:c>
      <x:c r="C16" s="2" t="str">
        <x:v>inside</x:v>
      </x:c>
      <x:c r="D16" s="2" t="n">
        <x:v>2</x:v>
      </x:c>
      <x:c r="E16" s="2" t="n">
        <x:v>1</x:v>
      </x:c>
      <x:c r="F16" s="2" t="n">
        <x:v>4</x:v>
      </x:c>
      <x:c r="G16" s="2" t="str">
        <x:v>observed_post_release</x:v>
      </x:c>
      <x:c r="H16" s="2" t="n">
        <x:f>IF(AND(ISNUMBER(F16),F16&gt;=D16),1,0)</x:f>
        <x:v>1</x:v>
      </x:c>
      <x:c r="I16" s="2" t="n">
        <x:f>IF(AND(ISNUMBER(F16),F16&gt;D16),1,0)</x:f>
        <x:v>1</x:v>
      </x:c>
      <x:c r="J16" s="2" t="n">
        <x:f>IF(H16=1,F16-D16,"")</x:f>
        <x:v>2</x:v>
      </x:c>
      <x:c r="K16" s="2" t="n">
        <x:f>IF(H16=1,F16-E16,"")</x:f>
        <x:v>3</x:v>
      </x:c>
      <x:c r="L16" s="2" t="n">
        <x:v>9</x:v>
      </x:c>
      <x:c r="M16" s="2" t="n">
        <x:v>4</x:v>
      </x:c>
      <x:c r="N16" s="20" t="n">
        <x:v>0</x:v>
      </x:c>
      <x:c r="O16" s="20" t="n">
        <x:v>0.2</x:v>
      </x:c>
      <x:c r="P16" s="20" t="n">
        <x:v>0.5</x:v>
      </x:c>
      <x:c r="Q16" s="2" t="n">
        <x:v>60</x:v>
      </x:c>
      <x:c r="R16" s="2" t="str">
        <x:v>ESFJ</x:v>
      </x:c>
      <x:c r="S16" s="2" t="str">
        <x:v>华北</x:v>
      </x:c>
      <x:c r="T16" s="2" t="str">
        <x:v>个体经营或自由职业</x:v>
      </x:c>
    </x:row>
    <x:row r="17" ht="24" customHeight="1">
      <x:c r="A17" s="2" t="str">
        <x:v>D000_T02_C020_G050</x:v>
      </x:c>
      <x:c r="B17" s="2" t="str">
        <x:v>A0017</x:v>
      </x:c>
      <x:c r="C17" s="2" t="str">
        <x:v>inside</x:v>
      </x:c>
      <x:c r="D17" s="2" t="n">
        <x:v>2</x:v>
      </x:c>
      <x:c r="E17" s="2" t="n">
        <x:v>1</x:v>
      </x:c>
      <x:c r="F17" s="2" t="n">
        <x:v>10</x:v>
      </x:c>
      <x:c r="G17" s="2" t="str">
        <x:v>observed_post_release</x:v>
      </x:c>
      <x:c r="H17" s="2" t="n">
        <x:f>IF(AND(ISNUMBER(F17),F17&gt;=D17),1,0)</x:f>
        <x:v>1</x:v>
      </x:c>
      <x:c r="I17" s="2" t="n">
        <x:f>IF(AND(ISNUMBER(F17),F17&gt;D17),1,0)</x:f>
        <x:v>1</x:v>
      </x:c>
      <x:c r="J17" s="2" t="n">
        <x:f>IF(H17=1,F17-D17,"")</x:f>
        <x:v>8</x:v>
      </x:c>
      <x:c r="K17" s="2" t="n">
        <x:f>IF(H17=1,F17-E17,"")</x:f>
        <x:v>9</x:v>
      </x:c>
      <x:c r="L17" s="2" t="n">
        <x:v>9</x:v>
      </x:c>
      <x:c r="M17" s="2" t="n">
        <x:v>10</x:v>
      </x:c>
      <x:c r="N17" s="20" t="n">
        <x:v>0</x:v>
      </x:c>
      <x:c r="O17" s="20" t="n">
        <x:v>0.2</x:v>
      </x:c>
      <x:c r="P17" s="20" t="n">
        <x:v>0.5</x:v>
      </x:c>
      <x:c r="Q17" s="2" t="n">
        <x:v>30</x:v>
      </x:c>
      <x:c r="R17" s="2" t="str">
        <x:v>ISTJ</x:v>
      </x:c>
      <x:c r="S17" s="2" t="str">
        <x:v>华东</x:v>
      </x:c>
      <x:c r="T17" s="2" t="str">
        <x:v>商业服务岗位</x:v>
      </x:c>
    </x:row>
    <x:row r="18" ht="24" customHeight="1">
      <x:c r="A18" s="2" t="str">
        <x:v>D000_T02_C020_G050</x:v>
      </x:c>
      <x:c r="B18" s="2" t="str">
        <x:v>A0018</x:v>
      </x:c>
      <x:c r="C18" s="2" t="str">
        <x:v>inside</x:v>
      </x:c>
      <x:c r="D18" s="2" t="n">
        <x:v>2</x:v>
      </x:c>
      <x:c r="E18" s="2" t="n">
        <x:v>1</x:v>
      </x:c>
      <x:c r="F18" s="2" t="n">
        <x:v>10</x:v>
      </x:c>
      <x:c r="G18" s="2" t="str">
        <x:v>observed_post_release</x:v>
      </x:c>
      <x:c r="H18" s="2" t="n">
        <x:f>IF(AND(ISNUMBER(F18),F18&gt;=D18),1,0)</x:f>
        <x:v>1</x:v>
      </x:c>
      <x:c r="I18" s="2" t="n">
        <x:f>IF(AND(ISNUMBER(F18),F18&gt;D18),1,0)</x:f>
        <x:v>1</x:v>
      </x:c>
      <x:c r="J18" s="2" t="n">
        <x:f>IF(H18=1,F18-D18,"")</x:f>
        <x:v>8</x:v>
      </x:c>
      <x:c r="K18" s="2" t="n">
        <x:f>IF(H18=1,F18-E18,"")</x:f>
        <x:v>9</x:v>
      </x:c>
      <x:c r="L18" s="2" t="n">
        <x:v>9</x:v>
      </x:c>
      <x:c r="M18" s="2" t="n">
        <x:v>8</x:v>
      </x:c>
      <x:c r="N18" s="20" t="n">
        <x:v>0</x:v>
      </x:c>
      <x:c r="O18" s="20" t="n">
        <x:v>0.2</x:v>
      </x:c>
      <x:c r="P18" s="20" t="n">
        <x:v>0.5</x:v>
      </x:c>
      <x:c r="Q18" s="2" t="n">
        <x:v>60</x:v>
      </x:c>
      <x:c r="R18" s="2" t="str">
        <x:v>INTJ</x:v>
      </x:c>
      <x:c r="S18" s="2" t="str">
        <x:v>华南</x:v>
      </x:c>
      <x:c r="T18" s="2" t="str">
        <x:v>专业技术岗位</x:v>
      </x:c>
    </x:row>
    <x:row r="19" ht="24" customHeight="1">
      <x:c r="A19" s="2" t="str">
        <x:v>D000_T02_C020_G050</x:v>
      </x:c>
      <x:c r="B19" s="2" t="str">
        <x:v>A0029</x:v>
      </x:c>
      <x:c r="C19" s="2" t="str">
        <x:v>inside</x:v>
      </x:c>
      <x:c r="D19" s="2" t="n">
        <x:v>2</x:v>
      </x:c>
      <x:c r="E19" s="2" t="n">
        <x:v>1</x:v>
      </x:c>
      <x:c r="F19" s="2" t="n">
        <x:v>4</x:v>
      </x:c>
      <x:c r="G19" s="2" t="str">
        <x:v>observed_post_release</x:v>
      </x:c>
      <x:c r="H19" s="2" t="n">
        <x:f>IF(AND(ISNUMBER(F19),F19&gt;=D19),1,0)</x:f>
        <x:v>1</x:v>
      </x:c>
      <x:c r="I19" s="2" t="n">
        <x:f>IF(AND(ISNUMBER(F19),F19&gt;D19),1,0)</x:f>
        <x:v>1</x:v>
      </x:c>
      <x:c r="J19" s="2" t="n">
        <x:f>IF(H19=1,F19-D19,"")</x:f>
        <x:v>2</x:v>
      </x:c>
      <x:c r="K19" s="2" t="n">
        <x:f>IF(H19=1,F19-E19,"")</x:f>
        <x:v>3</x:v>
      </x:c>
      <x:c r="L19" s="2" t="n">
        <x:v>9</x:v>
      </x:c>
      <x:c r="M19" s="2" t="n">
        <x:v>3</x:v>
      </x:c>
      <x:c r="N19" s="20" t="n">
        <x:v>0</x:v>
      </x:c>
      <x:c r="O19" s="20" t="n">
        <x:v>0.2</x:v>
      </x:c>
      <x:c r="P19" s="20" t="n">
        <x:v>0.5</x:v>
      </x:c>
      <x:c r="Q19" s="2" t="n">
        <x:v>69</x:v>
      </x:c>
      <x:c r="R19" s="2" t="str">
        <x:v>ENTP</x:v>
      </x:c>
      <x:c r="S19" s="2" t="str">
        <x:v>华东</x:v>
      </x:c>
      <x:c r="T19" s="2" t="str">
        <x:v>退休人员</x:v>
      </x:c>
    </x:row>
    <x:row r="20" ht="24" customHeight="1">
      <x:c r="A20" s="2" t="str">
        <x:v>D000_T02_C020_G050</x:v>
      </x:c>
      <x:c r="B20" s="2" t="str">
        <x:v>A0040</x:v>
      </x:c>
      <x:c r="C20" s="2" t="str">
        <x:v>inside</x:v>
      </x:c>
      <x:c r="D20" s="2" t="n">
        <x:v>2</x:v>
      </x:c>
      <x:c r="E20" s="2" t="n">
        <x:v>1</x:v>
      </x:c>
      <x:c r="F20" s="2" t="n">
        <x:v>4</x:v>
      </x:c>
      <x:c r="G20" s="2" t="str">
        <x:v>observed_post_release</x:v>
      </x:c>
      <x:c r="H20" s="2" t="n">
        <x:f>IF(AND(ISNUMBER(F20),F20&gt;=D20),1,0)</x:f>
        <x:v>1</x:v>
      </x:c>
      <x:c r="I20" s="2" t="n">
        <x:f>IF(AND(ISNUMBER(F20),F20&gt;D20),1,0)</x:f>
        <x:v>1</x:v>
      </x:c>
      <x:c r="J20" s="2" t="n">
        <x:f>IF(H20=1,F20-D20,"")</x:f>
        <x:v>2</x:v>
      </x:c>
      <x:c r="K20" s="2" t="n">
        <x:f>IF(H20=1,F20-E20,"")</x:f>
        <x:v>3</x:v>
      </x:c>
      <x:c r="L20" s="2" t="n">
        <x:v>9</x:v>
      </x:c>
      <x:c r="M20" s="2" t="n">
        <x:v>4</x:v>
      </x:c>
      <x:c r="N20" s="20" t="n">
        <x:v>0</x:v>
      </x:c>
      <x:c r="O20" s="20" t="n">
        <x:v>0.2</x:v>
      </x:c>
      <x:c r="P20" s="20" t="n">
        <x:v>0.5</x:v>
      </x:c>
      <x:c r="Q20" s="2" t="n">
        <x:v>48</x:v>
      </x:c>
      <x:c r="R20" s="2" t="str">
        <x:v>INFP</x:v>
      </x:c>
      <x:c r="S20" s="2" t="str">
        <x:v>西北</x:v>
      </x:c>
      <x:c r="T20" s="2" t="str">
        <x:v>个体经营或自由职业</x:v>
      </x:c>
    </x:row>
    <x:row r="21" ht="24" customHeight="1">
      <x:c r="A21" s="2" t="str">
        <x:v>D000_T02_C020_G075</x:v>
      </x:c>
      <x:c r="B21" s="2" t="str">
        <x:v>A0011</x:v>
      </x:c>
      <x:c r="C21" s="2" t="str">
        <x:v>inside</x:v>
      </x:c>
      <x:c r="D21" s="2" t="n">
        <x:v>2</x:v>
      </x:c>
      <x:c r="E21" s="2" t="n">
        <x:v>1</x:v>
      </x:c>
      <x:c r="F21" s="2" t="n">
        <x:v>2</x:v>
      </x:c>
      <x:c r="G21" s="2" t="str">
        <x:v>observed_post_release</x:v>
      </x:c>
      <x:c r="H21" s="2" t="n">
        <x:f>IF(AND(ISNUMBER(F21),F21&gt;=D21),1,0)</x:f>
        <x:v>1</x:v>
      </x:c>
      <x:c r="I21" s="2" t="n">
        <x:f>IF(AND(ISNUMBER(F21),F21&gt;D21),1,0)</x:f>
        <x:v>0</x:v>
      </x:c>
      <x:c r="J21" s="2" t="n">
        <x:f>IF(H21=1,F21-D21,"")</x:f>
        <x:v>0</x:v>
      </x:c>
      <x:c r="K21" s="2" t="n">
        <x:f>IF(H21=1,F21-E21,"")</x:f>
        <x:v>1</x:v>
      </x:c>
      <x:c r="L21" s="2" t="n">
        <x:v>9</x:v>
      </x:c>
      <x:c r="M21" s="2" t="n">
        <x:v>2</x:v>
      </x:c>
      <x:c r="N21" s="20" t="n">
        <x:v>0</x:v>
      </x:c>
      <x:c r="O21" s="20" t="n">
        <x:v>0.2</x:v>
      </x:c>
      <x:c r="P21" s="20" t="n">
        <x:v>0.75</x:v>
      </x:c>
      <x:c r="Q21" s="2" t="n">
        <x:v>42</x:v>
      </x:c>
      <x:c r="R21" s="2" t="str">
        <x:v>ENFJ</x:v>
      </x:c>
      <x:c r="S21" s="2" t="str">
        <x:v>西南</x:v>
      </x:c>
      <x:c r="T21" s="2" t="str">
        <x:v>行政或办公室岗位</x:v>
      </x:c>
    </x:row>
    <x:row r="22" ht="24" customHeight="1">
      <x:c r="A22" s="2" t="str">
        <x:v>D000_T02_C020_G075</x:v>
      </x:c>
      <x:c r="B22" s="2" t="str">
        <x:v>A0012</x:v>
      </x:c>
      <x:c r="C22" s="2" t="str">
        <x:v>inside</x:v>
      </x:c>
      <x:c r="D22" s="2" t="n">
        <x:v>2</x:v>
      </x:c>
      <x:c r="E22" s="2" t="n">
        <x:v>1</x:v>
      </x:c>
      <x:c r="F22" s="2" t="n">
        <x:v>5</x:v>
      </x:c>
      <x:c r="G22" s="2" t="str">
        <x:v>observed_post_release</x:v>
      </x:c>
      <x:c r="H22" s="2" t="n">
        <x:f>IF(AND(ISNUMBER(F22),F22&gt;=D22),1,0)</x:f>
        <x:v>1</x:v>
      </x:c>
      <x:c r="I22" s="2" t="n">
        <x:f>IF(AND(ISNUMBER(F22),F22&gt;D22),1,0)</x:f>
        <x:v>1</x:v>
      </x:c>
      <x:c r="J22" s="2" t="n">
        <x:f>IF(H22=1,F22-D22,"")</x:f>
        <x:v>3</x:v>
      </x:c>
      <x:c r="K22" s="2" t="n">
        <x:f>IF(H22=1,F22-E22,"")</x:f>
        <x:v>4</x:v>
      </x:c>
      <x:c r="L22" s="2" t="n">
        <x:v>9</x:v>
      </x:c>
      <x:c r="M22" s="2" t="n">
        <x:v>5</x:v>
      </x:c>
      <x:c r="N22" s="20" t="n">
        <x:v>0</x:v>
      </x:c>
      <x:c r="O22" s="20" t="n">
        <x:v>0.2</x:v>
      </x:c>
      <x:c r="P22" s="20" t="n">
        <x:v>0.75</x:v>
      </x:c>
      <x:c r="Q22" s="2" t="n">
        <x:v>38</x:v>
      </x:c>
      <x:c r="R22" s="2" t="str">
        <x:v>ESFP</x:v>
      </x:c>
      <x:c r="S22" s="2" t="str">
        <x:v>华中</x:v>
      </x:c>
      <x:c r="T22" s="2" t="str">
        <x:v>行政或办公室岗位</x:v>
      </x:c>
    </x:row>
    <x:row r="23" ht="24" customHeight="1">
      <x:c r="A23" s="2" t="str">
        <x:v>D000_T02_C020_G075</x:v>
      </x:c>
      <x:c r="B23" s="2" t="str">
        <x:v>A0041</x:v>
      </x:c>
      <x:c r="C23" s="2" t="str">
        <x:v>inside</x:v>
      </x:c>
      <x:c r="D23" s="2" t="n">
        <x:v>2</x:v>
      </x:c>
      <x:c r="E23" s="2" t="n">
        <x:v>1</x:v>
      </x:c>
      <x:c r="F23" s="2" t="n">
        <x:v>3</x:v>
      </x:c>
      <x:c r="G23" s="2" t="str">
        <x:v>observed_post_release</x:v>
      </x:c>
      <x:c r="H23" s="2" t="n">
        <x:f>IF(AND(ISNUMBER(F23),F23&gt;=D23),1,0)</x:f>
        <x:v>1</x:v>
      </x:c>
      <x:c r="I23" s="2" t="n">
        <x:f>IF(AND(ISNUMBER(F23),F23&gt;D23),1,0)</x:f>
        <x:v>1</x:v>
      </x:c>
      <x:c r="J23" s="2" t="n">
        <x:f>IF(H23=1,F23-D23,"")</x:f>
        <x:v>1</x:v>
      </x:c>
      <x:c r="K23" s="2" t="n">
        <x:f>IF(H23=1,F23-E23,"")</x:f>
        <x:v>2</x:v>
      </x:c>
      <x:c r="L23" s="2" t="n">
        <x:v>9</x:v>
      </x:c>
      <x:c r="M23" s="2" t="n">
        <x:v>3</x:v>
      </x:c>
      <x:c r="N23" s="20" t="n">
        <x:v>0</x:v>
      </x:c>
      <x:c r="O23" s="20" t="n">
        <x:v>0.2</x:v>
      </x:c>
      <x:c r="P23" s="20" t="n">
        <x:v>0.75</x:v>
      </x:c>
      <x:c r="Q23" s="2" t="n">
        <x:v>62</x:v>
      </x:c>
      <x:c r="R23" s="2" t="str">
        <x:v>ISFJ</x:v>
      </x:c>
      <x:c r="S23" s="2" t="str">
        <x:v>西北</x:v>
      </x:c>
      <x:c r="T23" s="2" t="str">
        <x:v>个体经营或自由职业</x:v>
      </x:c>
    </x:row>
    <x:row r="24" ht="24" customHeight="1">
      <x:c r="A24" s="2" t="str">
        <x:v>D000_T02_C020_G075</x:v>
      </x:c>
      <x:c r="B24" s="2" t="str">
        <x:v>A0116</x:v>
      </x:c>
      <x:c r="C24" s="2" t="str">
        <x:v>outside</x:v>
      </x:c>
      <x:c r="D24" s="2" t="n">
        <x:v>2</x:v>
      </x:c>
      <x:c r="E24" s="2" t="n">
        <x:v>3</x:v>
      </x:c>
      <x:c r="F24" s="2" t="n">
        <x:v>5</x:v>
      </x:c>
      <x:c r="G24" s="2" t="str">
        <x:v>observed_post_release</x:v>
      </x:c>
      <x:c r="H24" s="2" t="n">
        <x:f>IF(AND(ISNUMBER(F24),F24&gt;=D24),1,0)</x:f>
        <x:v>1</x:v>
      </x:c>
      <x:c r="I24" s="2" t="n">
        <x:f>IF(AND(ISNUMBER(F24),F24&gt;D24),1,0)</x:f>
        <x:v>1</x:v>
      </x:c>
      <x:c r="J24" s="2" t="n">
        <x:f>IF(H24=1,F24-D24,"")</x:f>
        <x:v>3</x:v>
      </x:c>
      <x:c r="K24" s="2" t="n">
        <x:f>IF(H24=1,F24-E24,"")</x:f>
        <x:v>2</x:v>
      </x:c>
      <x:c r="L24" s="2" t="n">
        <x:v>7</x:v>
      </x:c>
      <x:c r="M24" s="2" t="n">
        <x:v>5</x:v>
      </x:c>
      <x:c r="N24" s="20" t="n">
        <x:v>0</x:v>
      </x:c>
      <x:c r="O24" s="20" t="n">
        <x:v>0.2</x:v>
      </x:c>
      <x:c r="P24" s="20" t="n">
        <x:v>0.75</x:v>
      </x:c>
      <x:c r="Q24" s="2" t="n">
        <x:v>32</x:v>
      </x:c>
      <x:c r="R24" s="2" t="str">
        <x:v>INTJ</x:v>
      </x:c>
      <x:c r="S24" s="2" t="str">
        <x:v>西南</x:v>
      </x:c>
      <x:c r="T24" s="2" t="str">
        <x:v>个体经营或自由职业</x:v>
      </x:c>
    </x:row>
    <x:row r="25" ht="24" customHeight="1">
      <x:c r="A25" s="2" t="str">
        <x:v>D000_T02_C080_G025</x:v>
      </x:c>
      <x:c r="B25" s="2" t="str">
        <x:v>A0011</x:v>
      </x:c>
      <x:c r="C25" s="2" t="str">
        <x:v>inside</x:v>
      </x:c>
      <x:c r="D25" s="2" t="n">
        <x:v>2</x:v>
      </x:c>
      <x:c r="E25" s="2" t="n">
        <x:v>1</x:v>
      </x:c>
      <x:c r="F25" s="2" t="n">
        <x:v>5</x:v>
      </x:c>
      <x:c r="G25" s="2" t="str">
        <x:v>observed_post_release</x:v>
      </x:c>
      <x:c r="H25" s="2" t="n">
        <x:f>IF(AND(ISNUMBER(F25),F25&gt;=D25),1,0)</x:f>
        <x:v>1</x:v>
      </x:c>
      <x:c r="I25" s="2" t="n">
        <x:f>IF(AND(ISNUMBER(F25),F25&gt;D25),1,0)</x:f>
        <x:v>1</x:v>
      </x:c>
      <x:c r="J25" s="2" t="n">
        <x:f>IF(H25=1,F25-D25,"")</x:f>
        <x:v>3</x:v>
      </x:c>
      <x:c r="K25" s="2" t="n">
        <x:f>IF(H25=1,F25-E25,"")</x:f>
        <x:v>4</x:v>
      </x:c>
      <x:c r="L25" s="2" t="n">
        <x:v>9</x:v>
      </x:c>
      <x:c r="M25" s="2" t="n">
        <x:v>3</x:v>
      </x:c>
      <x:c r="N25" s="20" t="n">
        <x:v>0</x:v>
      </x:c>
      <x:c r="O25" s="20" t="n">
        <x:v>0.8</x:v>
      </x:c>
      <x:c r="P25" s="20" t="n">
        <x:v>0.25</x:v>
      </x:c>
      <x:c r="Q25" s="2" t="n">
        <x:v>42</x:v>
      </x:c>
      <x:c r="R25" s="2" t="str">
        <x:v>ENFJ</x:v>
      </x:c>
      <x:c r="S25" s="2" t="str">
        <x:v>西南</x:v>
      </x:c>
      <x:c r="T25" s="2" t="str">
        <x:v>行政或办公室岗位</x:v>
      </x:c>
    </x:row>
    <x:row r="26" ht="24" customHeight="1">
      <x:c r="A26" s="2" t="str">
        <x:v>D000_T02_C080_G025</x:v>
      </x:c>
      <x:c r="B26" s="2" t="str">
        <x:v>A0017</x:v>
      </x:c>
      <x:c r="C26" s="2" t="str">
        <x:v>inside</x:v>
      </x:c>
      <x:c r="D26" s="2" t="n">
        <x:v>2</x:v>
      </x:c>
      <x:c r="E26" s="2" t="n">
        <x:v>1</x:v>
      </x:c>
      <x:c r="F26" s="2" t="n">
        <x:v>3</x:v>
      </x:c>
      <x:c r="G26" s="2" t="str">
        <x:v>observed_post_release</x:v>
      </x:c>
      <x:c r="H26" s="2" t="n">
        <x:f>IF(AND(ISNUMBER(F26),F26&gt;=D26),1,0)</x:f>
        <x:v>1</x:v>
      </x:c>
      <x:c r="I26" s="2" t="n">
        <x:f>IF(AND(ISNUMBER(F26),F26&gt;D26),1,0)</x:f>
        <x:v>1</x:v>
      </x:c>
      <x:c r="J26" s="2" t="n">
        <x:f>IF(H26=1,F26-D26,"")</x:f>
        <x:v>1</x:v>
      </x:c>
      <x:c r="K26" s="2" t="n">
        <x:f>IF(H26=1,F26-E26,"")</x:f>
        <x:v>2</x:v>
      </x:c>
      <x:c r="L26" s="2" t="n">
        <x:v>9</x:v>
      </x:c>
      <x:c r="M26" s="2" t="n">
        <x:v>3</x:v>
      </x:c>
      <x:c r="N26" s="20" t="n">
        <x:v>0</x:v>
      </x:c>
      <x:c r="O26" s="20" t="n">
        <x:v>0.8</x:v>
      </x:c>
      <x:c r="P26" s="20" t="n">
        <x:v>0.25</x:v>
      </x:c>
      <x:c r="Q26" s="2" t="n">
        <x:v>30</x:v>
      </x:c>
      <x:c r="R26" s="2" t="str">
        <x:v>ISTJ</x:v>
      </x:c>
      <x:c r="S26" s="2" t="str">
        <x:v>华东</x:v>
      </x:c>
      <x:c r="T26" s="2" t="str">
        <x:v>商业服务岗位</x:v>
      </x:c>
    </x:row>
    <x:row r="27" ht="24" customHeight="1">
      <x:c r="A27" s="2" t="str">
        <x:v>D000_T02_C080_G025</x:v>
      </x:c>
      <x:c r="B27" s="2" t="str">
        <x:v>A0018</x:v>
      </x:c>
      <x:c r="C27" s="2" t="str">
        <x:v>inside</x:v>
      </x:c>
      <x:c r="D27" s="2" t="n">
        <x:v>2</x:v>
      </x:c>
      <x:c r="E27" s="2" t="n">
        <x:v>1</x:v>
      </x:c>
      <x:c r="F27" s="2" t="n">
        <x:v>3</x:v>
      </x:c>
      <x:c r="G27" s="2" t="str">
        <x:v>observed_post_release</x:v>
      </x:c>
      <x:c r="H27" s="2" t="n">
        <x:f>IF(AND(ISNUMBER(F27),F27&gt;=D27),1,0)</x:f>
        <x:v>1</x:v>
      </x:c>
      <x:c r="I27" s="2" t="n">
        <x:f>IF(AND(ISNUMBER(F27),F27&gt;D27),1,0)</x:f>
        <x:v>1</x:v>
      </x:c>
      <x:c r="J27" s="2" t="n">
        <x:f>IF(H27=1,F27-D27,"")</x:f>
        <x:v>1</x:v>
      </x:c>
      <x:c r="K27" s="2" t="n">
        <x:f>IF(H27=1,F27-E27,"")</x:f>
        <x:v>2</x:v>
      </x:c>
      <x:c r="L27" s="2" t="n">
        <x:v>9</x:v>
      </x:c>
      <x:c r="M27" s="2" t="n">
        <x:v>2</x:v>
      </x:c>
      <x:c r="N27" s="20" t="n">
        <x:v>0</x:v>
      </x:c>
      <x:c r="O27" s="20" t="n">
        <x:v>0.8</x:v>
      </x:c>
      <x:c r="P27" s="20" t="n">
        <x:v>0.25</x:v>
      </x:c>
      <x:c r="Q27" s="2" t="n">
        <x:v>60</x:v>
      </x:c>
      <x:c r="R27" s="2" t="str">
        <x:v>INTJ</x:v>
      </x:c>
      <x:c r="S27" s="2" t="str">
        <x:v>华南</x:v>
      </x:c>
      <x:c r="T27" s="2" t="str">
        <x:v>专业技术岗位</x:v>
      </x:c>
    </x:row>
    <x:row r="28" ht="24" customHeight="1">
      <x:c r="A28" s="2" t="str">
        <x:v>D000_T02_C080_G025</x:v>
      </x:c>
      <x:c r="B28" s="2" t="str">
        <x:v>A0116</x:v>
      </x:c>
      <x:c r="C28" s="2" t="str">
        <x:v>outside</x:v>
      </x:c>
      <x:c r="D28" s="2" t="n">
        <x:v>2</x:v>
      </x:c>
      <x:c r="E28" s="2" t="n">
        <x:v>3</x:v>
      </x:c>
      <x:c r="F28" s="2"/>
      <x:c r="G28" s="2" t="str">
        <x:v>right_censored</x:v>
      </x:c>
      <x:c r="H28" s="2" t="n">
        <x:f>IF(AND(ISNUMBER(F28),F28&gt;=D28),1,0)</x:f>
        <x:v>0</x:v>
      </x:c>
      <x:c r="I28" s="2" t="n">
        <x:f>IF(AND(ISNUMBER(F28),F28&gt;D28),1,0)</x:f>
        <x:v>0</x:v>
      </x:c>
      <x:c r="J28" s="2" t="str">
        <x:f>IF(H28=1,F28-D28,"")</x:f>
      </x:c>
      <x:c r="K28" s="2" t="str">
        <x:f>IF(H28=1,F28-E28,"")</x:f>
      </x:c>
      <x:c r="L28" s="2" t="n">
        <x:v>7</x:v>
      </x:c>
      <x:c r="M28" s="2" t="n">
        <x:v>4</x:v>
      </x:c>
      <x:c r="N28" s="20" t="n">
        <x:v>0</x:v>
      </x:c>
      <x:c r="O28" s="20" t="n">
        <x:v>0.8</x:v>
      </x:c>
      <x:c r="P28" s="20" t="n">
        <x:v>0.25</x:v>
      </x:c>
      <x:c r="Q28" s="2" t="n">
        <x:v>32</x:v>
      </x:c>
      <x:c r="R28" s="2" t="str">
        <x:v>INTJ</x:v>
      </x:c>
      <x:c r="S28" s="2" t="str">
        <x:v>西南</x:v>
      </x:c>
      <x:c r="T28" s="2" t="str">
        <x:v>个体经营或自由职业</x:v>
      </x:c>
    </x:row>
    <x:row r="29" ht="24" customHeight="1">
      <x:c r="A29" s="2" t="str">
        <x:v>D000_T02_C080_G050</x:v>
      </x:c>
      <x:c r="B29" s="2" t="str">
        <x:v>A0011</x:v>
      </x:c>
      <x:c r="C29" s="2" t="str">
        <x:v>inside</x:v>
      </x:c>
      <x:c r="D29" s="2" t="n">
        <x:v>2</x:v>
      </x:c>
      <x:c r="E29" s="2" t="n">
        <x:v>1</x:v>
      </x:c>
      <x:c r="F29" s="2" t="n">
        <x:v>3</x:v>
      </x:c>
      <x:c r="G29" s="2" t="str">
        <x:v>observed_post_release</x:v>
      </x:c>
      <x:c r="H29" s="2" t="n">
        <x:f>IF(AND(ISNUMBER(F29),F29&gt;=D29),1,0)</x:f>
        <x:v>1</x:v>
      </x:c>
      <x:c r="I29" s="2" t="n">
        <x:f>IF(AND(ISNUMBER(F29),F29&gt;D29),1,0)</x:f>
        <x:v>1</x:v>
      </x:c>
      <x:c r="J29" s="2" t="n">
        <x:f>IF(H29=1,F29-D29,"")</x:f>
        <x:v>1</x:v>
      </x:c>
      <x:c r="K29" s="2" t="n">
        <x:f>IF(H29=1,F29-E29,"")</x:f>
        <x:v>2</x:v>
      </x:c>
      <x:c r="L29" s="2" t="n">
        <x:v>9</x:v>
      </x:c>
      <x:c r="M29" s="2" t="n">
        <x:v>3</x:v>
      </x:c>
      <x:c r="N29" s="20" t="n">
        <x:v>0</x:v>
      </x:c>
      <x:c r="O29" s="20" t="n">
        <x:v>0.8</x:v>
      </x:c>
      <x:c r="P29" s="20" t="n">
        <x:v>0.5</x:v>
      </x:c>
      <x:c r="Q29" s="2" t="n">
        <x:v>42</x:v>
      </x:c>
      <x:c r="R29" s="2" t="str">
        <x:v>ENFJ</x:v>
      </x:c>
      <x:c r="S29" s="2" t="str">
        <x:v>西南</x:v>
      </x:c>
      <x:c r="T29" s="2" t="str">
        <x:v>行政或办公室岗位</x:v>
      </x:c>
    </x:row>
    <x:row r="30" ht="24" customHeight="1">
      <x:c r="A30" s="2" t="str">
        <x:v>D000_T02_C080_G050</x:v>
      </x:c>
      <x:c r="B30" s="2" t="str">
        <x:v>A0012</x:v>
      </x:c>
      <x:c r="C30" s="2" t="str">
        <x:v>inside</x:v>
      </x:c>
      <x:c r="D30" s="2" t="n">
        <x:v>2</x:v>
      </x:c>
      <x:c r="E30" s="2" t="n">
        <x:v>1</x:v>
      </x:c>
      <x:c r="F30" s="2" t="n">
        <x:v>7</x:v>
      </x:c>
      <x:c r="G30" s="2" t="str">
        <x:v>observed_post_release</x:v>
      </x:c>
      <x:c r="H30" s="2" t="n">
        <x:f>IF(AND(ISNUMBER(F30),F30&gt;=D30),1,0)</x:f>
        <x:v>1</x:v>
      </x:c>
      <x:c r="I30" s="2" t="n">
        <x:f>IF(AND(ISNUMBER(F30),F30&gt;D30),1,0)</x:f>
        <x:v>1</x:v>
      </x:c>
      <x:c r="J30" s="2" t="n">
        <x:f>IF(H30=1,F30-D30,"")</x:f>
        <x:v>5</x:v>
      </x:c>
      <x:c r="K30" s="2" t="n">
        <x:f>IF(H30=1,F30-E30,"")</x:f>
        <x:v>6</x:v>
      </x:c>
      <x:c r="L30" s="2" t="n">
        <x:v>9</x:v>
      </x:c>
      <x:c r="M30" s="2" t="n">
        <x:v>2</x:v>
      </x:c>
      <x:c r="N30" s="20" t="n">
        <x:v>0</x:v>
      </x:c>
      <x:c r="O30" s="20" t="n">
        <x:v>0.8</x:v>
      </x:c>
      <x:c r="P30" s="20" t="n">
        <x:v>0.5</x:v>
      </x:c>
      <x:c r="Q30" s="2" t="n">
        <x:v>38</x:v>
      </x:c>
      <x:c r="R30" s="2" t="str">
        <x:v>ESFP</x:v>
      </x:c>
      <x:c r="S30" s="2" t="str">
        <x:v>华中</x:v>
      </x:c>
      <x:c r="T30" s="2" t="str">
        <x:v>行政或办公室岗位</x:v>
      </x:c>
    </x:row>
    <x:row r="31" ht="24" customHeight="1">
      <x:c r="A31" s="2" t="str">
        <x:v>D000_T02_C080_G050</x:v>
      </x:c>
      <x:c r="B31" s="2" t="str">
        <x:v>A0034</x:v>
      </x:c>
      <x:c r="C31" s="2" t="str">
        <x:v>inside</x:v>
      </x:c>
      <x:c r="D31" s="2" t="n">
        <x:v>2</x:v>
      </x:c>
      <x:c r="E31" s="2" t="n">
        <x:v>1</x:v>
      </x:c>
      <x:c r="F31" s="2" t="n">
        <x:v>2</x:v>
      </x:c>
      <x:c r="G31" s="2" t="str">
        <x:v>observed_post_release</x:v>
      </x:c>
      <x:c r="H31" s="2" t="n">
        <x:f>IF(AND(ISNUMBER(F31),F31&gt;=D31),1,0)</x:f>
        <x:v>1</x:v>
      </x:c>
      <x:c r="I31" s="2" t="n">
        <x:f>IF(AND(ISNUMBER(F31),F31&gt;D31),1,0)</x:f>
        <x:v>0</x:v>
      </x:c>
      <x:c r="J31" s="2" t="n">
        <x:f>IF(H31=1,F31-D31,"")</x:f>
        <x:v>0</x:v>
      </x:c>
      <x:c r="K31" s="2" t="n">
        <x:f>IF(H31=1,F31-E31,"")</x:f>
        <x:v>1</x:v>
      </x:c>
      <x:c r="L31" s="2" t="n">
        <x:v>9</x:v>
      </x:c>
      <x:c r="M31" s="2" t="n">
        <x:v>2</x:v>
      </x:c>
      <x:c r="N31" s="20" t="n">
        <x:v>0</x:v>
      </x:c>
      <x:c r="O31" s="20" t="n">
        <x:v>0.8</x:v>
      </x:c>
      <x:c r="P31" s="20" t="n">
        <x:v>0.5</x:v>
      </x:c>
      <x:c r="Q31" s="2" t="n">
        <x:v>36</x:v>
      </x:c>
      <x:c r="R31" s="2" t="str">
        <x:v>INTP</x:v>
      </x:c>
      <x:c r="S31" s="2" t="str">
        <x:v>华南</x:v>
      </x:c>
      <x:c r="T31" s="2" t="str">
        <x:v>专业技术岗位</x:v>
      </x:c>
    </x:row>
    <x:row r="32" ht="24" customHeight="1">
      <x:c r="A32" s="2" t="str">
        <x:v>D000_T02_C080_G050</x:v>
      </x:c>
      <x:c r="B32" s="2" t="str">
        <x:v>A0035</x:v>
      </x:c>
      <x:c r="C32" s="2" t="str">
        <x:v>inside</x:v>
      </x:c>
      <x:c r="D32" s="2" t="n">
        <x:v>2</x:v>
      </x:c>
      <x:c r="E32" s="2" t="n">
        <x:v>1</x:v>
      </x:c>
      <x:c r="F32" s="2" t="n">
        <x:v>2</x:v>
      </x:c>
      <x:c r="G32" s="2" t="str">
        <x:v>observed_post_release</x:v>
      </x:c>
      <x:c r="H32" s="2" t="n">
        <x:f>IF(AND(ISNUMBER(F32),F32&gt;=D32),1,0)</x:f>
        <x:v>1</x:v>
      </x:c>
      <x:c r="I32" s="2" t="n">
        <x:f>IF(AND(ISNUMBER(F32),F32&gt;D32),1,0)</x:f>
        <x:v>0</x:v>
      </x:c>
      <x:c r="J32" s="2" t="n">
        <x:f>IF(H32=1,F32-D32,"")</x:f>
        <x:v>0</x:v>
      </x:c>
      <x:c r="K32" s="2" t="n">
        <x:f>IF(H32=1,F32-E32,"")</x:f>
        <x:v>1</x:v>
      </x:c>
      <x:c r="L32" s="2" t="n">
        <x:v>9</x:v>
      </x:c>
      <x:c r="M32" s="2" t="n">
        <x:v>2</x:v>
      </x:c>
      <x:c r="N32" s="20" t="n">
        <x:v>0</x:v>
      </x:c>
      <x:c r="O32" s="20" t="n">
        <x:v>0.8</x:v>
      </x:c>
      <x:c r="P32" s="20" t="n">
        <x:v>0.5</x:v>
      </x:c>
      <x:c r="Q32" s="2" t="n">
        <x:v>42</x:v>
      </x:c>
      <x:c r="R32" s="2" t="str">
        <x:v>ISFJ</x:v>
      </x:c>
      <x:c r="S32" s="2" t="str">
        <x:v>华南</x:v>
      </x:c>
      <x:c r="T32" s="2" t="str">
        <x:v>专业技术岗位</x:v>
      </x:c>
    </x:row>
    <x:row r="33" ht="24" customHeight="1">
      <x:c r="A33" s="2" t="str">
        <x:v>D000_T02_C080_G050</x:v>
      </x:c>
      <x:c r="B33" s="2" t="str">
        <x:v>A0040</x:v>
      </x:c>
      <x:c r="C33" s="2" t="str">
        <x:v>inside</x:v>
      </x:c>
      <x:c r="D33" s="2" t="n">
        <x:v>2</x:v>
      </x:c>
      <x:c r="E33" s="2" t="n">
        <x:v>1</x:v>
      </x:c>
      <x:c r="F33" s="2" t="n">
        <x:v>2</x:v>
      </x:c>
      <x:c r="G33" s="2" t="str">
        <x:v>observed_post_release</x:v>
      </x:c>
      <x:c r="H33" s="2" t="n">
        <x:f>IF(AND(ISNUMBER(F33),F33&gt;=D33),1,0)</x:f>
        <x:v>1</x:v>
      </x:c>
      <x:c r="I33" s="2" t="n">
        <x:f>IF(AND(ISNUMBER(F33),F33&gt;D33),1,0)</x:f>
        <x:v>0</x:v>
      </x:c>
      <x:c r="J33" s="2" t="n">
        <x:f>IF(H33=1,F33-D33,"")</x:f>
        <x:v>0</x:v>
      </x:c>
      <x:c r="K33" s="2" t="n">
        <x:f>IF(H33=1,F33-E33,"")</x:f>
        <x:v>1</x:v>
      </x:c>
      <x:c r="L33" s="2" t="n">
        <x:v>9</x:v>
      </x:c>
      <x:c r="M33" s="2" t="n">
        <x:v>2</x:v>
      </x:c>
      <x:c r="N33" s="20" t="n">
        <x:v>0</x:v>
      </x:c>
      <x:c r="O33" s="20" t="n">
        <x:v>0.8</x:v>
      </x:c>
      <x:c r="P33" s="20" t="n">
        <x:v>0.5</x:v>
      </x:c>
      <x:c r="Q33" s="2" t="n">
        <x:v>48</x:v>
      </x:c>
      <x:c r="R33" s="2" t="str">
        <x:v>INFP</x:v>
      </x:c>
      <x:c r="S33" s="2" t="str">
        <x:v>西北</x:v>
      </x:c>
      <x:c r="T33" s="2" t="str">
        <x:v>个体经营或自由职业</x:v>
      </x:c>
    </x:row>
    <x:row r="34" ht="24" customHeight="1">
      <x:c r="A34" s="2" t="str">
        <x:v>D000_T02_C080_G050</x:v>
      </x:c>
      <x:c r="B34" s="2" t="str">
        <x:v>A0285</x:v>
      </x:c>
      <x:c r="C34" s="2" t="str">
        <x:v>outside</x:v>
      </x:c>
      <x:c r="D34" s="2" t="n">
        <x:v>2</x:v>
      </x:c>
      <x:c r="E34" s="2" t="n">
        <x:v>3</x:v>
      </x:c>
      <x:c r="F34" s="2" t="n">
        <x:v>5</x:v>
      </x:c>
      <x:c r="G34" s="2" t="str">
        <x:v>observed_post_release</x:v>
      </x:c>
      <x:c r="H34" s="2" t="n">
        <x:f>IF(AND(ISNUMBER(F34),F34&gt;=D34),1,0)</x:f>
        <x:v>1</x:v>
      </x:c>
      <x:c r="I34" s="2" t="n">
        <x:f>IF(AND(ISNUMBER(F34),F34&gt;D34),1,0)</x:f>
        <x:v>1</x:v>
      </x:c>
      <x:c r="J34" s="2" t="n">
        <x:f>IF(H34=1,F34-D34,"")</x:f>
        <x:v>3</x:v>
      </x:c>
      <x:c r="K34" s="2" t="n">
        <x:f>IF(H34=1,F34-E34,"")</x:f>
        <x:v>2</x:v>
      </x:c>
      <x:c r="L34" s="2" t="n">
        <x:v>7</x:v>
      </x:c>
      <x:c r="M34" s="2" t="n">
        <x:v>4</x:v>
      </x:c>
      <x:c r="N34" s="20" t="n">
        <x:v>0</x:v>
      </x:c>
      <x:c r="O34" s="20" t="n">
        <x:v>0.8</x:v>
      </x:c>
      <x:c r="P34" s="20" t="n">
        <x:v>0.5</x:v>
      </x:c>
      <x:c r="Q34" s="2" t="n">
        <x:v>44</x:v>
      </x:c>
      <x:c r="R34" s="2" t="str">
        <x:v>ISTJ</x:v>
      </x:c>
      <x:c r="S34" s="2" t="str">
        <x:v>东北</x:v>
      </x:c>
      <x:c r="T34" s="2" t="str">
        <x:v>商业服务岗位</x:v>
      </x:c>
    </x:row>
    <x:row r="35" ht="24" customHeight="1">
      <x:c r="A35" s="2" t="str">
        <x:v>D000_T02_C080_G075</x:v>
      </x:c>
      <x:c r="B35" s="2" t="str">
        <x:v>A0005</x:v>
      </x:c>
      <x:c r="C35" s="2" t="str">
        <x:v>inside</x:v>
      </x:c>
      <x:c r="D35" s="2" t="n">
        <x:v>2</x:v>
      </x:c>
      <x:c r="E35" s="2" t="n">
        <x:v>1</x:v>
      </x:c>
      <x:c r="F35" s="2" t="n">
        <x:v>2</x:v>
      </x:c>
      <x:c r="G35" s="2" t="str">
        <x:v>observed_post_release</x:v>
      </x:c>
      <x:c r="H35" s="2" t="n">
        <x:f>IF(AND(ISNUMBER(F35),F35&gt;=D35),1,0)</x:f>
        <x:v>1</x:v>
      </x:c>
      <x:c r="I35" s="2" t="n">
        <x:f>IF(AND(ISNUMBER(F35),F35&gt;D35),1,0)</x:f>
        <x:v>0</x:v>
      </x:c>
      <x:c r="J35" s="2" t="n">
        <x:f>IF(H35=1,F35-D35,"")</x:f>
        <x:v>0</x:v>
      </x:c>
      <x:c r="K35" s="2" t="n">
        <x:f>IF(H35=1,F35-E35,"")</x:f>
        <x:v>1</x:v>
      </x:c>
      <x:c r="L35" s="2" t="n">
        <x:v>9</x:v>
      </x:c>
      <x:c r="M35" s="2" t="n">
        <x:v>2</x:v>
      </x:c>
      <x:c r="N35" s="20" t="n">
        <x:v>0</x:v>
      </x:c>
      <x:c r="O35" s="20" t="n">
        <x:v>0.8</x:v>
      </x:c>
      <x:c r="P35" s="20" t="n">
        <x:v>0.75</x:v>
      </x:c>
      <x:c r="Q35" s="2" t="n">
        <x:v>51</x:v>
      </x:c>
      <x:c r="R35" s="2" t="str">
        <x:v>ISTP</x:v>
      </x:c>
      <x:c r="S35" s="2" t="str">
        <x:v>华南</x:v>
      </x:c>
      <x:c r="T35" s="2" t="str">
        <x:v>生产运输或体力岗位</x:v>
      </x:c>
    </x:row>
    <x:row r="36" ht="24" customHeight="1">
      <x:c r="A36" s="2" t="str">
        <x:v>D000_T02_C080_G075</x:v>
      </x:c>
      <x:c r="B36" s="2" t="str">
        <x:v>A0011</x:v>
      </x:c>
      <x:c r="C36" s="2" t="str">
        <x:v>inside</x:v>
      </x:c>
      <x:c r="D36" s="2" t="n">
        <x:v>2</x:v>
      </x:c>
      <x:c r="E36" s="2" t="n">
        <x:v>1</x:v>
      </x:c>
      <x:c r="F36" s="2" t="n">
        <x:v>3</x:v>
      </x:c>
      <x:c r="G36" s="2" t="str">
        <x:v>observed_post_release</x:v>
      </x:c>
      <x:c r="H36" s="2" t="n">
        <x:f>IF(AND(ISNUMBER(F36),F36&gt;=D36),1,0)</x:f>
        <x:v>1</x:v>
      </x:c>
      <x:c r="I36" s="2" t="n">
        <x:f>IF(AND(ISNUMBER(F36),F36&gt;D36),1,0)</x:f>
        <x:v>1</x:v>
      </x:c>
      <x:c r="J36" s="2" t="n">
        <x:f>IF(H36=1,F36-D36,"")</x:f>
        <x:v>1</x:v>
      </x:c>
      <x:c r="K36" s="2" t="n">
        <x:f>IF(H36=1,F36-E36,"")</x:f>
        <x:v>2</x:v>
      </x:c>
      <x:c r="L36" s="2" t="n">
        <x:v>9</x:v>
      </x:c>
      <x:c r="M36" s="2" t="n">
        <x:v>3</x:v>
      </x:c>
      <x:c r="N36" s="20" t="n">
        <x:v>0</x:v>
      </x:c>
      <x:c r="O36" s="20" t="n">
        <x:v>0.8</x:v>
      </x:c>
      <x:c r="P36" s="20" t="n">
        <x:v>0.75</x:v>
      </x:c>
      <x:c r="Q36" s="2" t="n">
        <x:v>42</x:v>
      </x:c>
      <x:c r="R36" s="2" t="str">
        <x:v>ENFJ</x:v>
      </x:c>
      <x:c r="S36" s="2" t="str">
        <x:v>西南</x:v>
      </x:c>
      <x:c r="T36" s="2" t="str">
        <x:v>行政或办公室岗位</x:v>
      </x:c>
    </x:row>
    <x:row r="37" ht="24" customHeight="1">
      <x:c r="A37" s="2" t="str">
        <x:v>D000_T02_C080_G075</x:v>
      </x:c>
      <x:c r="B37" s="2" t="str">
        <x:v>A0012</x:v>
      </x:c>
      <x:c r="C37" s="2" t="str">
        <x:v>inside</x:v>
      </x:c>
      <x:c r="D37" s="2" t="n">
        <x:v>2</x:v>
      </x:c>
      <x:c r="E37" s="2" t="n">
        <x:v>1</x:v>
      </x:c>
      <x:c r="F37" s="2" t="n">
        <x:v>2</x:v>
      </x:c>
      <x:c r="G37" s="2" t="str">
        <x:v>observed_post_release</x:v>
      </x:c>
      <x:c r="H37" s="2" t="n">
        <x:f>IF(AND(ISNUMBER(F37),F37&gt;=D37),1,0)</x:f>
        <x:v>1</x:v>
      </x:c>
      <x:c r="I37" s="2" t="n">
        <x:f>IF(AND(ISNUMBER(F37),F37&gt;D37),1,0)</x:f>
        <x:v>0</x:v>
      </x:c>
      <x:c r="J37" s="2" t="n">
        <x:f>IF(H37=1,F37-D37,"")</x:f>
        <x:v>0</x:v>
      </x:c>
      <x:c r="K37" s="2" t="n">
        <x:f>IF(H37=1,F37-E37,"")</x:f>
        <x:v>1</x:v>
      </x:c>
      <x:c r="L37" s="2" t="n">
        <x:v>9</x:v>
      </x:c>
      <x:c r="M37" s="2" t="n">
        <x:v>2</x:v>
      </x:c>
      <x:c r="N37" s="20" t="n">
        <x:v>0</x:v>
      </x:c>
      <x:c r="O37" s="20" t="n">
        <x:v>0.8</x:v>
      </x:c>
      <x:c r="P37" s="20" t="n">
        <x:v>0.75</x:v>
      </x:c>
      <x:c r="Q37" s="2" t="n">
        <x:v>38</x:v>
      </x:c>
      <x:c r="R37" s="2" t="str">
        <x:v>ESFP</x:v>
      </x:c>
      <x:c r="S37" s="2" t="str">
        <x:v>华中</x:v>
      </x:c>
      <x:c r="T37" s="2" t="str">
        <x:v>行政或办公室岗位</x:v>
      </x:c>
    </x:row>
    <x:row r="38" ht="24" customHeight="1">
      <x:c r="A38" s="2" t="str">
        <x:v>D000_T02_C080_G075</x:v>
      </x:c>
      <x:c r="B38" s="2" t="str">
        <x:v>A0017</x:v>
      </x:c>
      <x:c r="C38" s="2" t="str">
        <x:v>inside</x:v>
      </x:c>
      <x:c r="D38" s="2" t="n">
        <x:v>2</x:v>
      </x:c>
      <x:c r="E38" s="2" t="n">
        <x:v>1</x:v>
      </x:c>
      <x:c r="F38" s="2" t="n">
        <x:v>4</x:v>
      </x:c>
      <x:c r="G38" s="2" t="str">
        <x:v>observed_post_release</x:v>
      </x:c>
      <x:c r="H38" s="2" t="n">
        <x:f>IF(AND(ISNUMBER(F38),F38&gt;=D38),1,0)</x:f>
        <x:v>1</x:v>
      </x:c>
      <x:c r="I38" s="2" t="n">
        <x:f>IF(AND(ISNUMBER(F38),F38&gt;D38),1,0)</x:f>
        <x:v>1</x:v>
      </x:c>
      <x:c r="J38" s="2" t="n">
        <x:f>IF(H38=1,F38-D38,"")</x:f>
        <x:v>2</x:v>
      </x:c>
      <x:c r="K38" s="2" t="n">
        <x:f>IF(H38=1,F38-E38,"")</x:f>
        <x:v>3</x:v>
      </x:c>
      <x:c r="L38" s="2" t="n">
        <x:v>9</x:v>
      </x:c>
      <x:c r="M38" s="2" t="n">
        <x:v>4</x:v>
      </x:c>
      <x:c r="N38" s="20" t="n">
        <x:v>0</x:v>
      </x:c>
      <x:c r="O38" s="20" t="n">
        <x:v>0.8</x:v>
      </x:c>
      <x:c r="P38" s="20" t="n">
        <x:v>0.75</x:v>
      </x:c>
      <x:c r="Q38" s="2" t="n">
        <x:v>30</x:v>
      </x:c>
      <x:c r="R38" s="2" t="str">
        <x:v>ISTJ</x:v>
      </x:c>
      <x:c r="S38" s="2" t="str">
        <x:v>华东</x:v>
      </x:c>
      <x:c r="T38" s="2" t="str">
        <x:v>商业服务岗位</x:v>
      </x:c>
    </x:row>
    <x:row r="39" ht="24" customHeight="1">
      <x:c r="A39" s="2" t="str">
        <x:v>D000_T02_C080_G075</x:v>
      </x:c>
      <x:c r="B39" s="2" t="str">
        <x:v>A0018</x:v>
      </x:c>
      <x:c r="C39" s="2" t="str">
        <x:v>inside</x:v>
      </x:c>
      <x:c r="D39" s="2" t="n">
        <x:v>2</x:v>
      </x:c>
      <x:c r="E39" s="2" t="n">
        <x:v>1</x:v>
      </x:c>
      <x:c r="F39" s="2" t="n">
        <x:v>2</x:v>
      </x:c>
      <x:c r="G39" s="2" t="str">
        <x:v>observed_post_release</x:v>
      </x:c>
      <x:c r="H39" s="2" t="n">
        <x:f>IF(AND(ISNUMBER(F39),F39&gt;=D39),1,0)</x:f>
        <x:v>1</x:v>
      </x:c>
      <x:c r="I39" s="2" t="n">
        <x:f>IF(AND(ISNUMBER(F39),F39&gt;D39),1,0)</x:f>
        <x:v>0</x:v>
      </x:c>
      <x:c r="J39" s="2" t="n">
        <x:f>IF(H39=1,F39-D39,"")</x:f>
        <x:v>0</x:v>
      </x:c>
      <x:c r="K39" s="2" t="n">
        <x:f>IF(H39=1,F39-E39,"")</x:f>
        <x:v>1</x:v>
      </x:c>
      <x:c r="L39" s="2" t="n">
        <x:v>9</x:v>
      </x:c>
      <x:c r="M39" s="2" t="n">
        <x:v>2</x:v>
      </x:c>
      <x:c r="N39" s="20" t="n">
        <x:v>0</x:v>
      </x:c>
      <x:c r="O39" s="20" t="n">
        <x:v>0.8</x:v>
      </x:c>
      <x:c r="P39" s="20" t="n">
        <x:v>0.75</x:v>
      </x:c>
      <x:c r="Q39" s="2" t="n">
        <x:v>60</x:v>
      </x:c>
      <x:c r="R39" s="2" t="str">
        <x:v>INTJ</x:v>
      </x:c>
      <x:c r="S39" s="2" t="str">
        <x:v>华南</x:v>
      </x:c>
      <x:c r="T39" s="2" t="str">
        <x:v>专业技术岗位</x:v>
      </x:c>
    </x:row>
    <x:row r="40" ht="24" customHeight="1">
      <x:c r="A40" s="2" t="str">
        <x:v>D000_T02_C080_G075</x:v>
      </x:c>
      <x:c r="B40" s="2" t="str">
        <x:v>A0040</x:v>
      </x:c>
      <x:c r="C40" s="2" t="str">
        <x:v>inside</x:v>
      </x:c>
      <x:c r="D40" s="2" t="n">
        <x:v>2</x:v>
      </x:c>
      <x:c r="E40" s="2" t="n">
        <x:v>1</x:v>
      </x:c>
      <x:c r="F40" s="2" t="n">
        <x:v>2</x:v>
      </x:c>
      <x:c r="G40" s="2" t="str">
        <x:v>observed_post_release</x:v>
      </x:c>
      <x:c r="H40" s="2" t="n">
        <x:f>IF(AND(ISNUMBER(F40),F40&gt;=D40),1,0)</x:f>
        <x:v>1</x:v>
      </x:c>
      <x:c r="I40" s="2" t="n">
        <x:f>IF(AND(ISNUMBER(F40),F40&gt;D40),1,0)</x:f>
        <x:v>0</x:v>
      </x:c>
      <x:c r="J40" s="2" t="n">
        <x:f>IF(H40=1,F40-D40,"")</x:f>
        <x:v>0</x:v>
      </x:c>
      <x:c r="K40" s="2" t="n">
        <x:f>IF(H40=1,F40-E40,"")</x:f>
        <x:v>1</x:v>
      </x:c>
      <x:c r="L40" s="2" t="n">
        <x:v>9</x:v>
      </x:c>
      <x:c r="M40" s="2" t="n">
        <x:v>2</x:v>
      </x:c>
      <x:c r="N40" s="20" t="n">
        <x:v>0</x:v>
      </x:c>
      <x:c r="O40" s="20" t="n">
        <x:v>0.8</x:v>
      </x:c>
      <x:c r="P40" s="20" t="n">
        <x:v>0.75</x:v>
      </x:c>
      <x:c r="Q40" s="2" t="n">
        <x:v>48</x:v>
      </x:c>
      <x:c r="R40" s="2" t="str">
        <x:v>INFP</x:v>
      </x:c>
      <x:c r="S40" s="2" t="str">
        <x:v>西北</x:v>
      </x:c>
      <x:c r="T40" s="2" t="str">
        <x:v>个体经营或自由职业</x:v>
      </x:c>
    </x:row>
    <x:row r="41" ht="24" customHeight="1">
      <x:c r="A41" s="2" t="str">
        <x:v>D000_T02_C080_G075</x:v>
      </x:c>
      <x:c r="B41" s="2" t="str">
        <x:v>A0041</x:v>
      </x:c>
      <x:c r="C41" s="2" t="str">
        <x:v>inside</x:v>
      </x:c>
      <x:c r="D41" s="2" t="n">
        <x:v>2</x:v>
      </x:c>
      <x:c r="E41" s="2" t="n">
        <x:v>1</x:v>
      </x:c>
      <x:c r="F41" s="2" t="n">
        <x:v>2</x:v>
      </x:c>
      <x:c r="G41" s="2" t="str">
        <x:v>observed_post_release</x:v>
      </x:c>
      <x:c r="H41" s="2" t="n">
        <x:f>IF(AND(ISNUMBER(F41),F41&gt;=D41),1,0)</x:f>
        <x:v>1</x:v>
      </x:c>
      <x:c r="I41" s="2" t="n">
        <x:f>IF(AND(ISNUMBER(F41),F41&gt;D41),1,0)</x:f>
        <x:v>0</x:v>
      </x:c>
      <x:c r="J41" s="2" t="n">
        <x:f>IF(H41=1,F41-D41,"")</x:f>
        <x:v>0</x:v>
      </x:c>
      <x:c r="K41" s="2" t="n">
        <x:f>IF(H41=1,F41-E41,"")</x:f>
        <x:v>1</x:v>
      </x:c>
      <x:c r="L41" s="2" t="n">
        <x:v>9</x:v>
      </x:c>
      <x:c r="M41" s="2" t="n">
        <x:v>2</x:v>
      </x:c>
      <x:c r="N41" s="20" t="n">
        <x:v>0</x:v>
      </x:c>
      <x:c r="O41" s="20" t="n">
        <x:v>0.8</x:v>
      </x:c>
      <x:c r="P41" s="20" t="n">
        <x:v>0.75</x:v>
      </x:c>
      <x:c r="Q41" s="2" t="n">
        <x:v>62</x:v>
      </x:c>
      <x:c r="R41" s="2" t="str">
        <x:v>ISFJ</x:v>
      </x:c>
      <x:c r="S41" s="2" t="str">
        <x:v>西北</x:v>
      </x:c>
      <x:c r="T41" s="2" t="str">
        <x:v>个体经营或自由职业</x:v>
      </x:c>
    </x:row>
    <x:row r="42" ht="24" customHeight="1">
      <x:c r="A42" s="2" t="str">
        <x:v>D000_T02_C080_G075</x:v>
      </x:c>
      <x:c r="B42" s="2" t="str">
        <x:v>A0206</x:v>
      </x:c>
      <x:c r="C42" s="2" t="str">
        <x:v>inside</x:v>
      </x:c>
      <x:c r="D42" s="2" t="n">
        <x:v>2</x:v>
      </x:c>
      <x:c r="E42" s="2" t="n">
        <x:v>1</x:v>
      </x:c>
      <x:c r="F42" s="2" t="n">
        <x:v>2</x:v>
      </x:c>
      <x:c r="G42" s="2" t="str">
        <x:v>observed_post_release</x:v>
      </x:c>
      <x:c r="H42" s="2" t="n">
        <x:f>IF(AND(ISNUMBER(F42),F42&gt;=D42),1,0)</x:f>
        <x:v>1</x:v>
      </x:c>
      <x:c r="I42" s="2" t="n">
        <x:f>IF(AND(ISNUMBER(F42),F42&gt;D42),1,0)</x:f>
        <x:v>0</x:v>
      </x:c>
      <x:c r="J42" s="2" t="n">
        <x:f>IF(H42=1,F42-D42,"")</x:f>
        <x:v>0</x:v>
      </x:c>
      <x:c r="K42" s="2" t="n">
        <x:f>IF(H42=1,F42-E42,"")</x:f>
        <x:v>1</x:v>
      </x:c>
      <x:c r="L42" s="2" t="n">
        <x:v>9</x:v>
      </x:c>
      <x:c r="M42" s="2" t="n">
        <x:v>2</x:v>
      </x:c>
      <x:c r="N42" s="20" t="n">
        <x:v>0</x:v>
      </x:c>
      <x:c r="O42" s="20" t="n">
        <x:v>0.8</x:v>
      </x:c>
      <x:c r="P42" s="20" t="n">
        <x:v>0.75</x:v>
      </x:c>
      <x:c r="Q42" s="2" t="n">
        <x:v>21</x:v>
      </x:c>
      <x:c r="R42" s="2" t="str">
        <x:v>ESTP</x:v>
      </x:c>
      <x:c r="S42" s="2" t="str">
        <x:v>西北</x:v>
      </x:c>
      <x:c r="T42" s="2" t="str">
        <x:v>暂未就业或家庭照料</x:v>
      </x:c>
    </x:row>
    <x:row r="43" ht="24" customHeight="1">
      <x:c r="A43" s="2" t="str">
        <x:v>D000_T02_C080_G075</x:v>
      </x:c>
      <x:c r="B43" s="2" t="str">
        <x:v>A0242</x:v>
      </x:c>
      <x:c r="C43" s="2" t="str">
        <x:v>outside</x:v>
      </x:c>
      <x:c r="D43" s="2" t="n">
        <x:v>2</x:v>
      </x:c>
      <x:c r="E43" s="2" t="n">
        <x:v>4</x:v>
      </x:c>
      <x:c r="F43" s="2" t="n">
        <x:v>5</x:v>
      </x:c>
      <x:c r="G43" s="2" t="str">
        <x:v>observed_post_release</x:v>
      </x:c>
      <x:c r="H43" s="2" t="n">
        <x:f>IF(AND(ISNUMBER(F43),F43&gt;=D43),1,0)</x:f>
        <x:v>1</x:v>
      </x:c>
      <x:c r="I43" s="2" t="n">
        <x:f>IF(AND(ISNUMBER(F43),F43&gt;D43),1,0)</x:f>
        <x:v>1</x:v>
      </x:c>
      <x:c r="J43" s="2" t="n">
        <x:f>IF(H43=1,F43-D43,"")</x:f>
        <x:v>3</x:v>
      </x:c>
      <x:c r="K43" s="2" t="n">
        <x:f>IF(H43=1,F43-E43,"")</x:f>
        <x:v>1</x:v>
      </x:c>
      <x:c r="L43" s="2" t="n">
        <x:v>6</x:v>
      </x:c>
      <x:c r="M43" s="2" t="n">
        <x:v>5</x:v>
      </x:c>
      <x:c r="N43" s="20" t="n">
        <x:v>0</x:v>
      </x:c>
      <x:c r="O43" s="20" t="n">
        <x:v>0.8</x:v>
      </x:c>
      <x:c r="P43" s="20" t="n">
        <x:v>0.75</x:v>
      </x:c>
      <x:c r="Q43" s="2" t="n">
        <x:v>57</x:v>
      </x:c>
      <x:c r="R43" s="2" t="str">
        <x:v>ESTJ</x:v>
      </x:c>
      <x:c r="S43" s="2" t="str">
        <x:v>华中</x:v>
      </x:c>
      <x:c r="T43" s="2" t="str">
        <x:v>专业技术岗位</x:v>
      </x:c>
    </x:row>
    <x:row r="44" ht="24" customHeight="1">
      <x:c r="A44" s="2" t="str">
        <x:v>D000_T04_C020_G025</x:v>
      </x:c>
      <x:c r="B44" s="2" t="str">
        <x:v>A0001</x:v>
      </x:c>
      <x:c r="C44" s="2" t="str">
        <x:v>inside</x:v>
      </x:c>
      <x:c r="D44" s="2" t="n">
        <x:v>4</x:v>
      </x:c>
      <x:c r="E44" s="2" t="n">
        <x:v>1</x:v>
      </x:c>
      <x:c r="F44" s="2" t="n">
        <x:v>6</x:v>
      </x:c>
      <x:c r="G44" s="2" t="str">
        <x:v>observed_post_release</x:v>
      </x:c>
      <x:c r="H44" s="2" t="n">
        <x:f>IF(AND(ISNUMBER(F44),F44&gt;=D44),1,0)</x:f>
        <x:v>1</x:v>
      </x:c>
      <x:c r="I44" s="2" t="n">
        <x:f>IF(AND(ISNUMBER(F44),F44&gt;D44),1,0)</x:f>
        <x:v>1</x:v>
      </x:c>
      <x:c r="J44" s="2" t="n">
        <x:f>IF(H44=1,F44-D44,"")</x:f>
        <x:v>2</x:v>
      </x:c>
      <x:c r="K44" s="2" t="n">
        <x:f>IF(H44=1,F44-E44,"")</x:f>
        <x:v>5</x:v>
      </x:c>
      <x:c r="L44" s="2" t="n">
        <x:v>9</x:v>
      </x:c>
      <x:c r="M44" s="2" t="n">
        <x:v>5</x:v>
      </x:c>
      <x:c r="N44" s="20" t="n">
        <x:v>0</x:v>
      </x:c>
      <x:c r="O44" s="20" t="n">
        <x:v>0.2</x:v>
      </x:c>
      <x:c r="P44" s="20" t="n">
        <x:v>0.25</x:v>
      </x:c>
      <x:c r="Q44" s="2" t="n">
        <x:v>22</x:v>
      </x:c>
      <x:c r="R44" s="2" t="str">
        <x:v>ESTJ</x:v>
      </x:c>
      <x:c r="S44" s="2" t="str">
        <x:v>华南</x:v>
      </x:c>
      <x:c r="T44" s="2" t="str">
        <x:v>在校学生</x:v>
      </x:c>
    </x:row>
    <x:row r="45" ht="24" customHeight="1">
      <x:c r="A45" s="2" t="str">
        <x:v>D000_T04_C020_G025</x:v>
      </x:c>
      <x:c r="B45" s="2" t="str">
        <x:v>A0011</x:v>
      </x:c>
      <x:c r="C45" s="2" t="str">
        <x:v>inside</x:v>
      </x:c>
      <x:c r="D45" s="2" t="n">
        <x:v>4</x:v>
      </x:c>
      <x:c r="E45" s="2" t="n">
        <x:v>1</x:v>
      </x:c>
      <x:c r="F45" s="2" t="n">
        <x:v>5</x:v>
      </x:c>
      <x:c r="G45" s="2" t="str">
        <x:v>observed_post_release</x:v>
      </x:c>
      <x:c r="H45" s="2" t="n">
        <x:f>IF(AND(ISNUMBER(F45),F45&gt;=D45),1,0)</x:f>
        <x:v>1</x:v>
      </x:c>
      <x:c r="I45" s="2" t="n">
        <x:f>IF(AND(ISNUMBER(F45),F45&gt;D45),1,0)</x:f>
        <x:v>1</x:v>
      </x:c>
      <x:c r="J45" s="2" t="n">
        <x:f>IF(H45=1,F45-D45,"")</x:f>
        <x:v>1</x:v>
      </x:c>
      <x:c r="K45" s="2" t="n">
        <x:f>IF(H45=1,F45-E45,"")</x:f>
        <x:v>4</x:v>
      </x:c>
      <x:c r="L45" s="2" t="n">
        <x:v>9</x:v>
      </x:c>
      <x:c r="M45" s="2" t="n">
        <x:v>4</x:v>
      </x:c>
      <x:c r="N45" s="20" t="n">
        <x:v>0</x:v>
      </x:c>
      <x:c r="O45" s="20" t="n">
        <x:v>0.2</x:v>
      </x:c>
      <x:c r="P45" s="20" t="n">
        <x:v>0.25</x:v>
      </x:c>
      <x:c r="Q45" s="2" t="n">
        <x:v>42</x:v>
      </x:c>
      <x:c r="R45" s="2" t="str">
        <x:v>ENFJ</x:v>
      </x:c>
      <x:c r="S45" s="2" t="str">
        <x:v>西南</x:v>
      </x:c>
      <x:c r="T45" s="2" t="str">
        <x:v>行政或办公室岗位</x:v>
      </x:c>
    </x:row>
    <x:row r="46" ht="24" customHeight="1">
      <x:c r="A46" s="2" t="str">
        <x:v>D000_T04_C020_G025</x:v>
      </x:c>
      <x:c r="B46" s="2" t="str">
        <x:v>A0018</x:v>
      </x:c>
      <x:c r="C46" s="2" t="str">
        <x:v>inside</x:v>
      </x:c>
      <x:c r="D46" s="2" t="n">
        <x:v>4</x:v>
      </x:c>
      <x:c r="E46" s="2" t="n">
        <x:v>1</x:v>
      </x:c>
      <x:c r="F46" s="2"/>
      <x:c r="G46" s="2" t="str">
        <x:v>right_censored</x:v>
      </x:c>
      <x:c r="H46" s="2" t="n">
        <x:f>IF(AND(ISNUMBER(F46),F46&gt;=D46),1,0)</x:f>
        <x:v>0</x:v>
      </x:c>
      <x:c r="I46" s="2" t="n">
        <x:f>IF(AND(ISNUMBER(F46),F46&gt;D46),1,0)</x:f>
        <x:v>0</x:v>
      </x:c>
      <x:c r="J46" s="2" t="str">
        <x:f>IF(H46=1,F46-D46,"")</x:f>
      </x:c>
      <x:c r="K46" s="2" t="str">
        <x:f>IF(H46=1,F46-E46,"")</x:f>
      </x:c>
      <x:c r="L46" s="2" t="n">
        <x:v>9</x:v>
      </x:c>
      <x:c r="M46" s="2"/>
      <x:c r="N46" s="20" t="n">
        <x:v>0</x:v>
      </x:c>
      <x:c r="O46" s="20" t="n">
        <x:v>0.2</x:v>
      </x:c>
      <x:c r="P46" s="20" t="n">
        <x:v>0.25</x:v>
      </x:c>
      <x:c r="Q46" s="2" t="n">
        <x:v>60</x:v>
      </x:c>
      <x:c r="R46" s="2" t="str">
        <x:v>INTJ</x:v>
      </x:c>
      <x:c r="S46" s="2" t="str">
        <x:v>华南</x:v>
      </x:c>
      <x:c r="T46" s="2" t="str">
        <x:v>专业技术岗位</x:v>
      </x:c>
    </x:row>
    <x:row r="47" ht="24" customHeight="1">
      <x:c r="A47" s="2" t="str">
        <x:v>D000_T04_C020_G025</x:v>
      </x:c>
      <x:c r="B47" s="2" t="str">
        <x:v>A0030</x:v>
      </x:c>
      <x:c r="C47" s="2" t="str">
        <x:v>inside</x:v>
      </x:c>
      <x:c r="D47" s="2" t="n">
        <x:v>4</x:v>
      </x:c>
      <x:c r="E47" s="2" t="n">
        <x:v>8</x:v>
      </x:c>
      <x:c r="F47" s="2"/>
      <x:c r="G47" s="2" t="str">
        <x:v>right_censored</x:v>
      </x:c>
      <x:c r="H47" s="2" t="n">
        <x:f>IF(AND(ISNUMBER(F47),F47&gt;=D47),1,0)</x:f>
        <x:v>0</x:v>
      </x:c>
      <x:c r="I47" s="2" t="n">
        <x:f>IF(AND(ISNUMBER(F47),F47&gt;D47),1,0)</x:f>
        <x:v>0</x:v>
      </x:c>
      <x:c r="J47" s="2" t="str">
        <x:f>IF(H47=1,F47-D47,"")</x:f>
      </x:c>
      <x:c r="K47" s="2" t="str">
        <x:f>IF(H47=1,F47-E47,"")</x:f>
      </x:c>
      <x:c r="L47" s="2" t="n">
        <x:v>2</x:v>
      </x:c>
      <x:c r="M47" s="2"/>
      <x:c r="N47" s="20" t="n">
        <x:v>0</x:v>
      </x:c>
      <x:c r="O47" s="20" t="n">
        <x:v>0.2</x:v>
      </x:c>
      <x:c r="P47" s="20" t="n">
        <x:v>0.25</x:v>
      </x:c>
      <x:c r="Q47" s="2" t="n">
        <x:v>23</x:v>
      </x:c>
      <x:c r="R47" s="2" t="str">
        <x:v>ISFP</x:v>
      </x:c>
      <x:c r="S47" s="2" t="str">
        <x:v>华东</x:v>
      </x:c>
      <x:c r="T47" s="2" t="str">
        <x:v>在校学生</x:v>
      </x:c>
    </x:row>
    <x:row r="48" ht="24" customHeight="1">
      <x:c r="A48" s="2" t="str">
        <x:v>D000_T04_C020_G025</x:v>
      </x:c>
      <x:c r="B48" s="2" t="str">
        <x:v>A0090</x:v>
      </x:c>
      <x:c r="C48" s="2" t="str">
        <x:v>inside</x:v>
      </x:c>
      <x:c r="D48" s="2" t="n">
        <x:v>4</x:v>
      </x:c>
      <x:c r="E48" s="2" t="n">
        <x:v>1</x:v>
      </x:c>
      <x:c r="F48" s="2" t="n">
        <x:v>9</x:v>
      </x:c>
      <x:c r="G48" s="2" t="str">
        <x:v>observed_post_release</x:v>
      </x:c>
      <x:c r="H48" s="2" t="n">
        <x:f>IF(AND(ISNUMBER(F48),F48&gt;=D48),1,0)</x:f>
        <x:v>1</x:v>
      </x:c>
      <x:c r="I48" s="2" t="n">
        <x:f>IF(AND(ISNUMBER(F48),F48&gt;D48),1,0)</x:f>
        <x:v>1</x:v>
      </x:c>
      <x:c r="J48" s="2" t="n">
        <x:f>IF(H48=1,F48-D48,"")</x:f>
        <x:v>5</x:v>
      </x:c>
      <x:c r="K48" s="2" t="n">
        <x:f>IF(H48=1,F48-E48,"")</x:f>
        <x:v>8</x:v>
      </x:c>
      <x:c r="L48" s="2" t="n">
        <x:v>9</x:v>
      </x:c>
      <x:c r="M48" s="2" t="n">
        <x:v>7</x:v>
      </x:c>
      <x:c r="N48" s="20" t="n">
        <x:v>0</x:v>
      </x:c>
      <x:c r="O48" s="20" t="n">
        <x:v>0.2</x:v>
      </x:c>
      <x:c r="P48" s="20" t="n">
        <x:v>0.25</x:v>
      </x:c>
      <x:c r="Q48" s="2" t="n">
        <x:v>46</x:v>
      </x:c>
      <x:c r="R48" s="2" t="str">
        <x:v>ENFJ</x:v>
      </x:c>
      <x:c r="S48" s="2" t="str">
        <x:v>西北</x:v>
      </x:c>
      <x:c r="T48" s="2" t="str">
        <x:v>个体经营或自由职业</x:v>
      </x:c>
    </x:row>
    <x:row r="49" ht="24" customHeight="1">
      <x:c r="A49" s="2" t="str">
        <x:v>D000_T04_C020_G025</x:v>
      </x:c>
      <x:c r="B49" s="2" t="str">
        <x:v>A0116</x:v>
      </x:c>
      <x:c r="C49" s="2" t="str">
        <x:v>outside</x:v>
      </x:c>
      <x:c r="D49" s="2" t="n">
        <x:v>4</x:v>
      </x:c>
      <x:c r="E49" s="2" t="n">
        <x:v>4</x:v>
      </x:c>
      <x:c r="F49" s="2" t="n">
        <x:v>8</x:v>
      </x:c>
      <x:c r="G49" s="2" t="str">
        <x:v>observed_post_release</x:v>
      </x:c>
      <x:c r="H49" s="2" t="n">
        <x:f>IF(AND(ISNUMBER(F49),F49&gt;=D49),1,0)</x:f>
        <x:v>1</x:v>
      </x:c>
      <x:c r="I49" s="2" t="n">
        <x:f>IF(AND(ISNUMBER(F49),F49&gt;D49),1,0)</x:f>
        <x:v>1</x:v>
      </x:c>
      <x:c r="J49" s="2" t="n">
        <x:f>IF(H49=1,F49-D49,"")</x:f>
        <x:v>4</x:v>
      </x:c>
      <x:c r="K49" s="2" t="n">
        <x:f>IF(H49=1,F49-E49,"")</x:f>
        <x:v>4</x:v>
      </x:c>
      <x:c r="L49" s="2" t="n">
        <x:v>6</x:v>
      </x:c>
      <x:c r="M49" s="2" t="n">
        <x:v>5</x:v>
      </x:c>
      <x:c r="N49" s="20" t="n">
        <x:v>0</x:v>
      </x:c>
      <x:c r="O49" s="20" t="n">
        <x:v>0.2</x:v>
      </x:c>
      <x:c r="P49" s="20" t="n">
        <x:v>0.25</x:v>
      </x:c>
      <x:c r="Q49" s="2" t="n">
        <x:v>32</x:v>
      </x:c>
      <x:c r="R49" s="2" t="str">
        <x:v>INTJ</x:v>
      </x:c>
      <x:c r="S49" s="2" t="str">
        <x:v>西南</x:v>
      </x:c>
      <x:c r="T49" s="2" t="str">
        <x:v>个体经营或自由职业</x:v>
      </x:c>
    </x:row>
    <x:row r="50" ht="24" customHeight="1">
      <x:c r="A50" s="2" t="str">
        <x:v>D000_T04_C020_G025</x:v>
      </x:c>
      <x:c r="B50" s="2" t="str">
        <x:v>A0206</x:v>
      </x:c>
      <x:c r="C50" s="2" t="str">
        <x:v>inside</x:v>
      </x:c>
      <x:c r="D50" s="2" t="n">
        <x:v>4</x:v>
      </x:c>
      <x:c r="E50" s="2" t="n">
        <x:v>1</x:v>
      </x:c>
      <x:c r="F50" s="2" t="n">
        <x:v>4</x:v>
      </x:c>
      <x:c r="G50" s="2" t="str">
        <x:v>observed_post_release</x:v>
      </x:c>
      <x:c r="H50" s="2" t="n">
        <x:f>IF(AND(ISNUMBER(F50),F50&gt;=D50),1,0)</x:f>
        <x:v>1</x:v>
      </x:c>
      <x:c r="I50" s="2" t="n">
        <x:f>IF(AND(ISNUMBER(F50),F50&gt;D50),1,0)</x:f>
        <x:v>0</x:v>
      </x:c>
      <x:c r="J50" s="2" t="n">
        <x:f>IF(H50=1,F50-D50,"")</x:f>
        <x:v>0</x:v>
      </x:c>
      <x:c r="K50" s="2" t="n">
        <x:f>IF(H50=1,F50-E50,"")</x:f>
        <x:v>3</x:v>
      </x:c>
      <x:c r="L50" s="2" t="n">
        <x:v>9</x:v>
      </x:c>
      <x:c r="M50" s="2" t="n">
        <x:v>4</x:v>
      </x:c>
      <x:c r="N50" s="20" t="n">
        <x:v>0</x:v>
      </x:c>
      <x:c r="O50" s="20" t="n">
        <x:v>0.2</x:v>
      </x:c>
      <x:c r="P50" s="20" t="n">
        <x:v>0.25</x:v>
      </x:c>
      <x:c r="Q50" s="2" t="n">
        <x:v>21</x:v>
      </x:c>
      <x:c r="R50" s="2" t="str">
        <x:v>ESTP</x:v>
      </x:c>
      <x:c r="S50" s="2" t="str">
        <x:v>西北</x:v>
      </x:c>
      <x:c r="T50" s="2" t="str">
        <x:v>暂未就业或家庭照料</x:v>
      </x:c>
    </x:row>
    <x:row r="51" ht="24" customHeight="1">
      <x:c r="A51" s="2" t="str">
        <x:v>D000_T04_C020_G050</x:v>
      </x:c>
      <x:c r="B51" s="2" t="str">
        <x:v>A0011</x:v>
      </x:c>
      <x:c r="C51" s="2" t="str">
        <x:v>inside</x:v>
      </x:c>
      <x:c r="D51" s="2" t="n">
        <x:v>4</x:v>
      </x:c>
      <x:c r="E51" s="2" t="n">
        <x:v>1</x:v>
      </x:c>
      <x:c r="F51" s="2" t="n">
        <x:v>4</x:v>
      </x:c>
      <x:c r="G51" s="2" t="str">
        <x:v>observed_post_release</x:v>
      </x:c>
      <x:c r="H51" s="2" t="n">
        <x:f>IF(AND(ISNUMBER(F51),F51&gt;=D51),1,0)</x:f>
        <x:v>1</x:v>
      </x:c>
      <x:c r="I51" s="2" t="n">
        <x:f>IF(AND(ISNUMBER(F51),F51&gt;D51),1,0)</x:f>
        <x:v>0</x:v>
      </x:c>
      <x:c r="J51" s="2" t="n">
        <x:f>IF(H51=1,F51-D51,"")</x:f>
        <x:v>0</x:v>
      </x:c>
      <x:c r="K51" s="2" t="n">
        <x:f>IF(H51=1,F51-E51,"")</x:f>
        <x:v>3</x:v>
      </x:c>
      <x:c r="L51" s="2" t="n">
        <x:v>9</x:v>
      </x:c>
      <x:c r="M51" s="2" t="n">
        <x:v>4</x:v>
      </x:c>
      <x:c r="N51" s="20" t="n">
        <x:v>0</x:v>
      </x:c>
      <x:c r="O51" s="20" t="n">
        <x:v>0.2</x:v>
      </x:c>
      <x:c r="P51" s="20" t="n">
        <x:v>0.5</x:v>
      </x:c>
      <x:c r="Q51" s="2" t="n">
        <x:v>42</x:v>
      </x:c>
      <x:c r="R51" s="2" t="str">
        <x:v>ENFJ</x:v>
      </x:c>
      <x:c r="S51" s="2" t="str">
        <x:v>西南</x:v>
      </x:c>
      <x:c r="T51" s="2" t="str">
        <x:v>行政或办公室岗位</x:v>
      </x:c>
    </x:row>
    <x:row r="52" ht="24" customHeight="1">
      <x:c r="A52" s="2" t="str">
        <x:v>D000_T04_C020_G050</x:v>
      </x:c>
      <x:c r="B52" s="2" t="str">
        <x:v>A0012</x:v>
      </x:c>
      <x:c r="C52" s="2" t="str">
        <x:v>inside</x:v>
      </x:c>
      <x:c r="D52" s="2" t="n">
        <x:v>4</x:v>
      </x:c>
      <x:c r="E52" s="2" t="n">
        <x:v>1</x:v>
      </x:c>
      <x:c r="F52" s="2" t="n">
        <x:v>7</x:v>
      </x:c>
      <x:c r="G52" s="2" t="str">
        <x:v>observed_post_release</x:v>
      </x:c>
      <x:c r="H52" s="2" t="n">
        <x:f>IF(AND(ISNUMBER(F52),F52&gt;=D52),1,0)</x:f>
        <x:v>1</x:v>
      </x:c>
      <x:c r="I52" s="2" t="n">
        <x:f>IF(AND(ISNUMBER(F52),F52&gt;D52),1,0)</x:f>
        <x:v>1</x:v>
      </x:c>
      <x:c r="J52" s="2" t="n">
        <x:f>IF(H52=1,F52-D52,"")</x:f>
        <x:v>3</x:v>
      </x:c>
      <x:c r="K52" s="2" t="n">
        <x:f>IF(H52=1,F52-E52,"")</x:f>
        <x:v>6</x:v>
      </x:c>
      <x:c r="L52" s="2" t="n">
        <x:v>9</x:v>
      </x:c>
      <x:c r="M52" s="2" t="n">
        <x:v>5</x:v>
      </x:c>
      <x:c r="N52" s="20" t="n">
        <x:v>0</x:v>
      </x:c>
      <x:c r="O52" s="20" t="n">
        <x:v>0.2</x:v>
      </x:c>
      <x:c r="P52" s="20" t="n">
        <x:v>0.5</x:v>
      </x:c>
      <x:c r="Q52" s="2" t="n">
        <x:v>38</x:v>
      </x:c>
      <x:c r="R52" s="2" t="str">
        <x:v>ESFP</x:v>
      </x:c>
      <x:c r="S52" s="2" t="str">
        <x:v>华中</x:v>
      </x:c>
      <x:c r="T52" s="2" t="str">
        <x:v>行政或办公室岗位</x:v>
      </x:c>
    </x:row>
    <x:row r="53" ht="24" customHeight="1">
      <x:c r="A53" s="2" t="str">
        <x:v>D000_T04_C020_G050</x:v>
      </x:c>
      <x:c r="B53" s="2" t="str">
        <x:v>A0014</x:v>
      </x:c>
      <x:c r="C53" s="2" t="str">
        <x:v>inside</x:v>
      </x:c>
      <x:c r="D53" s="2" t="n">
        <x:v>4</x:v>
      </x:c>
      <x:c r="E53" s="2" t="n">
        <x:v>1</x:v>
      </x:c>
      <x:c r="F53" s="2" t="n">
        <x:v>4</x:v>
      </x:c>
      <x:c r="G53" s="2" t="str">
        <x:v>observed_post_release</x:v>
      </x:c>
      <x:c r="H53" s="2" t="n">
        <x:f>IF(AND(ISNUMBER(F53),F53&gt;=D53),1,0)</x:f>
        <x:v>1</x:v>
      </x:c>
      <x:c r="I53" s="2" t="n">
        <x:f>IF(AND(ISNUMBER(F53),F53&gt;D53),1,0)</x:f>
        <x:v>0</x:v>
      </x:c>
      <x:c r="J53" s="2" t="n">
        <x:f>IF(H53=1,F53-D53,"")</x:f>
        <x:v>0</x:v>
      </x:c>
      <x:c r="K53" s="2" t="n">
        <x:f>IF(H53=1,F53-E53,"")</x:f>
        <x:v>3</x:v>
      </x:c>
      <x:c r="L53" s="2" t="n">
        <x:v>9</x:v>
      </x:c>
      <x:c r="M53" s="2" t="n">
        <x:v>4</x:v>
      </x:c>
      <x:c r="N53" s="20" t="n">
        <x:v>0</x:v>
      </x:c>
      <x:c r="O53" s="20" t="n">
        <x:v>0.2</x:v>
      </x:c>
      <x:c r="P53" s="20" t="n">
        <x:v>0.5</x:v>
      </x:c>
      <x:c r="Q53" s="2" t="n">
        <x:v>52</x:v>
      </x:c>
      <x:c r="R53" s="2" t="str">
        <x:v>INFJ</x:v>
      </x:c>
      <x:c r="S53" s="2" t="str">
        <x:v>华东</x:v>
      </x:c>
      <x:c r="T53" s="2" t="str">
        <x:v>生产运输或体力岗位</x:v>
      </x:c>
    </x:row>
    <x:row r="54" ht="24" customHeight="1">
      <x:c r="A54" s="2" t="str">
        <x:v>D000_T04_C020_G050</x:v>
      </x:c>
      <x:c r="B54" s="2" t="str">
        <x:v>A0018</x:v>
      </x:c>
      <x:c r="C54" s="2" t="str">
        <x:v>inside</x:v>
      </x:c>
      <x:c r="D54" s="2" t="n">
        <x:v>4</x:v>
      </x:c>
      <x:c r="E54" s="2" t="n">
        <x:v>1</x:v>
      </x:c>
      <x:c r="F54" s="2" t="n">
        <x:v>9</x:v>
      </x:c>
      <x:c r="G54" s="2" t="str">
        <x:v>observed_post_release</x:v>
      </x:c>
      <x:c r="H54" s="2" t="n">
        <x:f>IF(AND(ISNUMBER(F54),F54&gt;=D54),1,0)</x:f>
        <x:v>1</x:v>
      </x:c>
      <x:c r="I54" s="2" t="n">
        <x:f>IF(AND(ISNUMBER(F54),F54&gt;D54),1,0)</x:f>
        <x:v>1</x:v>
      </x:c>
      <x:c r="J54" s="2" t="n">
        <x:f>IF(H54=1,F54-D54,"")</x:f>
        <x:v>5</x:v>
      </x:c>
      <x:c r="K54" s="2" t="n">
        <x:f>IF(H54=1,F54-E54,"")</x:f>
        <x:v>8</x:v>
      </x:c>
      <x:c r="L54" s="2" t="n">
        <x:v>9</x:v>
      </x:c>
      <x:c r="M54" s="2" t="n">
        <x:v>9</x:v>
      </x:c>
      <x:c r="N54" s="20" t="n">
        <x:v>0</x:v>
      </x:c>
      <x:c r="O54" s="20" t="n">
        <x:v>0.2</x:v>
      </x:c>
      <x:c r="P54" s="20" t="n">
        <x:v>0.5</x:v>
      </x:c>
      <x:c r="Q54" s="2" t="n">
        <x:v>60</x:v>
      </x:c>
      <x:c r="R54" s="2" t="str">
        <x:v>INTJ</x:v>
      </x:c>
      <x:c r="S54" s="2" t="str">
        <x:v>华南</x:v>
      </x:c>
      <x:c r="T54" s="2" t="str">
        <x:v>专业技术岗位</x:v>
      </x:c>
    </x:row>
    <x:row r="55" ht="24" customHeight="1">
      <x:c r="A55" s="2" t="str">
        <x:v>D000_T04_C020_G050</x:v>
      </x:c>
      <x:c r="B55" s="2" t="str">
        <x:v>A0033</x:v>
      </x:c>
      <x:c r="C55" s="2" t="str">
        <x:v>inside</x:v>
      </x:c>
      <x:c r="D55" s="2" t="n">
        <x:v>4</x:v>
      </x:c>
      <x:c r="E55" s="2" t="n">
        <x:v>1</x:v>
      </x:c>
      <x:c r="F55" s="2" t="n">
        <x:v>9</x:v>
      </x:c>
      <x:c r="G55" s="2" t="str">
        <x:v>observed_post_release</x:v>
      </x:c>
      <x:c r="H55" s="2" t="n">
        <x:f>IF(AND(ISNUMBER(F55),F55&gt;=D55),1,0)</x:f>
        <x:v>1</x:v>
      </x:c>
      <x:c r="I55" s="2" t="n">
        <x:f>IF(AND(ISNUMBER(F55),F55&gt;D55),1,0)</x:f>
        <x:v>1</x:v>
      </x:c>
      <x:c r="J55" s="2" t="n">
        <x:f>IF(H55=1,F55-D55,"")</x:f>
        <x:v>5</x:v>
      </x:c>
      <x:c r="K55" s="2" t="n">
        <x:f>IF(H55=1,F55-E55,"")</x:f>
        <x:v>8</x:v>
      </x:c>
      <x:c r="L55" s="2" t="n">
        <x:v>9</x:v>
      </x:c>
      <x:c r="M55" s="2" t="n">
        <x:v>9</x:v>
      </x:c>
      <x:c r="N55" s="20" t="n">
        <x:v>0</x:v>
      </x:c>
      <x:c r="O55" s="20" t="n">
        <x:v>0.2</x:v>
      </x:c>
      <x:c r="P55" s="20" t="n">
        <x:v>0.5</x:v>
      </x:c>
      <x:c r="Q55" s="2" t="n">
        <x:v>55</x:v>
      </x:c>
      <x:c r="R55" s="2" t="str">
        <x:v>ENFP</x:v>
      </x:c>
      <x:c r="S55" s="2" t="str">
        <x:v>华南</x:v>
      </x:c>
      <x:c r="T55" s="2" t="str">
        <x:v>个体经营或自由职业</x:v>
      </x:c>
    </x:row>
    <x:row r="56" ht="24" customHeight="1">
      <x:c r="A56" s="2" t="str">
        <x:v>D000_T04_C020_G050</x:v>
      </x:c>
      <x:c r="B56" s="2" t="str">
        <x:v>A0040</x:v>
      </x:c>
      <x:c r="C56" s="2" t="str">
        <x:v>inside</x:v>
      </x:c>
      <x:c r="D56" s="2" t="n">
        <x:v>4</x:v>
      </x:c>
      <x:c r="E56" s="2" t="n">
        <x:v>1</x:v>
      </x:c>
      <x:c r="F56" s="2"/>
      <x:c r="G56" s="2" t="str">
        <x:v>right_censored</x:v>
      </x:c>
      <x:c r="H56" s="2" t="n">
        <x:f>IF(AND(ISNUMBER(F56),F56&gt;=D56),1,0)</x:f>
        <x:v>0</x:v>
      </x:c>
      <x:c r="I56" s="2" t="n">
        <x:f>IF(AND(ISNUMBER(F56),F56&gt;D56),1,0)</x:f>
        <x:v>0</x:v>
      </x:c>
      <x:c r="J56" s="2" t="str">
        <x:f>IF(H56=1,F56-D56,"")</x:f>
      </x:c>
      <x:c r="K56" s="2" t="str">
        <x:f>IF(H56=1,F56-E56,"")</x:f>
      </x:c>
      <x:c r="L56" s="2" t="n">
        <x:v>9</x:v>
      </x:c>
      <x:c r="M56" s="2"/>
      <x:c r="N56" s="20" t="n">
        <x:v>0</x:v>
      </x:c>
      <x:c r="O56" s="20" t="n">
        <x:v>0.2</x:v>
      </x:c>
      <x:c r="P56" s="20" t="n">
        <x:v>0.5</x:v>
      </x:c>
      <x:c r="Q56" s="2" t="n">
        <x:v>48</x:v>
      </x:c>
      <x:c r="R56" s="2" t="str">
        <x:v>INFP</x:v>
      </x:c>
      <x:c r="S56" s="2" t="str">
        <x:v>西北</x:v>
      </x:c>
      <x:c r="T56" s="2" t="str">
        <x:v>个体经营或自由职业</x:v>
      </x:c>
    </x:row>
    <x:row r="57" ht="24" customHeight="1">
      <x:c r="A57" s="2" t="str">
        <x:v>D000_T04_C020_G050</x:v>
      </x:c>
      <x:c r="B57" s="2" t="str">
        <x:v>A0116</x:v>
      </x:c>
      <x:c r="C57" s="2" t="str">
        <x:v>outside</x:v>
      </x:c>
      <x:c r="D57" s="2" t="n">
        <x:v>4</x:v>
      </x:c>
      <x:c r="E57" s="2" t="n">
        <x:v>4</x:v>
      </x:c>
      <x:c r="F57" s="2" t="n">
        <x:v>5</x:v>
      </x:c>
      <x:c r="G57" s="2" t="str">
        <x:v>observed_post_release</x:v>
      </x:c>
      <x:c r="H57" s="2" t="n">
        <x:f>IF(AND(ISNUMBER(F57),F57&gt;=D57),1,0)</x:f>
        <x:v>1</x:v>
      </x:c>
      <x:c r="I57" s="2" t="n">
        <x:f>IF(AND(ISNUMBER(F57),F57&gt;D57),1,0)</x:f>
        <x:v>1</x:v>
      </x:c>
      <x:c r="J57" s="2" t="n">
        <x:f>IF(H57=1,F57-D57,"")</x:f>
        <x:v>1</x:v>
      </x:c>
      <x:c r="K57" s="2" t="n">
        <x:f>IF(H57=1,F57-E57,"")</x:f>
        <x:v>1</x:v>
      </x:c>
      <x:c r="L57" s="2" t="n">
        <x:v>6</x:v>
      </x:c>
      <x:c r="M57" s="2" t="n">
        <x:v>5</x:v>
      </x:c>
      <x:c r="N57" s="20" t="n">
        <x:v>0</x:v>
      </x:c>
      <x:c r="O57" s="20" t="n">
        <x:v>0.2</x:v>
      </x:c>
      <x:c r="P57" s="20" t="n">
        <x:v>0.5</x:v>
      </x:c>
      <x:c r="Q57" s="2" t="n">
        <x:v>32</x:v>
      </x:c>
      <x:c r="R57" s="2" t="str">
        <x:v>INTJ</x:v>
      </x:c>
      <x:c r="S57" s="2" t="str">
        <x:v>西南</x:v>
      </x:c>
      <x:c r="T57" s="2" t="str">
        <x:v>个体经营或自由职业</x:v>
      </x:c>
    </x:row>
    <x:row r="58" ht="24" customHeight="1">
      <x:c r="A58" s="2" t="str">
        <x:v>D000_T04_C020_G050</x:v>
      </x:c>
      <x:c r="B58" s="2" t="str">
        <x:v>A0292</x:v>
      </x:c>
      <x:c r="C58" s="2" t="str">
        <x:v>outside</x:v>
      </x:c>
      <x:c r="D58" s="2" t="n">
        <x:v>4</x:v>
      </x:c>
      <x:c r="E58" s="2" t="n">
        <x:v>2</x:v>
      </x:c>
      <x:c r="F58" s="2"/>
      <x:c r="G58" s="2" t="str">
        <x:v>right_censored</x:v>
      </x:c>
      <x:c r="H58" s="2" t="n">
        <x:f>IF(AND(ISNUMBER(F58),F58&gt;=D58),1,0)</x:f>
        <x:v>0</x:v>
      </x:c>
      <x:c r="I58" s="2" t="n">
        <x:f>IF(AND(ISNUMBER(F58),F58&gt;D58),1,0)</x:f>
        <x:v>0</x:v>
      </x:c>
      <x:c r="J58" s="2" t="str">
        <x:f>IF(H58=1,F58-D58,"")</x:f>
      </x:c>
      <x:c r="K58" s="2" t="str">
        <x:f>IF(H58=1,F58-E58,"")</x:f>
      </x:c>
      <x:c r="L58" s="2" t="n">
        <x:v>8</x:v>
      </x:c>
      <x:c r="M58" s="2"/>
      <x:c r="N58" s="20" t="n">
        <x:v>0</x:v>
      </x:c>
      <x:c r="O58" s="20" t="n">
        <x:v>0.2</x:v>
      </x:c>
      <x:c r="P58" s="20" t="n">
        <x:v>0.5</x:v>
      </x:c>
      <x:c r="Q58" s="2" t="n">
        <x:v>43</x:v>
      </x:c>
      <x:c r="R58" s="2" t="str">
        <x:v>INTP</x:v>
      </x:c>
      <x:c r="S58" s="2" t="str">
        <x:v>华北</x:v>
      </x:c>
      <x:c r="T58" s="2" t="str">
        <x:v>个体经营或自由职业</x:v>
      </x:c>
    </x:row>
    <x:row r="59" ht="24" customHeight="1">
      <x:c r="A59" s="2" t="str">
        <x:v>D000_T04_C020_G075</x:v>
      </x:c>
      <x:c r="B59" s="2" t="str">
        <x:v>A0002</x:v>
      </x:c>
      <x:c r="C59" s="2" t="str">
        <x:v>inside</x:v>
      </x:c>
      <x:c r="D59" s="2" t="n">
        <x:v>4</x:v>
      </x:c>
      <x:c r="E59" s="2" t="n">
        <x:v>1</x:v>
      </x:c>
      <x:c r="F59" s="2"/>
      <x:c r="G59" s="2" t="str">
        <x:v>right_censored</x:v>
      </x:c>
      <x:c r="H59" s="2" t="n">
        <x:f>IF(AND(ISNUMBER(F59),F59&gt;=D59),1,0)</x:f>
        <x:v>0</x:v>
      </x:c>
      <x:c r="I59" s="2" t="n">
        <x:f>IF(AND(ISNUMBER(F59),F59&gt;D59),1,0)</x:f>
        <x:v>0</x:v>
      </x:c>
      <x:c r="J59" s="2" t="str">
        <x:f>IF(H59=1,F59-D59,"")</x:f>
      </x:c>
      <x:c r="K59" s="2" t="str">
        <x:f>IF(H59=1,F59-E59,"")</x:f>
      </x:c>
      <x:c r="L59" s="2" t="n">
        <x:v>9</x:v>
      </x:c>
      <x:c r="M59" s="2"/>
      <x:c r="N59" s="20" t="n">
        <x:v>0</x:v>
      </x:c>
      <x:c r="O59" s="20" t="n">
        <x:v>0.2</x:v>
      </x:c>
      <x:c r="P59" s="20" t="n">
        <x:v>0.75</x:v>
      </x:c>
      <x:c r="Q59" s="2" t="n">
        <x:v>19</x:v>
      </x:c>
      <x:c r="R59" s="2" t="str">
        <x:v>ESTP</x:v>
      </x:c>
      <x:c r="S59" s="2" t="str">
        <x:v>华南</x:v>
      </x:c>
      <x:c r="T59" s="2" t="str">
        <x:v>商业服务岗位</x:v>
      </x:c>
    </x:row>
    <x:row r="60" ht="24" customHeight="1">
      <x:c r="A60" s="2" t="str">
        <x:v>D000_T04_C020_G075</x:v>
      </x:c>
      <x:c r="B60" s="2" t="str">
        <x:v>A0012</x:v>
      </x:c>
      <x:c r="C60" s="2" t="str">
        <x:v>inside</x:v>
      </x:c>
      <x:c r="D60" s="2" t="n">
        <x:v>4</x:v>
      </x:c>
      <x:c r="E60" s="2" t="n">
        <x:v>3</x:v>
      </x:c>
      <x:c r="F60" s="2" t="n">
        <x:v>6</x:v>
      </x:c>
      <x:c r="G60" s="2" t="str">
        <x:v>observed_post_release</x:v>
      </x:c>
      <x:c r="H60" s="2" t="n">
        <x:f>IF(AND(ISNUMBER(F60),F60&gt;=D60),1,0)</x:f>
        <x:v>1</x:v>
      </x:c>
      <x:c r="I60" s="2" t="n">
        <x:f>IF(AND(ISNUMBER(F60),F60&gt;D60),1,0)</x:f>
        <x:v>1</x:v>
      </x:c>
      <x:c r="J60" s="2" t="n">
        <x:f>IF(H60=1,F60-D60,"")</x:f>
        <x:v>2</x:v>
      </x:c>
      <x:c r="K60" s="2" t="n">
        <x:f>IF(H60=1,F60-E60,"")</x:f>
        <x:v>3</x:v>
      </x:c>
      <x:c r="L60" s="2" t="n">
        <x:v>7</x:v>
      </x:c>
      <x:c r="M60" s="2" t="n">
        <x:v>6</x:v>
      </x:c>
      <x:c r="N60" s="20" t="n">
        <x:v>0</x:v>
      </x:c>
      <x:c r="O60" s="20" t="n">
        <x:v>0.2</x:v>
      </x:c>
      <x:c r="P60" s="20" t="n">
        <x:v>0.75</x:v>
      </x:c>
      <x:c r="Q60" s="2" t="n">
        <x:v>38</x:v>
      </x:c>
      <x:c r="R60" s="2" t="str">
        <x:v>ESFP</x:v>
      </x:c>
      <x:c r="S60" s="2" t="str">
        <x:v>华中</x:v>
      </x:c>
      <x:c r="T60" s="2" t="str">
        <x:v>行政或办公室岗位</x:v>
      </x:c>
    </x:row>
    <x:row r="61" ht="24" customHeight="1">
      <x:c r="A61" s="2" t="str">
        <x:v>D000_T04_C020_G075</x:v>
      </x:c>
      <x:c r="B61" s="2" t="str">
        <x:v>A0018</x:v>
      </x:c>
      <x:c r="C61" s="2" t="str">
        <x:v>inside</x:v>
      </x:c>
      <x:c r="D61" s="2" t="n">
        <x:v>4</x:v>
      </x:c>
      <x:c r="E61" s="2" t="n">
        <x:v>1</x:v>
      </x:c>
      <x:c r="F61" s="2" t="n">
        <x:v>7</x:v>
      </x:c>
      <x:c r="G61" s="2" t="str">
        <x:v>observed_post_release</x:v>
      </x:c>
      <x:c r="H61" s="2" t="n">
        <x:f>IF(AND(ISNUMBER(F61),F61&gt;=D61),1,0)</x:f>
        <x:v>1</x:v>
      </x:c>
      <x:c r="I61" s="2" t="n">
        <x:f>IF(AND(ISNUMBER(F61),F61&gt;D61),1,0)</x:f>
        <x:v>1</x:v>
      </x:c>
      <x:c r="J61" s="2" t="n">
        <x:f>IF(H61=1,F61-D61,"")</x:f>
        <x:v>3</x:v>
      </x:c>
      <x:c r="K61" s="2" t="n">
        <x:f>IF(H61=1,F61-E61,"")</x:f>
        <x:v>6</x:v>
      </x:c>
      <x:c r="L61" s="2" t="n">
        <x:v>9</x:v>
      </x:c>
      <x:c r="M61" s="2" t="n">
        <x:v>7</x:v>
      </x:c>
      <x:c r="N61" s="20" t="n">
        <x:v>0</x:v>
      </x:c>
      <x:c r="O61" s="20" t="n">
        <x:v>0.2</x:v>
      </x:c>
      <x:c r="P61" s="20" t="n">
        <x:v>0.75</x:v>
      </x:c>
      <x:c r="Q61" s="2" t="n">
        <x:v>60</x:v>
      </x:c>
      <x:c r="R61" s="2" t="str">
        <x:v>INTJ</x:v>
      </x:c>
      <x:c r="S61" s="2" t="str">
        <x:v>华南</x:v>
      </x:c>
      <x:c r="T61" s="2" t="str">
        <x:v>专业技术岗位</x:v>
      </x:c>
    </x:row>
    <x:row r="62" ht="24" customHeight="1">
      <x:c r="A62" s="2" t="str">
        <x:v>D000_T04_C020_G075</x:v>
      </x:c>
      <x:c r="B62" s="2" t="str">
        <x:v>A0159</x:v>
      </x:c>
      <x:c r="C62" s="2" t="str">
        <x:v>outside</x:v>
      </x:c>
      <x:c r="D62" s="2" t="n">
        <x:v>4</x:v>
      </x:c>
      <x:c r="E62" s="2" t="n">
        <x:v>3</x:v>
      </x:c>
      <x:c r="F62" s="2" t="n">
        <x:v>8</x:v>
      </x:c>
      <x:c r="G62" s="2" t="str">
        <x:v>observed_post_release</x:v>
      </x:c>
      <x:c r="H62" s="2" t="n">
        <x:f>IF(AND(ISNUMBER(F62),F62&gt;=D62),1,0)</x:f>
        <x:v>1</x:v>
      </x:c>
      <x:c r="I62" s="2" t="n">
        <x:f>IF(AND(ISNUMBER(F62),F62&gt;D62),1,0)</x:f>
        <x:v>1</x:v>
      </x:c>
      <x:c r="J62" s="2" t="n">
        <x:f>IF(H62=1,F62-D62,"")</x:f>
        <x:v>4</x:v>
      </x:c>
      <x:c r="K62" s="2" t="n">
        <x:f>IF(H62=1,F62-E62,"")</x:f>
        <x:v>5</x:v>
      </x:c>
      <x:c r="L62" s="2" t="n">
        <x:v>7</x:v>
      </x:c>
      <x:c r="M62" s="2" t="n">
        <x:v>8</x:v>
      </x:c>
      <x:c r="N62" s="20" t="n">
        <x:v>0</x:v>
      </x:c>
      <x:c r="O62" s="20" t="n">
        <x:v>0.2</x:v>
      </x:c>
      <x:c r="P62" s="20" t="n">
        <x:v>0.75</x:v>
      </x:c>
      <x:c r="Q62" s="2" t="n">
        <x:v>42</x:v>
      </x:c>
      <x:c r="R62" s="2" t="str">
        <x:v>INTP</x:v>
      </x:c>
      <x:c r="S62" s="2" t="str">
        <x:v>华东</x:v>
      </x:c>
      <x:c r="T62" s="2" t="str">
        <x:v>个体经营或自由职业</x:v>
      </x:c>
    </x:row>
    <x:row r="63" ht="24" customHeight="1">
      <x:c r="A63" s="2" t="str">
        <x:v>D000_T04_C020_G075</x:v>
      </x:c>
      <x:c r="B63" s="2" t="str">
        <x:v>A0178</x:v>
      </x:c>
      <x:c r="C63" s="2" t="str">
        <x:v>outside</x:v>
      </x:c>
      <x:c r="D63" s="2" t="n">
        <x:v>4</x:v>
      </x:c>
      <x:c r="E63" s="2" t="n">
        <x:v>5</x:v>
      </x:c>
      <x:c r="F63" s="2" t="n">
        <x:v>7</x:v>
      </x:c>
      <x:c r="G63" s="2" t="str">
        <x:v>observed_post_release</x:v>
      </x:c>
      <x:c r="H63" s="2" t="n">
        <x:f>IF(AND(ISNUMBER(F63),F63&gt;=D63),1,0)</x:f>
        <x:v>1</x:v>
      </x:c>
      <x:c r="I63" s="2" t="n">
        <x:f>IF(AND(ISNUMBER(F63),F63&gt;D63),1,0)</x:f>
        <x:v>1</x:v>
      </x:c>
      <x:c r="J63" s="2" t="n">
        <x:f>IF(H63=1,F63-D63,"")</x:f>
        <x:v>3</x:v>
      </x:c>
      <x:c r="K63" s="2" t="n">
        <x:f>IF(H63=1,F63-E63,"")</x:f>
        <x:v>2</x:v>
      </x:c>
      <x:c r="L63" s="2" t="n">
        <x:v>5</x:v>
      </x:c>
      <x:c r="M63" s="2" t="n">
        <x:v>5</x:v>
      </x:c>
      <x:c r="N63" s="20" t="n">
        <x:v>0</x:v>
      </x:c>
      <x:c r="O63" s="20" t="n">
        <x:v>0.2</x:v>
      </x:c>
      <x:c r="P63" s="20" t="n">
        <x:v>0.75</x:v>
      </x:c>
      <x:c r="Q63" s="2" t="n">
        <x:v>19</x:v>
      </x:c>
      <x:c r="R63" s="2" t="str">
        <x:v>INTJ</x:v>
      </x:c>
      <x:c r="S63" s="2" t="str">
        <x:v>华东</x:v>
      </x:c>
      <x:c r="T63" s="2" t="str">
        <x:v>在校学生</x:v>
      </x:c>
    </x:row>
    <x:row r="64" ht="24" customHeight="1">
      <x:c r="A64" s="2" t="str">
        <x:v>D000_T04_C080_G025</x:v>
      </x:c>
      <x:c r="B64" s="2" t="str">
        <x:v>A0005</x:v>
      </x:c>
      <x:c r="C64" s="2" t="str">
        <x:v>inside</x:v>
      </x:c>
      <x:c r="D64" s="2" t="n">
        <x:v>4</x:v>
      </x:c>
      <x:c r="E64" s="2" t="n">
        <x:v>1</x:v>
      </x:c>
      <x:c r="F64" s="2" t="n">
        <x:v>4</x:v>
      </x:c>
      <x:c r="G64" s="2" t="str">
        <x:v>observed_post_release</x:v>
      </x:c>
      <x:c r="H64" s="2" t="n">
        <x:f>IF(AND(ISNUMBER(F64),F64&gt;=D64),1,0)</x:f>
        <x:v>1</x:v>
      </x:c>
      <x:c r="I64" s="2" t="n">
        <x:f>IF(AND(ISNUMBER(F64),F64&gt;D64),1,0)</x:f>
        <x:v>0</x:v>
      </x:c>
      <x:c r="J64" s="2" t="n">
        <x:f>IF(H64=1,F64-D64,"")</x:f>
        <x:v>0</x:v>
      </x:c>
      <x:c r="K64" s="2" t="n">
        <x:f>IF(H64=1,F64-E64,"")</x:f>
        <x:v>3</x:v>
      </x:c>
      <x:c r="L64" s="2" t="n">
        <x:v>9</x:v>
      </x:c>
      <x:c r="M64" s="2" t="n">
        <x:v>4</x:v>
      </x:c>
      <x:c r="N64" s="20" t="n">
        <x:v>0</x:v>
      </x:c>
      <x:c r="O64" s="20" t="n">
        <x:v>0.8</x:v>
      </x:c>
      <x:c r="P64" s="20" t="n">
        <x:v>0.25</x:v>
      </x:c>
      <x:c r="Q64" s="2" t="n">
        <x:v>51</x:v>
      </x:c>
      <x:c r="R64" s="2" t="str">
        <x:v>ISTP</x:v>
      </x:c>
      <x:c r="S64" s="2" t="str">
        <x:v>华南</x:v>
      </x:c>
      <x:c r="T64" s="2" t="str">
        <x:v>生产运输或体力岗位</x:v>
      </x:c>
    </x:row>
    <x:row r="65" ht="24" customHeight="1">
      <x:c r="A65" s="2" t="str">
        <x:v>D000_T04_C080_G025</x:v>
      </x:c>
      <x:c r="B65" s="2" t="str">
        <x:v>A0011</x:v>
      </x:c>
      <x:c r="C65" s="2" t="str">
        <x:v>inside</x:v>
      </x:c>
      <x:c r="D65" s="2" t="n">
        <x:v>4</x:v>
      </x:c>
      <x:c r="E65" s="2" t="n">
        <x:v>1</x:v>
      </x:c>
      <x:c r="F65" s="2"/>
      <x:c r="G65" s="2" t="str">
        <x:v>right_censored</x:v>
      </x:c>
      <x:c r="H65" s="2" t="n">
        <x:f>IF(AND(ISNUMBER(F65),F65&gt;=D65),1,0)</x:f>
        <x:v>0</x:v>
      </x:c>
      <x:c r="I65" s="2" t="n">
        <x:f>IF(AND(ISNUMBER(F65),F65&gt;D65),1,0)</x:f>
        <x:v>0</x:v>
      </x:c>
      <x:c r="J65" s="2" t="str">
        <x:f>IF(H65=1,F65-D65,"")</x:f>
      </x:c>
      <x:c r="K65" s="2" t="str">
        <x:f>IF(H65=1,F65-E65,"")</x:f>
      </x:c>
      <x:c r="L65" s="2" t="n">
        <x:v>9</x:v>
      </x:c>
      <x:c r="M65" s="2" t="n">
        <x:v>9</x:v>
      </x:c>
      <x:c r="N65" s="20" t="n">
        <x:v>0</x:v>
      </x:c>
      <x:c r="O65" s="20" t="n">
        <x:v>0.8</x:v>
      </x:c>
      <x:c r="P65" s="20" t="n">
        <x:v>0.25</x:v>
      </x:c>
      <x:c r="Q65" s="2" t="n">
        <x:v>42</x:v>
      </x:c>
      <x:c r="R65" s="2" t="str">
        <x:v>ENFJ</x:v>
      </x:c>
      <x:c r="S65" s="2" t="str">
        <x:v>西南</x:v>
      </x:c>
      <x:c r="T65" s="2" t="str">
        <x:v>行政或办公室岗位</x:v>
      </x:c>
    </x:row>
    <x:row r="66" ht="24" customHeight="1">
      <x:c r="A66" s="2" t="str">
        <x:v>D000_T04_C080_G025</x:v>
      </x:c>
      <x:c r="B66" s="2" t="str">
        <x:v>A0012</x:v>
      </x:c>
      <x:c r="C66" s="2" t="str">
        <x:v>inside</x:v>
      </x:c>
      <x:c r="D66" s="2" t="n">
        <x:v>4</x:v>
      </x:c>
      <x:c r="E66" s="2" t="n">
        <x:v>1</x:v>
      </x:c>
      <x:c r="F66" s="2" t="n">
        <x:v>7</x:v>
      </x:c>
      <x:c r="G66" s="2" t="str">
        <x:v>observed_post_release</x:v>
      </x:c>
      <x:c r="H66" s="2" t="n">
        <x:f>IF(AND(ISNUMBER(F66),F66&gt;=D66),1,0)</x:f>
        <x:v>1</x:v>
      </x:c>
      <x:c r="I66" s="2" t="n">
        <x:f>IF(AND(ISNUMBER(F66),F66&gt;D66),1,0)</x:f>
        <x:v>1</x:v>
      </x:c>
      <x:c r="J66" s="2" t="n">
        <x:f>IF(H66=1,F66-D66,"")</x:f>
        <x:v>3</x:v>
      </x:c>
      <x:c r="K66" s="2" t="n">
        <x:f>IF(H66=1,F66-E66,"")</x:f>
        <x:v>6</x:v>
      </x:c>
      <x:c r="L66" s="2" t="n">
        <x:v>9</x:v>
      </x:c>
      <x:c r="M66" s="2" t="n">
        <x:v>4</x:v>
      </x:c>
      <x:c r="N66" s="20" t="n">
        <x:v>0</x:v>
      </x:c>
      <x:c r="O66" s="20" t="n">
        <x:v>0.8</x:v>
      </x:c>
      <x:c r="P66" s="20" t="n">
        <x:v>0.25</x:v>
      </x:c>
      <x:c r="Q66" s="2" t="n">
        <x:v>38</x:v>
      </x:c>
      <x:c r="R66" s="2" t="str">
        <x:v>ESFP</x:v>
      </x:c>
      <x:c r="S66" s="2" t="str">
        <x:v>华中</x:v>
      </x:c>
      <x:c r="T66" s="2" t="str">
        <x:v>行政或办公室岗位</x:v>
      </x:c>
    </x:row>
    <x:row r="67" ht="24" customHeight="1">
      <x:c r="A67" s="2" t="str">
        <x:v>D000_T04_C080_G025</x:v>
      </x:c>
      <x:c r="B67" s="2" t="str">
        <x:v>A0014</x:v>
      </x:c>
      <x:c r="C67" s="2" t="str">
        <x:v>inside</x:v>
      </x:c>
      <x:c r="D67" s="2" t="n">
        <x:v>4</x:v>
      </x:c>
      <x:c r="E67" s="2" t="n">
        <x:v>1</x:v>
      </x:c>
      <x:c r="F67" s="2" t="n">
        <x:v>4</x:v>
      </x:c>
      <x:c r="G67" s="2" t="str">
        <x:v>observed_post_release</x:v>
      </x:c>
      <x:c r="H67" s="2" t="n">
        <x:f>IF(AND(ISNUMBER(F67),F67&gt;=D67),1,0)</x:f>
        <x:v>1</x:v>
      </x:c>
      <x:c r="I67" s="2" t="n">
        <x:f>IF(AND(ISNUMBER(F67),F67&gt;D67),1,0)</x:f>
        <x:v>0</x:v>
      </x:c>
      <x:c r="J67" s="2" t="n">
        <x:f>IF(H67=1,F67-D67,"")</x:f>
        <x:v>0</x:v>
      </x:c>
      <x:c r="K67" s="2" t="n">
        <x:f>IF(H67=1,F67-E67,"")</x:f>
        <x:v>3</x:v>
      </x:c>
      <x:c r="L67" s="2" t="n">
        <x:v>9</x:v>
      </x:c>
      <x:c r="M67" s="2" t="n">
        <x:v>4</x:v>
      </x:c>
      <x:c r="N67" s="20" t="n">
        <x:v>0</x:v>
      </x:c>
      <x:c r="O67" s="20" t="n">
        <x:v>0.8</x:v>
      </x:c>
      <x:c r="P67" s="20" t="n">
        <x:v>0.25</x:v>
      </x:c>
      <x:c r="Q67" s="2" t="n">
        <x:v>52</x:v>
      </x:c>
      <x:c r="R67" s="2" t="str">
        <x:v>INFJ</x:v>
      </x:c>
      <x:c r="S67" s="2" t="str">
        <x:v>华东</x:v>
      </x:c>
      <x:c r="T67" s="2" t="str">
        <x:v>生产运输或体力岗位</x:v>
      </x:c>
    </x:row>
    <x:row r="68" ht="24" customHeight="1">
      <x:c r="A68" s="2" t="str">
        <x:v>D000_T04_C080_G025</x:v>
      </x:c>
      <x:c r="B68" s="2" t="str">
        <x:v>A0017</x:v>
      </x:c>
      <x:c r="C68" s="2" t="str">
        <x:v>inside</x:v>
      </x:c>
      <x:c r="D68" s="2" t="n">
        <x:v>4</x:v>
      </x:c>
      <x:c r="E68" s="2" t="n">
        <x:v>1</x:v>
      </x:c>
      <x:c r="F68" s="2"/>
      <x:c r="G68" s="2" t="str">
        <x:v>right_censored</x:v>
      </x:c>
      <x:c r="H68" s="2" t="n">
        <x:f>IF(AND(ISNUMBER(F68),F68&gt;=D68),1,0)</x:f>
        <x:v>0</x:v>
      </x:c>
      <x:c r="I68" s="2" t="n">
        <x:f>IF(AND(ISNUMBER(F68),F68&gt;D68),1,0)</x:f>
        <x:v>0</x:v>
      </x:c>
      <x:c r="J68" s="2" t="str">
        <x:f>IF(H68=1,F68-D68,"")</x:f>
      </x:c>
      <x:c r="K68" s="2" t="str">
        <x:f>IF(H68=1,F68-E68,"")</x:f>
      </x:c>
      <x:c r="L68" s="2" t="n">
        <x:v>9</x:v>
      </x:c>
      <x:c r="M68" s="2" t="n">
        <x:v>9</x:v>
      </x:c>
      <x:c r="N68" s="20" t="n">
        <x:v>0</x:v>
      </x:c>
      <x:c r="O68" s="20" t="n">
        <x:v>0.8</x:v>
      </x:c>
      <x:c r="P68" s="20" t="n">
        <x:v>0.25</x:v>
      </x:c>
      <x:c r="Q68" s="2" t="n">
        <x:v>30</x:v>
      </x:c>
      <x:c r="R68" s="2" t="str">
        <x:v>ISTJ</x:v>
      </x:c>
      <x:c r="S68" s="2" t="str">
        <x:v>华东</x:v>
      </x:c>
      <x:c r="T68" s="2" t="str">
        <x:v>商业服务岗位</x:v>
      </x:c>
    </x:row>
    <x:row r="69" ht="24" customHeight="1">
      <x:c r="A69" s="2" t="str">
        <x:v>D000_T04_C080_G025</x:v>
      </x:c>
      <x:c r="B69" s="2" t="str">
        <x:v>A0018</x:v>
      </x:c>
      <x:c r="C69" s="2" t="str">
        <x:v>inside</x:v>
      </x:c>
      <x:c r="D69" s="2" t="n">
        <x:v>4</x:v>
      </x:c>
      <x:c r="E69" s="2" t="n">
        <x:v>1</x:v>
      </x:c>
      <x:c r="F69" s="2" t="n">
        <x:v>9</x:v>
      </x:c>
      <x:c r="G69" s="2" t="str">
        <x:v>observed_post_release</x:v>
      </x:c>
      <x:c r="H69" s="2" t="n">
        <x:f>IF(AND(ISNUMBER(F69),F69&gt;=D69),1,0)</x:f>
        <x:v>1</x:v>
      </x:c>
      <x:c r="I69" s="2" t="n">
        <x:f>IF(AND(ISNUMBER(F69),F69&gt;D69),1,0)</x:f>
        <x:v>1</x:v>
      </x:c>
      <x:c r="J69" s="2" t="n">
        <x:f>IF(H69=1,F69-D69,"")</x:f>
        <x:v>5</x:v>
      </x:c>
      <x:c r="K69" s="2" t="n">
        <x:f>IF(H69=1,F69-E69,"")</x:f>
        <x:v>8</x:v>
      </x:c>
      <x:c r="L69" s="2" t="n">
        <x:v>9</x:v>
      </x:c>
      <x:c r="M69" s="2" t="n">
        <x:v>4</x:v>
      </x:c>
      <x:c r="N69" s="20" t="n">
        <x:v>0</x:v>
      </x:c>
      <x:c r="O69" s="20" t="n">
        <x:v>0.8</x:v>
      </x:c>
      <x:c r="P69" s="20" t="n">
        <x:v>0.25</x:v>
      </x:c>
      <x:c r="Q69" s="2" t="n">
        <x:v>60</x:v>
      </x:c>
      <x:c r="R69" s="2" t="str">
        <x:v>INTJ</x:v>
      </x:c>
      <x:c r="S69" s="2" t="str">
        <x:v>华南</x:v>
      </x:c>
      <x:c r="T69" s="2" t="str">
        <x:v>专业技术岗位</x:v>
      </x:c>
    </x:row>
    <x:row r="70" ht="24" customHeight="1">
      <x:c r="A70" s="2" t="str">
        <x:v>D000_T04_C080_G025</x:v>
      </x:c>
      <x:c r="B70" s="2" t="str">
        <x:v>A0032</x:v>
      </x:c>
      <x:c r="C70" s="2" t="str">
        <x:v>inside</x:v>
      </x:c>
      <x:c r="D70" s="2" t="n">
        <x:v>4</x:v>
      </x:c>
      <x:c r="E70" s="2" t="n">
        <x:v>1</x:v>
      </x:c>
      <x:c r="F70" s="2"/>
      <x:c r="G70" s="2" t="str">
        <x:v>right_censored</x:v>
      </x:c>
      <x:c r="H70" s="2" t="n">
        <x:f>IF(AND(ISNUMBER(F70),F70&gt;=D70),1,0)</x:f>
        <x:v>0</x:v>
      </x:c>
      <x:c r="I70" s="2" t="n">
        <x:f>IF(AND(ISNUMBER(F70),F70&gt;D70),1,0)</x:f>
        <x:v>0</x:v>
      </x:c>
      <x:c r="J70" s="2" t="str">
        <x:f>IF(H70=1,F70-D70,"")</x:f>
      </x:c>
      <x:c r="K70" s="2" t="str">
        <x:f>IF(H70=1,F70-E70,"")</x:f>
      </x:c>
      <x:c r="L70" s="2" t="n">
        <x:v>9</x:v>
      </x:c>
      <x:c r="M70" s="2" t="n">
        <x:v>4</x:v>
      </x:c>
      <x:c r="N70" s="20" t="n">
        <x:v>0</x:v>
      </x:c>
      <x:c r="O70" s="20" t="n">
        <x:v>0.8</x:v>
      </x:c>
      <x:c r="P70" s="20" t="n">
        <x:v>0.25</x:v>
      </x:c>
      <x:c r="Q70" s="2" t="n">
        <x:v>53</x:v>
      </x:c>
      <x:c r="R70" s="2" t="str">
        <x:v>INTP</x:v>
      </x:c>
      <x:c r="S70" s="2" t="str">
        <x:v>华北</x:v>
      </x:c>
      <x:c r="T70" s="2" t="str">
        <x:v>个体经营或自由职业</x:v>
      </x:c>
    </x:row>
    <x:row r="71" ht="24" customHeight="1">
      <x:c r="A71" s="2" t="str">
        <x:v>D000_T04_C080_G025</x:v>
      </x:c>
      <x:c r="B71" s="2" t="str">
        <x:v>A0033</x:v>
      </x:c>
      <x:c r="C71" s="2" t="str">
        <x:v>inside</x:v>
      </x:c>
      <x:c r="D71" s="2" t="n">
        <x:v>4</x:v>
      </x:c>
      <x:c r="E71" s="2" t="n">
        <x:v>1</x:v>
      </x:c>
      <x:c r="F71" s="2" t="n">
        <x:v>4</x:v>
      </x:c>
      <x:c r="G71" s="2" t="str">
        <x:v>observed_post_release</x:v>
      </x:c>
      <x:c r="H71" s="2" t="n">
        <x:f>IF(AND(ISNUMBER(F71),F71&gt;=D71),1,0)</x:f>
        <x:v>1</x:v>
      </x:c>
      <x:c r="I71" s="2" t="n">
        <x:f>IF(AND(ISNUMBER(F71),F71&gt;D71),1,0)</x:f>
        <x:v>0</x:v>
      </x:c>
      <x:c r="J71" s="2" t="n">
        <x:f>IF(H71=1,F71-D71,"")</x:f>
        <x:v>0</x:v>
      </x:c>
      <x:c r="K71" s="2" t="n">
        <x:f>IF(H71=1,F71-E71,"")</x:f>
        <x:v>3</x:v>
      </x:c>
      <x:c r="L71" s="2" t="n">
        <x:v>9</x:v>
      </x:c>
      <x:c r="M71" s="2" t="n">
        <x:v>4</x:v>
      </x:c>
      <x:c r="N71" s="20" t="n">
        <x:v>0</x:v>
      </x:c>
      <x:c r="O71" s="20" t="n">
        <x:v>0.8</x:v>
      </x:c>
      <x:c r="P71" s="20" t="n">
        <x:v>0.25</x:v>
      </x:c>
      <x:c r="Q71" s="2" t="n">
        <x:v>55</x:v>
      </x:c>
      <x:c r="R71" s="2" t="str">
        <x:v>ENFP</x:v>
      </x:c>
      <x:c r="S71" s="2" t="str">
        <x:v>华南</x:v>
      </x:c>
      <x:c r="T71" s="2" t="str">
        <x:v>个体经营或自由职业</x:v>
      </x:c>
    </x:row>
    <x:row r="72" ht="24" customHeight="1">
      <x:c r="A72" s="2" t="str">
        <x:v>D000_T04_C080_G025</x:v>
      </x:c>
      <x:c r="B72" s="2" t="str">
        <x:v>A0116</x:v>
      </x:c>
      <x:c r="C72" s="2" t="str">
        <x:v>outside</x:v>
      </x:c>
      <x:c r="D72" s="2" t="n">
        <x:v>4</x:v>
      </x:c>
      <x:c r="E72" s="2" t="n">
        <x:v>3</x:v>
      </x:c>
      <x:c r="F72" s="2"/>
      <x:c r="G72" s="2" t="str">
        <x:v>right_censored</x:v>
      </x:c>
      <x:c r="H72" s="2" t="n">
        <x:f>IF(AND(ISNUMBER(F72),F72&gt;=D72),1,0)</x:f>
        <x:v>0</x:v>
      </x:c>
      <x:c r="I72" s="2" t="n">
        <x:f>IF(AND(ISNUMBER(F72),F72&gt;D72),1,0)</x:f>
        <x:v>0</x:v>
      </x:c>
      <x:c r="J72" s="2" t="str">
        <x:f>IF(H72=1,F72-D72,"")</x:f>
      </x:c>
      <x:c r="K72" s="2" t="str">
        <x:f>IF(H72=1,F72-E72,"")</x:f>
      </x:c>
      <x:c r="L72" s="2" t="n">
        <x:v>7</x:v>
      </x:c>
      <x:c r="M72" s="2" t="n">
        <x:v>7</x:v>
      </x:c>
      <x:c r="N72" s="20" t="n">
        <x:v>0</x:v>
      </x:c>
      <x:c r="O72" s="20" t="n">
        <x:v>0.8</x:v>
      </x:c>
      <x:c r="P72" s="20" t="n">
        <x:v>0.25</x:v>
      </x:c>
      <x:c r="Q72" s="2" t="n">
        <x:v>32</x:v>
      </x:c>
      <x:c r="R72" s="2" t="str">
        <x:v>INTJ</x:v>
      </x:c>
      <x:c r="S72" s="2" t="str">
        <x:v>西南</x:v>
      </x:c>
      <x:c r="T72" s="2" t="str">
        <x:v>个体经营或自由职业</x:v>
      </x:c>
    </x:row>
    <x:row r="73" ht="24" customHeight="1">
      <x:c r="A73" s="2" t="str">
        <x:v>D000_T04_C080_G025</x:v>
      </x:c>
      <x:c r="B73" s="2" t="str">
        <x:v>A0159</x:v>
      </x:c>
      <x:c r="C73" s="2" t="str">
        <x:v>outside</x:v>
      </x:c>
      <x:c r="D73" s="2" t="n">
        <x:v>4</x:v>
      </x:c>
      <x:c r="E73" s="2" t="n">
        <x:v>10</x:v>
      </x:c>
      <x:c r="F73" s="2"/>
      <x:c r="G73" s="2" t="str">
        <x:v>right_censored</x:v>
      </x:c>
      <x:c r="H73" s="2" t="n">
        <x:f>IF(AND(ISNUMBER(F73),F73&gt;=D73),1,0)</x:f>
        <x:v>0</x:v>
      </x:c>
      <x:c r="I73" s="2" t="n">
        <x:f>IF(AND(ISNUMBER(F73),F73&gt;D73),1,0)</x:f>
        <x:v>0</x:v>
      </x:c>
      <x:c r="J73" s="2" t="str">
        <x:f>IF(H73=1,F73-D73,"")</x:f>
      </x:c>
      <x:c r="K73" s="2" t="str">
        <x:f>IF(H73=1,F73-E73,"")</x:f>
      </x:c>
      <x:c r="L73" s="2" t="n">
        <x:v>0</x:v>
      </x:c>
      <x:c r="M73" s="2"/>
      <x:c r="N73" s="20" t="n">
        <x:v>0</x:v>
      </x:c>
      <x:c r="O73" s="20" t="n">
        <x:v>0.8</x:v>
      </x:c>
      <x:c r="P73" s="20" t="n">
        <x:v>0.25</x:v>
      </x:c>
      <x:c r="Q73" s="2" t="n">
        <x:v>42</x:v>
      </x:c>
      <x:c r="R73" s="2" t="str">
        <x:v>INTP</x:v>
      </x:c>
      <x:c r="S73" s="2" t="str">
        <x:v>华东</x:v>
      </x:c>
      <x:c r="T73" s="2" t="str">
        <x:v>个体经营或自由职业</x:v>
      </x:c>
    </x:row>
    <x:row r="74" ht="24" customHeight="1">
      <x:c r="A74" s="2" t="str">
        <x:v>D000_T04_C080_G025</x:v>
      </x:c>
      <x:c r="B74" s="2" t="str">
        <x:v>A0292</x:v>
      </x:c>
      <x:c r="C74" s="2" t="str">
        <x:v>outside</x:v>
      </x:c>
      <x:c r="D74" s="2" t="n">
        <x:v>4</x:v>
      </x:c>
      <x:c r="E74" s="2" t="n">
        <x:v>10</x:v>
      </x:c>
      <x:c r="F74" s="2"/>
      <x:c r="G74" s="2" t="str">
        <x:v>right_censored</x:v>
      </x:c>
      <x:c r="H74" s="2" t="n">
        <x:f>IF(AND(ISNUMBER(F74),F74&gt;=D74),1,0)</x:f>
        <x:v>0</x:v>
      </x:c>
      <x:c r="I74" s="2" t="n">
        <x:f>IF(AND(ISNUMBER(F74),F74&gt;D74),1,0)</x:f>
        <x:v>0</x:v>
      </x:c>
      <x:c r="J74" s="2" t="str">
        <x:f>IF(H74=1,F74-D74,"")</x:f>
      </x:c>
      <x:c r="K74" s="2" t="str">
        <x:f>IF(H74=1,F74-E74,"")</x:f>
      </x:c>
      <x:c r="L74" s="2" t="n">
        <x:v>0</x:v>
      </x:c>
      <x:c r="M74" s="2"/>
      <x:c r="N74" s="20" t="n">
        <x:v>0</x:v>
      </x:c>
      <x:c r="O74" s="20" t="n">
        <x:v>0.8</x:v>
      </x:c>
      <x:c r="P74" s="20" t="n">
        <x:v>0.25</x:v>
      </x:c>
      <x:c r="Q74" s="2" t="n">
        <x:v>43</x:v>
      </x:c>
      <x:c r="R74" s="2" t="str">
        <x:v>INTP</x:v>
      </x:c>
      <x:c r="S74" s="2" t="str">
        <x:v>华北</x:v>
      </x:c>
      <x:c r="T74" s="2" t="str">
        <x:v>个体经营或自由职业</x:v>
      </x:c>
    </x:row>
    <x:row r="75" ht="24" customHeight="1">
      <x:c r="A75" s="2" t="str">
        <x:v>D000_T04_C080_G050</x:v>
      </x:c>
      <x:c r="B75" s="2" t="str">
        <x:v>A0011</x:v>
      </x:c>
      <x:c r="C75" s="2" t="str">
        <x:v>inside</x:v>
      </x:c>
      <x:c r="D75" s="2" t="n">
        <x:v>4</x:v>
      </x:c>
      <x:c r="E75" s="2" t="n">
        <x:v>1</x:v>
      </x:c>
      <x:c r="F75" s="2"/>
      <x:c r="G75" s="2" t="str">
        <x:v>right_censored</x:v>
      </x:c>
      <x:c r="H75" s="2" t="n">
        <x:f>IF(AND(ISNUMBER(F75),F75&gt;=D75),1,0)</x:f>
        <x:v>0</x:v>
      </x:c>
      <x:c r="I75" s="2" t="n">
        <x:f>IF(AND(ISNUMBER(F75),F75&gt;D75),1,0)</x:f>
        <x:v>0</x:v>
      </x:c>
      <x:c r="J75" s="2" t="str">
        <x:f>IF(H75=1,F75-D75,"")</x:f>
      </x:c>
      <x:c r="K75" s="2" t="str">
        <x:f>IF(H75=1,F75-E75,"")</x:f>
      </x:c>
      <x:c r="L75" s="2" t="n">
        <x:v>9</x:v>
      </x:c>
      <x:c r="M75" s="2"/>
      <x:c r="N75" s="20" t="n">
        <x:v>0</x:v>
      </x:c>
      <x:c r="O75" s="20" t="n">
        <x:v>0.8</x:v>
      </x:c>
      <x:c r="P75" s="20" t="n">
        <x:v>0.5</x:v>
      </x:c>
      <x:c r="Q75" s="2" t="n">
        <x:v>42</x:v>
      </x:c>
      <x:c r="R75" s="2" t="str">
        <x:v>ENFJ</x:v>
      </x:c>
      <x:c r="S75" s="2" t="str">
        <x:v>西南</x:v>
      </x:c>
      <x:c r="T75" s="2" t="str">
        <x:v>行政或办公室岗位</x:v>
      </x:c>
    </x:row>
    <x:row r="76" ht="24" customHeight="1">
      <x:c r="A76" s="2" t="str">
        <x:v>D000_T04_C080_G050</x:v>
      </x:c>
      <x:c r="B76" s="2" t="str">
        <x:v>A0015</x:v>
      </x:c>
      <x:c r="C76" s="2" t="str">
        <x:v>inside</x:v>
      </x:c>
      <x:c r="D76" s="2" t="n">
        <x:v>4</x:v>
      </x:c>
      <x:c r="E76" s="2" t="n">
        <x:v>1</x:v>
      </x:c>
      <x:c r="F76" s="2" t="n">
        <x:v>4</x:v>
      </x:c>
      <x:c r="G76" s="2" t="str">
        <x:v>observed_post_release</x:v>
      </x:c>
      <x:c r="H76" s="2" t="n">
        <x:f>IF(AND(ISNUMBER(F76),F76&gt;=D76),1,0)</x:f>
        <x:v>1</x:v>
      </x:c>
      <x:c r="I76" s="2" t="n">
        <x:f>IF(AND(ISNUMBER(F76),F76&gt;D76),1,0)</x:f>
        <x:v>0</x:v>
      </x:c>
      <x:c r="J76" s="2" t="n">
        <x:f>IF(H76=1,F76-D76,"")</x:f>
        <x:v>0</x:v>
      </x:c>
      <x:c r="K76" s="2" t="n">
        <x:f>IF(H76=1,F76-E76,"")</x:f>
        <x:v>3</x:v>
      </x:c>
      <x:c r="L76" s="2" t="n">
        <x:v>9</x:v>
      </x:c>
      <x:c r="M76" s="2" t="n">
        <x:v>4</x:v>
      </x:c>
      <x:c r="N76" s="20" t="n">
        <x:v>0</x:v>
      </x:c>
      <x:c r="O76" s="20" t="n">
        <x:v>0.8</x:v>
      </x:c>
      <x:c r="P76" s="20" t="n">
        <x:v>0.5</x:v>
      </x:c>
      <x:c r="Q76" s="2" t="n">
        <x:v>29</x:v>
      </x:c>
      <x:c r="R76" s="2" t="str">
        <x:v>ESFP</x:v>
      </x:c>
      <x:c r="S76" s="2" t="str">
        <x:v>华南</x:v>
      </x:c>
      <x:c r="T76" s="2" t="str">
        <x:v>行政或办公室岗位</x:v>
      </x:c>
    </x:row>
    <x:row r="77" ht="24" customHeight="1">
      <x:c r="A77" s="2" t="str">
        <x:v>D000_T04_C080_G050</x:v>
      </x:c>
      <x:c r="B77" s="2" t="str">
        <x:v>A0040</x:v>
      </x:c>
      <x:c r="C77" s="2" t="str">
        <x:v>inside</x:v>
      </x:c>
      <x:c r="D77" s="2" t="n">
        <x:v>4</x:v>
      </x:c>
      <x:c r="E77" s="2" t="n">
        <x:v>1</x:v>
      </x:c>
      <x:c r="F77" s="2" t="n">
        <x:v>4</x:v>
      </x:c>
      <x:c r="G77" s="2" t="str">
        <x:v>observed_post_release</x:v>
      </x:c>
      <x:c r="H77" s="2" t="n">
        <x:f>IF(AND(ISNUMBER(F77),F77&gt;=D77),1,0)</x:f>
        <x:v>1</x:v>
      </x:c>
      <x:c r="I77" s="2" t="n">
        <x:f>IF(AND(ISNUMBER(F77),F77&gt;D77),1,0)</x:f>
        <x:v>0</x:v>
      </x:c>
      <x:c r="J77" s="2" t="n">
        <x:f>IF(H77=1,F77-D77,"")</x:f>
        <x:v>0</x:v>
      </x:c>
      <x:c r="K77" s="2" t="n">
        <x:f>IF(H77=1,F77-E77,"")</x:f>
        <x:v>3</x:v>
      </x:c>
      <x:c r="L77" s="2" t="n">
        <x:v>9</x:v>
      </x:c>
      <x:c r="M77" s="2" t="n">
        <x:v>4</x:v>
      </x:c>
      <x:c r="N77" s="20" t="n">
        <x:v>0</x:v>
      </x:c>
      <x:c r="O77" s="20" t="n">
        <x:v>0.8</x:v>
      </x:c>
      <x:c r="P77" s="20" t="n">
        <x:v>0.5</x:v>
      </x:c>
      <x:c r="Q77" s="2" t="n">
        <x:v>48</x:v>
      </x:c>
      <x:c r="R77" s="2" t="str">
        <x:v>INFP</x:v>
      </x:c>
      <x:c r="S77" s="2" t="str">
        <x:v>西北</x:v>
      </x:c>
      <x:c r="T77" s="2" t="str">
        <x:v>个体经营或自由职业</x:v>
      </x:c>
    </x:row>
    <x:row r="78" ht="24" customHeight="1">
      <x:c r="A78" s="2" t="str">
        <x:v>D000_T04_C080_G050</x:v>
      </x:c>
      <x:c r="B78" s="2" t="str">
        <x:v>A0071</x:v>
      </x:c>
      <x:c r="C78" s="2" t="str">
        <x:v>inside</x:v>
      </x:c>
      <x:c r="D78" s="2" t="n">
        <x:v>4</x:v>
      </x:c>
      <x:c r="E78" s="2" t="n">
        <x:v>1</x:v>
      </x:c>
      <x:c r="F78" s="2" t="n">
        <x:v>4</x:v>
      </x:c>
      <x:c r="G78" s="2" t="str">
        <x:v>observed_post_release</x:v>
      </x:c>
      <x:c r="H78" s="2" t="n">
        <x:f>IF(AND(ISNUMBER(F78),F78&gt;=D78),1,0)</x:f>
        <x:v>1</x:v>
      </x:c>
      <x:c r="I78" s="2" t="n">
        <x:f>IF(AND(ISNUMBER(F78),F78&gt;D78),1,0)</x:f>
        <x:v>0</x:v>
      </x:c>
      <x:c r="J78" s="2" t="n">
        <x:f>IF(H78=1,F78-D78,"")</x:f>
        <x:v>0</x:v>
      </x:c>
      <x:c r="K78" s="2" t="n">
        <x:f>IF(H78=1,F78-E78,"")</x:f>
        <x:v>3</x:v>
      </x:c>
      <x:c r="L78" s="2" t="n">
        <x:v>9</x:v>
      </x:c>
      <x:c r="M78" s="2" t="n">
        <x:v>4</x:v>
      </x:c>
      <x:c r="N78" s="20" t="n">
        <x:v>0</x:v>
      </x:c>
      <x:c r="O78" s="20" t="n">
        <x:v>0.8</x:v>
      </x:c>
      <x:c r="P78" s="20" t="n">
        <x:v>0.5</x:v>
      </x:c>
      <x:c r="Q78" s="2" t="n">
        <x:v>33</x:v>
      </x:c>
      <x:c r="R78" s="2" t="str">
        <x:v>ISTJ</x:v>
      </x:c>
      <x:c r="S78" s="2" t="str">
        <x:v>华东</x:v>
      </x:c>
      <x:c r="T78" s="2" t="str">
        <x:v>商业服务岗位</x:v>
      </x:c>
    </x:row>
    <x:row r="79" ht="24" customHeight="1">
      <x:c r="A79" s="2" t="str">
        <x:v>D000_T04_C080_G075</x:v>
      </x:c>
      <x:c r="B79" s="2" t="str">
        <x:v>A0005</x:v>
      </x:c>
      <x:c r="C79" s="2" t="str">
        <x:v>inside</x:v>
      </x:c>
      <x:c r="D79" s="2" t="n">
        <x:v>4</x:v>
      </x:c>
      <x:c r="E79" s="2" t="n">
        <x:v>1</x:v>
      </x:c>
      <x:c r="F79" s="2" t="n">
        <x:v>4</x:v>
      </x:c>
      <x:c r="G79" s="2" t="str">
        <x:v>observed_post_release</x:v>
      </x:c>
      <x:c r="H79" s="2" t="n">
        <x:f>IF(AND(ISNUMBER(F79),F79&gt;=D79),1,0)</x:f>
        <x:v>1</x:v>
      </x:c>
      <x:c r="I79" s="2" t="n">
        <x:f>IF(AND(ISNUMBER(F79),F79&gt;D79),1,0)</x:f>
        <x:v>0</x:v>
      </x:c>
      <x:c r="J79" s="2" t="n">
        <x:f>IF(H79=1,F79-D79,"")</x:f>
        <x:v>0</x:v>
      </x:c>
      <x:c r="K79" s="2" t="n">
        <x:f>IF(H79=1,F79-E79,"")</x:f>
        <x:v>3</x:v>
      </x:c>
      <x:c r="L79" s="2" t="n">
        <x:v>9</x:v>
      </x:c>
      <x:c r="M79" s="2" t="n">
        <x:v>4</x:v>
      </x:c>
      <x:c r="N79" s="20" t="n">
        <x:v>0</x:v>
      </x:c>
      <x:c r="O79" s="20" t="n">
        <x:v>0.8</x:v>
      </x:c>
      <x:c r="P79" s="20" t="n">
        <x:v>0.75</x:v>
      </x:c>
      <x:c r="Q79" s="2" t="n">
        <x:v>51</x:v>
      </x:c>
      <x:c r="R79" s="2" t="str">
        <x:v>ISTP</x:v>
      </x:c>
      <x:c r="S79" s="2" t="str">
        <x:v>华南</x:v>
      </x:c>
      <x:c r="T79" s="2" t="str">
        <x:v>生产运输或体力岗位</x:v>
      </x:c>
    </x:row>
    <x:row r="80" ht="24" customHeight="1">
      <x:c r="A80" s="2" t="str">
        <x:v>D000_T04_C080_G075</x:v>
      </x:c>
      <x:c r="B80" s="2" t="str">
        <x:v>A0011</x:v>
      </x:c>
      <x:c r="C80" s="2" t="str">
        <x:v>inside</x:v>
      </x:c>
      <x:c r="D80" s="2" t="n">
        <x:v>4</x:v>
      </x:c>
      <x:c r="E80" s="2" t="n">
        <x:v>1</x:v>
      </x:c>
      <x:c r="F80" s="2" t="n">
        <x:v>6</x:v>
      </x:c>
      <x:c r="G80" s="2" t="str">
        <x:v>observed_post_release</x:v>
      </x:c>
      <x:c r="H80" s="2" t="n">
        <x:f>IF(AND(ISNUMBER(F80),F80&gt;=D80),1,0)</x:f>
        <x:v>1</x:v>
      </x:c>
      <x:c r="I80" s="2" t="n">
        <x:f>IF(AND(ISNUMBER(F80),F80&gt;D80),1,0)</x:f>
        <x:v>1</x:v>
      </x:c>
      <x:c r="J80" s="2" t="n">
        <x:f>IF(H80=1,F80-D80,"")</x:f>
        <x:v>2</x:v>
      </x:c>
      <x:c r="K80" s="2" t="n">
        <x:f>IF(H80=1,F80-E80,"")</x:f>
        <x:v>5</x:v>
      </x:c>
      <x:c r="L80" s="2" t="n">
        <x:v>9</x:v>
      </x:c>
      <x:c r="M80" s="2" t="n">
        <x:v>5</x:v>
      </x:c>
      <x:c r="N80" s="20" t="n">
        <x:v>0</x:v>
      </x:c>
      <x:c r="O80" s="20" t="n">
        <x:v>0.8</x:v>
      </x:c>
      <x:c r="P80" s="20" t="n">
        <x:v>0.75</x:v>
      </x:c>
      <x:c r="Q80" s="2" t="n">
        <x:v>42</x:v>
      </x:c>
      <x:c r="R80" s="2" t="str">
        <x:v>ENFJ</x:v>
      </x:c>
      <x:c r="S80" s="2" t="str">
        <x:v>西南</x:v>
      </x:c>
      <x:c r="T80" s="2" t="str">
        <x:v>行政或办公室岗位</x:v>
      </x:c>
    </x:row>
    <x:row r="81" ht="24" customHeight="1">
      <x:c r="A81" s="2" t="str">
        <x:v>D000_T04_C080_G075</x:v>
      </x:c>
      <x:c r="B81" s="2" t="str">
        <x:v>A0012</x:v>
      </x:c>
      <x:c r="C81" s="2" t="str">
        <x:v>inside</x:v>
      </x:c>
      <x:c r="D81" s="2" t="n">
        <x:v>4</x:v>
      </x:c>
      <x:c r="E81" s="2" t="n">
        <x:v>1</x:v>
      </x:c>
      <x:c r="F81" s="2" t="n">
        <x:v>4</x:v>
      </x:c>
      <x:c r="G81" s="2" t="str">
        <x:v>observed_post_release</x:v>
      </x:c>
      <x:c r="H81" s="2" t="n">
        <x:f>IF(AND(ISNUMBER(F81),F81&gt;=D81),1,0)</x:f>
        <x:v>1</x:v>
      </x:c>
      <x:c r="I81" s="2" t="n">
        <x:f>IF(AND(ISNUMBER(F81),F81&gt;D81),1,0)</x:f>
        <x:v>0</x:v>
      </x:c>
      <x:c r="J81" s="2" t="n">
        <x:f>IF(H81=1,F81-D81,"")</x:f>
        <x:v>0</x:v>
      </x:c>
      <x:c r="K81" s="2" t="n">
        <x:f>IF(H81=1,F81-E81,"")</x:f>
        <x:v>3</x:v>
      </x:c>
      <x:c r="L81" s="2" t="n">
        <x:v>9</x:v>
      </x:c>
      <x:c r="M81" s="2" t="n">
        <x:v>4</x:v>
      </x:c>
      <x:c r="N81" s="20" t="n">
        <x:v>0</x:v>
      </x:c>
      <x:c r="O81" s="20" t="n">
        <x:v>0.8</x:v>
      </x:c>
      <x:c r="P81" s="20" t="n">
        <x:v>0.75</x:v>
      </x:c>
      <x:c r="Q81" s="2" t="n">
        <x:v>38</x:v>
      </x:c>
      <x:c r="R81" s="2" t="str">
        <x:v>ESFP</x:v>
      </x:c>
      <x:c r="S81" s="2" t="str">
        <x:v>华中</x:v>
      </x:c>
      <x:c r="T81" s="2" t="str">
        <x:v>行政或办公室岗位</x:v>
      </x:c>
    </x:row>
    <x:row r="82" ht="24" customHeight="1">
      <x:c r="A82" s="2" t="str">
        <x:v>D000_T04_C080_G075</x:v>
      </x:c>
      <x:c r="B82" s="2" t="str">
        <x:v>A0029</x:v>
      </x:c>
      <x:c r="C82" s="2" t="str">
        <x:v>inside</x:v>
      </x:c>
      <x:c r="D82" s="2" t="n">
        <x:v>4</x:v>
      </x:c>
      <x:c r="E82" s="2" t="n">
        <x:v>1</x:v>
      </x:c>
      <x:c r="F82" s="2" t="n">
        <x:v>4</x:v>
      </x:c>
      <x:c r="G82" s="2" t="str">
        <x:v>observed_post_release</x:v>
      </x:c>
      <x:c r="H82" s="2" t="n">
        <x:f>IF(AND(ISNUMBER(F82),F82&gt;=D82),1,0)</x:f>
        <x:v>1</x:v>
      </x:c>
      <x:c r="I82" s="2" t="n">
        <x:f>IF(AND(ISNUMBER(F82),F82&gt;D82),1,0)</x:f>
        <x:v>0</x:v>
      </x:c>
      <x:c r="J82" s="2" t="n">
        <x:f>IF(H82=1,F82-D82,"")</x:f>
        <x:v>0</x:v>
      </x:c>
      <x:c r="K82" s="2" t="n">
        <x:f>IF(H82=1,F82-E82,"")</x:f>
        <x:v>3</x:v>
      </x:c>
      <x:c r="L82" s="2" t="n">
        <x:v>9</x:v>
      </x:c>
      <x:c r="M82" s="2" t="n">
        <x:v>4</x:v>
      </x:c>
      <x:c r="N82" s="20" t="n">
        <x:v>0</x:v>
      </x:c>
      <x:c r="O82" s="20" t="n">
        <x:v>0.8</x:v>
      </x:c>
      <x:c r="P82" s="20" t="n">
        <x:v>0.75</x:v>
      </x:c>
      <x:c r="Q82" s="2" t="n">
        <x:v>69</x:v>
      </x:c>
      <x:c r="R82" s="2" t="str">
        <x:v>ENTP</x:v>
      </x:c>
      <x:c r="S82" s="2" t="str">
        <x:v>华东</x:v>
      </x:c>
      <x:c r="T82" s="2" t="str">
        <x:v>退休人员</x:v>
      </x:c>
    </x:row>
    <x:row r="83" ht="24" customHeight="1">
      <x:c r="A83" s="2" t="str">
        <x:v>D000_T04_C080_G075</x:v>
      </x:c>
      <x:c r="B83" s="2" t="str">
        <x:v>A0037</x:v>
      </x:c>
      <x:c r="C83" s="2" t="str">
        <x:v>inside</x:v>
      </x:c>
      <x:c r="D83" s="2" t="n">
        <x:v>4</x:v>
      </x:c>
      <x:c r="E83" s="2" t="n">
        <x:v>1</x:v>
      </x:c>
      <x:c r="F83" s="2" t="n">
        <x:v>5</x:v>
      </x:c>
      <x:c r="G83" s="2" t="str">
        <x:v>observed_post_release</x:v>
      </x:c>
      <x:c r="H83" s="2" t="n">
        <x:f>IF(AND(ISNUMBER(F83),F83&gt;=D83),1,0)</x:f>
        <x:v>1</x:v>
      </x:c>
      <x:c r="I83" s="2" t="n">
        <x:f>IF(AND(ISNUMBER(F83),F83&gt;D83),1,0)</x:f>
        <x:v>1</x:v>
      </x:c>
      <x:c r="J83" s="2" t="n">
        <x:f>IF(H83=1,F83-D83,"")</x:f>
        <x:v>1</x:v>
      </x:c>
      <x:c r="K83" s="2" t="n">
        <x:f>IF(H83=1,F83-E83,"")</x:f>
        <x:v>4</x:v>
      </x:c>
      <x:c r="L83" s="2" t="n">
        <x:v>9</x:v>
      </x:c>
      <x:c r="M83" s="2" t="n">
        <x:v>4</x:v>
      </x:c>
      <x:c r="N83" s="20" t="n">
        <x:v>0</x:v>
      </x:c>
      <x:c r="O83" s="20" t="n">
        <x:v>0.8</x:v>
      </x:c>
      <x:c r="P83" s="20" t="n">
        <x:v>0.75</x:v>
      </x:c>
      <x:c r="Q83" s="2" t="n">
        <x:v>24</x:v>
      </x:c>
      <x:c r="R83" s="2" t="str">
        <x:v>ENTP</x:v>
      </x:c>
      <x:c r="S83" s="2" t="str">
        <x:v>华南</x:v>
      </x:c>
      <x:c r="T83" s="2" t="str">
        <x:v>在校学生</x:v>
      </x:c>
    </x:row>
    <x:row r="84" ht="24" customHeight="1">
      <x:c r="A84" s="2" t="str">
        <x:v>D000_T04_C080_G075</x:v>
      </x:c>
      <x:c r="B84" s="2" t="str">
        <x:v>A0038</x:v>
      </x:c>
      <x:c r="C84" s="2" t="str">
        <x:v>inside</x:v>
      </x:c>
      <x:c r="D84" s="2" t="n">
        <x:v>4</x:v>
      </x:c>
      <x:c r="E84" s="2" t="n">
        <x:v>1</x:v>
      </x:c>
      <x:c r="F84" s="2" t="n">
        <x:v>4</x:v>
      </x:c>
      <x:c r="G84" s="2" t="str">
        <x:v>observed_post_release</x:v>
      </x:c>
      <x:c r="H84" s="2" t="n">
        <x:f>IF(AND(ISNUMBER(F84),F84&gt;=D84),1,0)</x:f>
        <x:v>1</x:v>
      </x:c>
      <x:c r="I84" s="2" t="n">
        <x:f>IF(AND(ISNUMBER(F84),F84&gt;D84),1,0)</x:f>
        <x:v>0</x:v>
      </x:c>
      <x:c r="J84" s="2" t="n">
        <x:f>IF(H84=1,F84-D84,"")</x:f>
        <x:v>0</x:v>
      </x:c>
      <x:c r="K84" s="2" t="n">
        <x:f>IF(H84=1,F84-E84,"")</x:f>
        <x:v>3</x:v>
      </x:c>
      <x:c r="L84" s="2" t="n">
        <x:v>9</x:v>
      </x:c>
      <x:c r="M84" s="2" t="n">
        <x:v>4</x:v>
      </x:c>
      <x:c r="N84" s="20" t="n">
        <x:v>0</x:v>
      </x:c>
      <x:c r="O84" s="20" t="n">
        <x:v>0.8</x:v>
      </x:c>
      <x:c r="P84" s="20" t="n">
        <x:v>0.75</x:v>
      </x:c>
      <x:c r="Q84" s="2" t="n">
        <x:v>46</x:v>
      </x:c>
      <x:c r="R84" s="2" t="str">
        <x:v>ISTP</x:v>
      </x:c>
      <x:c r="S84" s="2" t="str">
        <x:v>华东</x:v>
      </x:c>
      <x:c r="T84" s="2" t="str">
        <x:v>行政或办公室岗位</x:v>
      </x:c>
    </x:row>
    <x:row r="85" ht="24" customHeight="1">
      <x:c r="A85" s="2" t="str">
        <x:v>D000_T07_C020_G025</x:v>
      </x:c>
      <x:c r="B85" s="2" t="str">
        <x:v>A0001</x:v>
      </x:c>
      <x:c r="C85" s="2" t="str">
        <x:v>inside</x:v>
      </x:c>
      <x:c r="D85" s="2" t="n">
        <x:v>7</x:v>
      </x:c>
      <x:c r="E85" s="2" t="n">
        <x:v>1</x:v>
      </x:c>
      <x:c r="F85" s="2"/>
      <x:c r="G85" s="2" t="str">
        <x:v>right_censored</x:v>
      </x:c>
      <x:c r="H85" s="2" t="n">
        <x:f>IF(AND(ISNUMBER(F85),F85&gt;=D85),1,0)</x:f>
        <x:v>0</x:v>
      </x:c>
      <x:c r="I85" s="2" t="n">
        <x:f>IF(AND(ISNUMBER(F85),F85&gt;D85),1,0)</x:f>
        <x:v>0</x:v>
      </x:c>
      <x:c r="J85" s="2" t="str">
        <x:f>IF(H85=1,F85-D85,"")</x:f>
      </x:c>
      <x:c r="K85" s="2" t="str">
        <x:f>IF(H85=1,F85-E85,"")</x:f>
      </x:c>
      <x:c r="L85" s="2" t="n">
        <x:v>9</x:v>
      </x:c>
      <x:c r="M85" s="2"/>
      <x:c r="N85" s="20" t="n">
        <x:v>0</x:v>
      </x:c>
      <x:c r="O85" s="20" t="n">
        <x:v>0.2</x:v>
      </x:c>
      <x:c r="P85" s="20" t="n">
        <x:v>0.25</x:v>
      </x:c>
      <x:c r="Q85" s="2" t="n">
        <x:v>22</x:v>
      </x:c>
      <x:c r="R85" s="2" t="str">
        <x:v>ESTJ</x:v>
      </x:c>
      <x:c r="S85" s="2" t="str">
        <x:v>华南</x:v>
      </x:c>
      <x:c r="T85" s="2" t="str">
        <x:v>在校学生</x:v>
      </x:c>
    </x:row>
    <x:row r="86" ht="24" customHeight="1">
      <x:c r="A86" s="2" t="str">
        <x:v>D000_T07_C020_G025</x:v>
      </x:c>
      <x:c r="B86" s="2" t="str">
        <x:v>A0011</x:v>
      </x:c>
      <x:c r="C86" s="2" t="str">
        <x:v>inside</x:v>
      </x:c>
      <x:c r="D86" s="2" t="n">
        <x:v>7</x:v>
      </x:c>
      <x:c r="E86" s="2" t="n">
        <x:v>1</x:v>
      </x:c>
      <x:c r="F86" s="2" t="n">
        <x:v>7</x:v>
      </x:c>
      <x:c r="G86" s="2" t="str">
        <x:v>observed_post_release</x:v>
      </x:c>
      <x:c r="H86" s="2" t="n">
        <x:f>IF(AND(ISNUMBER(F86),F86&gt;=D86),1,0)</x:f>
        <x:v>1</x:v>
      </x:c>
      <x:c r="I86" s="2" t="n">
        <x:f>IF(AND(ISNUMBER(F86),F86&gt;D86),1,0)</x:f>
        <x:v>0</x:v>
      </x:c>
      <x:c r="J86" s="2" t="n">
        <x:f>IF(H86=1,F86-D86,"")</x:f>
        <x:v>0</x:v>
      </x:c>
      <x:c r="K86" s="2" t="n">
        <x:f>IF(H86=1,F86-E86,"")</x:f>
        <x:v>6</x:v>
      </x:c>
      <x:c r="L86" s="2" t="n">
        <x:v>9</x:v>
      </x:c>
      <x:c r="M86" s="2" t="n">
        <x:v>7</x:v>
      </x:c>
      <x:c r="N86" s="20" t="n">
        <x:v>0</x:v>
      </x:c>
      <x:c r="O86" s="20" t="n">
        <x:v>0.2</x:v>
      </x:c>
      <x:c r="P86" s="20" t="n">
        <x:v>0.25</x:v>
      </x:c>
      <x:c r="Q86" s="2" t="n">
        <x:v>42</x:v>
      </x:c>
      <x:c r="R86" s="2" t="str">
        <x:v>ENFJ</x:v>
      </x:c>
      <x:c r="S86" s="2" t="str">
        <x:v>西南</x:v>
      </x:c>
      <x:c r="T86" s="2" t="str">
        <x:v>行政或办公室岗位</x:v>
      </x:c>
    </x:row>
    <x:row r="87" ht="24" customHeight="1">
      <x:c r="A87" s="2" t="str">
        <x:v>D000_T07_C020_G025</x:v>
      </x:c>
      <x:c r="B87" s="2" t="str">
        <x:v>A0012</x:v>
      </x:c>
      <x:c r="C87" s="2" t="str">
        <x:v>inside</x:v>
      </x:c>
      <x:c r="D87" s="2" t="n">
        <x:v>7</x:v>
      </x:c>
      <x:c r="E87" s="2" t="n">
        <x:v>1</x:v>
      </x:c>
      <x:c r="F87" s="2"/>
      <x:c r="G87" s="2" t="str">
        <x:v>right_censored</x:v>
      </x:c>
      <x:c r="H87" s="2" t="n">
        <x:f>IF(AND(ISNUMBER(F87),F87&gt;=D87),1,0)</x:f>
        <x:v>0</x:v>
      </x:c>
      <x:c r="I87" s="2" t="n">
        <x:f>IF(AND(ISNUMBER(F87),F87&gt;D87),1,0)</x:f>
        <x:v>0</x:v>
      </x:c>
      <x:c r="J87" s="2" t="str">
        <x:f>IF(H87=1,F87-D87,"")</x:f>
      </x:c>
      <x:c r="K87" s="2" t="str">
        <x:f>IF(H87=1,F87-E87,"")</x:f>
      </x:c>
      <x:c r="L87" s="2" t="n">
        <x:v>9</x:v>
      </x:c>
      <x:c r="M87" s="2"/>
      <x:c r="N87" s="20" t="n">
        <x:v>0</x:v>
      </x:c>
      <x:c r="O87" s="20" t="n">
        <x:v>0.2</x:v>
      </x:c>
      <x:c r="P87" s="20" t="n">
        <x:v>0.25</x:v>
      </x:c>
      <x:c r="Q87" s="2" t="n">
        <x:v>38</x:v>
      </x:c>
      <x:c r="R87" s="2" t="str">
        <x:v>ESFP</x:v>
      </x:c>
      <x:c r="S87" s="2" t="str">
        <x:v>华中</x:v>
      </x:c>
      <x:c r="T87" s="2" t="str">
        <x:v>行政或办公室岗位</x:v>
      </x:c>
    </x:row>
    <x:row r="88" ht="24" customHeight="1">
      <x:c r="A88" s="2" t="str">
        <x:v>D000_T07_C020_G025</x:v>
      </x:c>
      <x:c r="B88" s="2" t="str">
        <x:v>A0014</x:v>
      </x:c>
      <x:c r="C88" s="2" t="str">
        <x:v>inside</x:v>
      </x:c>
      <x:c r="D88" s="2" t="n">
        <x:v>7</x:v>
      </x:c>
      <x:c r="E88" s="2" t="n">
        <x:v>1</x:v>
      </x:c>
      <x:c r="F88" s="2" t="n">
        <x:v>7</x:v>
      </x:c>
      <x:c r="G88" s="2" t="str">
        <x:v>observed_post_release</x:v>
      </x:c>
      <x:c r="H88" s="2" t="n">
        <x:f>IF(AND(ISNUMBER(F88),F88&gt;=D88),1,0)</x:f>
        <x:v>1</x:v>
      </x:c>
      <x:c r="I88" s="2" t="n">
        <x:f>IF(AND(ISNUMBER(F88),F88&gt;D88),1,0)</x:f>
        <x:v>0</x:v>
      </x:c>
      <x:c r="J88" s="2" t="n">
        <x:f>IF(H88=1,F88-D88,"")</x:f>
        <x:v>0</x:v>
      </x:c>
      <x:c r="K88" s="2" t="n">
        <x:f>IF(H88=1,F88-E88,"")</x:f>
        <x:v>6</x:v>
      </x:c>
      <x:c r="L88" s="2" t="n">
        <x:v>9</x:v>
      </x:c>
      <x:c r="M88" s="2" t="n">
        <x:v>7</x:v>
      </x:c>
      <x:c r="N88" s="20" t="n">
        <x:v>0</x:v>
      </x:c>
      <x:c r="O88" s="20" t="n">
        <x:v>0.2</x:v>
      </x:c>
      <x:c r="P88" s="20" t="n">
        <x:v>0.25</x:v>
      </x:c>
      <x:c r="Q88" s="2" t="n">
        <x:v>52</x:v>
      </x:c>
      <x:c r="R88" s="2" t="str">
        <x:v>INFJ</x:v>
      </x:c>
      <x:c r="S88" s="2" t="str">
        <x:v>华东</x:v>
      </x:c>
      <x:c r="T88" s="2" t="str">
        <x:v>生产运输或体力岗位</x:v>
      </x:c>
    </x:row>
    <x:row r="89" ht="24" customHeight="1">
      <x:c r="A89" s="2" t="str">
        <x:v>D000_T07_C020_G025</x:v>
      </x:c>
      <x:c r="B89" s="2" t="str">
        <x:v>A0017</x:v>
      </x:c>
      <x:c r="C89" s="2" t="str">
        <x:v>inside</x:v>
      </x:c>
      <x:c r="D89" s="2" t="n">
        <x:v>7</x:v>
      </x:c>
      <x:c r="E89" s="2" t="n">
        <x:v>1</x:v>
      </x:c>
      <x:c r="F89" s="2"/>
      <x:c r="G89" s="2" t="str">
        <x:v>right_censored</x:v>
      </x:c>
      <x:c r="H89" s="2" t="n">
        <x:f>IF(AND(ISNUMBER(F89),F89&gt;=D89),1,0)</x:f>
        <x:v>0</x:v>
      </x:c>
      <x:c r="I89" s="2" t="n">
        <x:f>IF(AND(ISNUMBER(F89),F89&gt;D89),1,0)</x:f>
        <x:v>0</x:v>
      </x:c>
      <x:c r="J89" s="2" t="str">
        <x:f>IF(H89=1,F89-D89,"")</x:f>
      </x:c>
      <x:c r="K89" s="2" t="str">
        <x:f>IF(H89=1,F89-E89,"")</x:f>
      </x:c>
      <x:c r="L89" s="2" t="n">
        <x:v>9</x:v>
      </x:c>
      <x:c r="M89" s="2"/>
      <x:c r="N89" s="20" t="n">
        <x:v>0</x:v>
      </x:c>
      <x:c r="O89" s="20" t="n">
        <x:v>0.2</x:v>
      </x:c>
      <x:c r="P89" s="20" t="n">
        <x:v>0.25</x:v>
      </x:c>
      <x:c r="Q89" s="2" t="n">
        <x:v>30</x:v>
      </x:c>
      <x:c r="R89" s="2" t="str">
        <x:v>ISTJ</x:v>
      </x:c>
      <x:c r="S89" s="2" t="str">
        <x:v>华东</x:v>
      </x:c>
      <x:c r="T89" s="2" t="str">
        <x:v>商业服务岗位</x:v>
      </x:c>
    </x:row>
    <x:row r="90" ht="24" customHeight="1">
      <x:c r="A90" s="2" t="str">
        <x:v>D000_T07_C020_G025</x:v>
      </x:c>
      <x:c r="B90" s="2" t="str">
        <x:v>A0025</x:v>
      </x:c>
      <x:c r="C90" s="2" t="str">
        <x:v>inside</x:v>
      </x:c>
      <x:c r="D90" s="2" t="n">
        <x:v>7</x:v>
      </x:c>
      <x:c r="E90" s="2" t="n">
        <x:v>1</x:v>
      </x:c>
      <x:c r="F90" s="2" t="n">
        <x:v>9</x:v>
      </x:c>
      <x:c r="G90" s="2" t="str">
        <x:v>observed_post_release</x:v>
      </x:c>
      <x:c r="H90" s="2" t="n">
        <x:f>IF(AND(ISNUMBER(F90),F90&gt;=D90),1,0)</x:f>
        <x:v>1</x:v>
      </x:c>
      <x:c r="I90" s="2" t="n">
        <x:f>IF(AND(ISNUMBER(F90),F90&gt;D90),1,0)</x:f>
        <x:v>1</x:v>
      </x:c>
      <x:c r="J90" s="2" t="n">
        <x:f>IF(H90=1,F90-D90,"")</x:f>
        <x:v>2</x:v>
      </x:c>
      <x:c r="K90" s="2" t="n">
        <x:f>IF(H90=1,F90-E90,"")</x:f>
        <x:v>8</x:v>
      </x:c>
      <x:c r="L90" s="2" t="n">
        <x:v>9</x:v>
      </x:c>
      <x:c r="M90" s="2" t="n">
        <x:v>7</x:v>
      </x:c>
      <x:c r="N90" s="20" t="n">
        <x:v>0</x:v>
      </x:c>
      <x:c r="O90" s="20" t="n">
        <x:v>0.2</x:v>
      </x:c>
      <x:c r="P90" s="20" t="n">
        <x:v>0.25</x:v>
      </x:c>
      <x:c r="Q90" s="2" t="n">
        <x:v>23</x:v>
      </x:c>
      <x:c r="R90" s="2" t="str">
        <x:v>ISTP</x:v>
      </x:c>
      <x:c r="S90" s="2" t="str">
        <x:v>华南</x:v>
      </x:c>
      <x:c r="T90" s="2" t="str">
        <x:v>行政或办公室岗位</x:v>
      </x:c>
    </x:row>
    <x:row r="91" ht="24" customHeight="1">
      <x:c r="A91" s="2" t="str">
        <x:v>D000_T07_C020_G025</x:v>
      </x:c>
      <x:c r="B91" s="2" t="str">
        <x:v>A0033</x:v>
      </x:c>
      <x:c r="C91" s="2" t="str">
        <x:v>inside</x:v>
      </x:c>
      <x:c r="D91" s="2" t="n">
        <x:v>7</x:v>
      </x:c>
      <x:c r="E91" s="2" t="n">
        <x:v>1</x:v>
      </x:c>
      <x:c r="F91" s="2"/>
      <x:c r="G91" s="2" t="str">
        <x:v>right_censored</x:v>
      </x:c>
      <x:c r="H91" s="2" t="n">
        <x:f>IF(AND(ISNUMBER(F91),F91&gt;=D91),1,0)</x:f>
        <x:v>0</x:v>
      </x:c>
      <x:c r="I91" s="2" t="n">
        <x:f>IF(AND(ISNUMBER(F91),F91&gt;D91),1,0)</x:f>
        <x:v>0</x:v>
      </x:c>
      <x:c r="J91" s="2" t="str">
        <x:f>IF(H91=1,F91-D91,"")</x:f>
      </x:c>
      <x:c r="K91" s="2" t="str">
        <x:f>IF(H91=1,F91-E91,"")</x:f>
      </x:c>
      <x:c r="L91" s="2" t="n">
        <x:v>9</x:v>
      </x:c>
      <x:c r="M91" s="2"/>
      <x:c r="N91" s="20" t="n">
        <x:v>0</x:v>
      </x:c>
      <x:c r="O91" s="20" t="n">
        <x:v>0.2</x:v>
      </x:c>
      <x:c r="P91" s="20" t="n">
        <x:v>0.25</x:v>
      </x:c>
      <x:c r="Q91" s="2" t="n">
        <x:v>55</x:v>
      </x:c>
      <x:c r="R91" s="2" t="str">
        <x:v>ENFP</x:v>
      </x:c>
      <x:c r="S91" s="2" t="str">
        <x:v>华南</x:v>
      </x:c>
      <x:c r="T91" s="2" t="str">
        <x:v>个体经营或自由职业</x:v>
      </x:c>
    </x:row>
    <x:row r="92" ht="24" customHeight="1">
      <x:c r="A92" s="2" t="str">
        <x:v>D000_T07_C020_G025</x:v>
      </x:c>
      <x:c r="B92" s="2" t="str">
        <x:v>A0060</x:v>
      </x:c>
      <x:c r="C92" s="2" t="str">
        <x:v>outside</x:v>
      </x:c>
      <x:c r="D92" s="2" t="n">
        <x:v>7</x:v>
      </x:c>
      <x:c r="E92" s="2" t="n">
        <x:v>2</x:v>
      </x:c>
      <x:c r="F92" s="2"/>
      <x:c r="G92" s="2" t="str">
        <x:v>right_censored</x:v>
      </x:c>
      <x:c r="H92" s="2" t="n">
        <x:f>IF(AND(ISNUMBER(F92),F92&gt;=D92),1,0)</x:f>
        <x:v>0</x:v>
      </x:c>
      <x:c r="I92" s="2" t="n">
        <x:f>IF(AND(ISNUMBER(F92),F92&gt;D92),1,0)</x:f>
        <x:v>0</x:v>
      </x:c>
      <x:c r="J92" s="2" t="str">
        <x:f>IF(H92=1,F92-D92,"")</x:f>
      </x:c>
      <x:c r="K92" s="2" t="str">
        <x:f>IF(H92=1,F92-E92,"")</x:f>
      </x:c>
      <x:c r="L92" s="2" t="n">
        <x:v>8</x:v>
      </x:c>
      <x:c r="M92" s="2" t="n">
        <x:v>7</x:v>
      </x:c>
      <x:c r="N92" s="20" t="n">
        <x:v>0</x:v>
      </x:c>
      <x:c r="O92" s="20" t="n">
        <x:v>0.2</x:v>
      </x:c>
      <x:c r="P92" s="20" t="n">
        <x:v>0.25</x:v>
      </x:c>
      <x:c r="Q92" s="2" t="n">
        <x:v>19</x:v>
      </x:c>
      <x:c r="R92" s="2" t="str">
        <x:v>ISFP</x:v>
      </x:c>
      <x:c r="S92" s="2" t="str">
        <x:v>西南</x:v>
      </x:c>
      <x:c r="T92" s="2" t="str">
        <x:v>在校学生</x:v>
      </x:c>
    </x:row>
    <x:row r="93" ht="24" customHeight="1">
      <x:c r="A93" s="2" t="str">
        <x:v>D000_T07_C020_G025</x:v>
      </x:c>
      <x:c r="B93" s="2" t="str">
        <x:v>A0071</x:v>
      </x:c>
      <x:c r="C93" s="2" t="str">
        <x:v>inside</x:v>
      </x:c>
      <x:c r="D93" s="2" t="n">
        <x:v>7</x:v>
      </x:c>
      <x:c r="E93" s="2" t="n">
        <x:v>5</x:v>
      </x:c>
      <x:c r="F93" s="2"/>
      <x:c r="G93" s="2" t="str">
        <x:v>right_censored</x:v>
      </x:c>
      <x:c r="H93" s="2" t="n">
        <x:f>IF(AND(ISNUMBER(F93),F93&gt;=D93),1,0)</x:f>
        <x:v>0</x:v>
      </x:c>
      <x:c r="I93" s="2" t="n">
        <x:f>IF(AND(ISNUMBER(F93),F93&gt;D93),1,0)</x:f>
        <x:v>0</x:v>
      </x:c>
      <x:c r="J93" s="2" t="str">
        <x:f>IF(H93=1,F93-D93,"")</x:f>
      </x:c>
      <x:c r="K93" s="2" t="str">
        <x:f>IF(H93=1,F93-E93,"")</x:f>
      </x:c>
      <x:c r="L93" s="2" t="n">
        <x:v>5</x:v>
      </x:c>
      <x:c r="M93" s="2"/>
      <x:c r="N93" s="20" t="n">
        <x:v>0</x:v>
      </x:c>
      <x:c r="O93" s="20" t="n">
        <x:v>0.2</x:v>
      </x:c>
      <x:c r="P93" s="20" t="n">
        <x:v>0.25</x:v>
      </x:c>
      <x:c r="Q93" s="2" t="n">
        <x:v>33</x:v>
      </x:c>
      <x:c r="R93" s="2" t="str">
        <x:v>ISTJ</x:v>
      </x:c>
      <x:c r="S93" s="2" t="str">
        <x:v>华东</x:v>
      </x:c>
      <x:c r="T93" s="2" t="str">
        <x:v>商业服务岗位</x:v>
      </x:c>
    </x:row>
    <x:row r="94" ht="24" customHeight="1">
      <x:c r="A94" s="2" t="str">
        <x:v>D000_T07_C020_G025</x:v>
      </x:c>
      <x:c r="B94" s="2" t="str">
        <x:v>A0116</x:v>
      </x:c>
      <x:c r="C94" s="2" t="str">
        <x:v>outside</x:v>
      </x:c>
      <x:c r="D94" s="2" t="n">
        <x:v>7</x:v>
      </x:c>
      <x:c r="E94" s="2" t="n">
        <x:v>3</x:v>
      </x:c>
      <x:c r="F94" s="2"/>
      <x:c r="G94" s="2" t="str">
        <x:v>right_censored</x:v>
      </x:c>
      <x:c r="H94" s="2" t="n">
        <x:f>IF(AND(ISNUMBER(F94),F94&gt;=D94),1,0)</x:f>
        <x:v>0</x:v>
      </x:c>
      <x:c r="I94" s="2" t="n">
        <x:f>IF(AND(ISNUMBER(F94),F94&gt;D94),1,0)</x:f>
        <x:v>0</x:v>
      </x:c>
      <x:c r="J94" s="2" t="str">
        <x:f>IF(H94=1,F94-D94,"")</x:f>
      </x:c>
      <x:c r="K94" s="2" t="str">
        <x:f>IF(H94=1,F94-E94,"")</x:f>
      </x:c>
      <x:c r="L94" s="2" t="n">
        <x:v>7</x:v>
      </x:c>
      <x:c r="M94" s="2"/>
      <x:c r="N94" s="20" t="n">
        <x:v>0</x:v>
      </x:c>
      <x:c r="O94" s="20" t="n">
        <x:v>0.2</x:v>
      </x:c>
      <x:c r="P94" s="20" t="n">
        <x:v>0.25</x:v>
      </x:c>
      <x:c r="Q94" s="2" t="n">
        <x:v>32</x:v>
      </x:c>
      <x:c r="R94" s="2" t="str">
        <x:v>INTJ</x:v>
      </x:c>
      <x:c r="S94" s="2" t="str">
        <x:v>西南</x:v>
      </x:c>
      <x:c r="T94" s="2" t="str">
        <x:v>个体经营或自由职业</x:v>
      </x:c>
    </x:row>
    <x:row r="95" ht="24" customHeight="1">
      <x:c r="A95" s="2" t="str">
        <x:v>D000_T07_C020_G025</x:v>
      </x:c>
      <x:c r="B95" s="2" t="str">
        <x:v>A0176</x:v>
      </x:c>
      <x:c r="C95" s="2" t="str">
        <x:v>outside</x:v>
      </x:c>
      <x:c r="D95" s="2" t="n">
        <x:v>7</x:v>
      </x:c>
      <x:c r="E95" s="2" t="n">
        <x:v>9</x:v>
      </x:c>
      <x:c r="F95" s="2"/>
      <x:c r="G95" s="2" t="str">
        <x:v>right_censored</x:v>
      </x:c>
      <x:c r="H95" s="2" t="n">
        <x:f>IF(AND(ISNUMBER(F95),F95&gt;=D95),1,0)</x:f>
        <x:v>0</x:v>
      </x:c>
      <x:c r="I95" s="2" t="n">
        <x:f>IF(AND(ISNUMBER(F95),F95&gt;D95),1,0)</x:f>
        <x:v>0</x:v>
      </x:c>
      <x:c r="J95" s="2" t="str">
        <x:f>IF(H95=1,F95-D95,"")</x:f>
      </x:c>
      <x:c r="K95" s="2" t="str">
        <x:f>IF(H95=1,F95-E95,"")</x:f>
      </x:c>
      <x:c r="L95" s="2" t="n">
        <x:v>1</x:v>
      </x:c>
      <x:c r="M95" s="2"/>
      <x:c r="N95" s="20" t="n">
        <x:v>0</x:v>
      </x:c>
      <x:c r="O95" s="20" t="n">
        <x:v>0.2</x:v>
      </x:c>
      <x:c r="P95" s="20" t="n">
        <x:v>0.25</x:v>
      </x:c>
      <x:c r="Q95" s="2" t="n">
        <x:v>56</x:v>
      </x:c>
      <x:c r="R95" s="2" t="str">
        <x:v>ENFP</x:v>
      </x:c>
      <x:c r="S95" s="2" t="str">
        <x:v>华东</x:v>
      </x:c>
      <x:c r="T95" s="2" t="str">
        <x:v>行政或办公室岗位</x:v>
      </x:c>
    </x:row>
    <x:row r="96" ht="24" customHeight="1">
      <x:c r="A96" s="2" t="str">
        <x:v>D000_T07_C020_G025</x:v>
      </x:c>
      <x:c r="B96" s="2" t="str">
        <x:v>A0189</x:v>
      </x:c>
      <x:c r="C96" s="2" t="str">
        <x:v>inside</x:v>
      </x:c>
      <x:c r="D96" s="2" t="n">
        <x:v>7</x:v>
      </x:c>
      <x:c r="E96" s="2" t="n">
        <x:v>2</x:v>
      </x:c>
      <x:c r="F96" s="2"/>
      <x:c r="G96" s="2" t="str">
        <x:v>right_censored</x:v>
      </x:c>
      <x:c r="H96" s="2" t="n">
        <x:f>IF(AND(ISNUMBER(F96),F96&gt;=D96),1,0)</x:f>
        <x:v>0</x:v>
      </x:c>
      <x:c r="I96" s="2" t="n">
        <x:f>IF(AND(ISNUMBER(F96),F96&gt;D96),1,0)</x:f>
        <x:v>0</x:v>
      </x:c>
      <x:c r="J96" s="2" t="str">
        <x:f>IF(H96=1,F96-D96,"")</x:f>
      </x:c>
      <x:c r="K96" s="2" t="str">
        <x:f>IF(H96=1,F96-E96,"")</x:f>
      </x:c>
      <x:c r="L96" s="2" t="n">
        <x:v>8</x:v>
      </x:c>
      <x:c r="M96" s="2"/>
      <x:c r="N96" s="20" t="n">
        <x:v>0</x:v>
      </x:c>
      <x:c r="O96" s="20" t="n">
        <x:v>0.2</x:v>
      </x:c>
      <x:c r="P96" s="20" t="n">
        <x:v>0.25</x:v>
      </x:c>
      <x:c r="Q96" s="2" t="n">
        <x:v>45</x:v>
      </x:c>
      <x:c r="R96" s="2" t="str">
        <x:v>ISFJ</x:v>
      </x:c>
      <x:c r="S96" s="2" t="str">
        <x:v>西北</x:v>
      </x:c>
      <x:c r="T96" s="2" t="str">
        <x:v>生产运输或体力岗位</x:v>
      </x:c>
    </x:row>
    <x:row r="97" ht="24" customHeight="1">
      <x:c r="A97" s="2" t="str">
        <x:v>D000_T07_C020_G050</x:v>
      </x:c>
      <x:c r="B97" s="2" t="str">
        <x:v>A0011</x:v>
      </x:c>
      <x:c r="C97" s="2" t="str">
        <x:v>inside</x:v>
      </x:c>
      <x:c r="D97" s="2" t="n">
        <x:v>7</x:v>
      </x:c>
      <x:c r="E97" s="2" t="n">
        <x:v>1</x:v>
      </x:c>
      <x:c r="F97" s="2" t="n">
        <x:v>7</x:v>
      </x:c>
      <x:c r="G97" s="2" t="str">
        <x:v>observed_post_release</x:v>
      </x:c>
      <x:c r="H97" s="2" t="n">
        <x:f>IF(AND(ISNUMBER(F97),F97&gt;=D97),1,0)</x:f>
        <x:v>1</x:v>
      </x:c>
      <x:c r="I97" s="2" t="n">
        <x:f>IF(AND(ISNUMBER(F97),F97&gt;D97),1,0)</x:f>
        <x:v>0</x:v>
      </x:c>
      <x:c r="J97" s="2" t="n">
        <x:f>IF(H97=1,F97-D97,"")</x:f>
        <x:v>0</x:v>
      </x:c>
      <x:c r="K97" s="2" t="n">
        <x:f>IF(H97=1,F97-E97,"")</x:f>
        <x:v>6</x:v>
      </x:c>
      <x:c r="L97" s="2" t="n">
        <x:v>9</x:v>
      </x:c>
      <x:c r="M97" s="2" t="n">
        <x:v>7</x:v>
      </x:c>
      <x:c r="N97" s="20" t="n">
        <x:v>0</x:v>
      </x:c>
      <x:c r="O97" s="20" t="n">
        <x:v>0.2</x:v>
      </x:c>
      <x:c r="P97" s="20" t="n">
        <x:v>0.5</x:v>
      </x:c>
      <x:c r="Q97" s="2" t="n">
        <x:v>42</x:v>
      </x:c>
      <x:c r="R97" s="2" t="str">
        <x:v>ENFJ</x:v>
      </x:c>
      <x:c r="S97" s="2" t="str">
        <x:v>西南</x:v>
      </x:c>
      <x:c r="T97" s="2" t="str">
        <x:v>行政或办公室岗位</x:v>
      </x:c>
    </x:row>
    <x:row r="98" ht="24" customHeight="1">
      <x:c r="A98" s="2" t="str">
        <x:v>D000_T07_C020_G050</x:v>
      </x:c>
      <x:c r="B98" s="2" t="str">
        <x:v>A0012</x:v>
      </x:c>
      <x:c r="C98" s="2" t="str">
        <x:v>inside</x:v>
      </x:c>
      <x:c r="D98" s="2" t="n">
        <x:v>7</x:v>
      </x:c>
      <x:c r="E98" s="2" t="n">
        <x:v>1</x:v>
      </x:c>
      <x:c r="F98" s="2" t="n">
        <x:v>9</x:v>
      </x:c>
      <x:c r="G98" s="2" t="str">
        <x:v>observed_post_release</x:v>
      </x:c>
      <x:c r="H98" s="2" t="n">
        <x:f>IF(AND(ISNUMBER(F98),F98&gt;=D98),1,0)</x:f>
        <x:v>1</x:v>
      </x:c>
      <x:c r="I98" s="2" t="n">
        <x:f>IF(AND(ISNUMBER(F98),F98&gt;D98),1,0)</x:f>
        <x:v>1</x:v>
      </x:c>
      <x:c r="J98" s="2" t="n">
        <x:f>IF(H98=1,F98-D98,"")</x:f>
        <x:v>2</x:v>
      </x:c>
      <x:c r="K98" s="2" t="n">
        <x:f>IF(H98=1,F98-E98,"")</x:f>
        <x:v>8</x:v>
      </x:c>
      <x:c r="L98" s="2" t="n">
        <x:v>9</x:v>
      </x:c>
      <x:c r="M98" s="2" t="n">
        <x:v>8</x:v>
      </x:c>
      <x:c r="N98" s="20" t="n">
        <x:v>0</x:v>
      </x:c>
      <x:c r="O98" s="20" t="n">
        <x:v>0.2</x:v>
      </x:c>
      <x:c r="P98" s="20" t="n">
        <x:v>0.5</x:v>
      </x:c>
      <x:c r="Q98" s="2" t="n">
        <x:v>38</x:v>
      </x:c>
      <x:c r="R98" s="2" t="str">
        <x:v>ESFP</x:v>
      </x:c>
      <x:c r="S98" s="2" t="str">
        <x:v>华中</x:v>
      </x:c>
      <x:c r="T98" s="2" t="str">
        <x:v>行政或办公室岗位</x:v>
      </x:c>
    </x:row>
    <x:row r="99" ht="24" customHeight="1">
      <x:c r="A99" s="2" t="str">
        <x:v>D000_T07_C020_G050</x:v>
      </x:c>
      <x:c r="B99" s="2" t="str">
        <x:v>A0014</x:v>
      </x:c>
      <x:c r="C99" s="2" t="str">
        <x:v>inside</x:v>
      </x:c>
      <x:c r="D99" s="2" t="n">
        <x:v>7</x:v>
      </x:c>
      <x:c r="E99" s="2" t="n">
        <x:v>1</x:v>
      </x:c>
      <x:c r="F99" s="2" t="n">
        <x:v>7</x:v>
      </x:c>
      <x:c r="G99" s="2" t="str">
        <x:v>observed_post_release</x:v>
      </x:c>
      <x:c r="H99" s="2" t="n">
        <x:f>IF(AND(ISNUMBER(F99),F99&gt;=D99),1,0)</x:f>
        <x:v>1</x:v>
      </x:c>
      <x:c r="I99" s="2" t="n">
        <x:f>IF(AND(ISNUMBER(F99),F99&gt;D99),1,0)</x:f>
        <x:v>0</x:v>
      </x:c>
      <x:c r="J99" s="2" t="n">
        <x:f>IF(H99=1,F99-D99,"")</x:f>
        <x:v>0</x:v>
      </x:c>
      <x:c r="K99" s="2" t="n">
        <x:f>IF(H99=1,F99-E99,"")</x:f>
        <x:v>6</x:v>
      </x:c>
      <x:c r="L99" s="2" t="n">
        <x:v>9</x:v>
      </x:c>
      <x:c r="M99" s="2" t="n">
        <x:v>7</x:v>
      </x:c>
      <x:c r="N99" s="20" t="n">
        <x:v>0</x:v>
      </x:c>
      <x:c r="O99" s="20" t="n">
        <x:v>0.2</x:v>
      </x:c>
      <x:c r="P99" s="20" t="n">
        <x:v>0.5</x:v>
      </x:c>
      <x:c r="Q99" s="2" t="n">
        <x:v>52</x:v>
      </x:c>
      <x:c r="R99" s="2" t="str">
        <x:v>INFJ</x:v>
      </x:c>
      <x:c r="S99" s="2" t="str">
        <x:v>华东</x:v>
      </x:c>
      <x:c r="T99" s="2" t="str">
        <x:v>生产运输或体力岗位</x:v>
      </x:c>
    </x:row>
    <x:row r="100" ht="24" customHeight="1">
      <x:c r="A100" s="2" t="str">
        <x:v>D000_T07_C020_G050</x:v>
      </x:c>
      <x:c r="B100" s="2" t="str">
        <x:v>A0017</x:v>
      </x:c>
      <x:c r="C100" s="2" t="str">
        <x:v>inside</x:v>
      </x:c>
      <x:c r="D100" s="2" t="n">
        <x:v>7</x:v>
      </x:c>
      <x:c r="E100" s="2" t="n">
        <x:v>1</x:v>
      </x:c>
      <x:c r="F100" s="2" t="n">
        <x:v>10</x:v>
      </x:c>
      <x:c r="G100" s="2" t="str">
        <x:v>observed_post_release</x:v>
      </x:c>
      <x:c r="H100" s="2" t="n">
        <x:f>IF(AND(ISNUMBER(F100),F100&gt;=D100),1,0)</x:f>
        <x:v>1</x:v>
      </x:c>
      <x:c r="I100" s="2" t="n">
        <x:f>IF(AND(ISNUMBER(F100),F100&gt;D100),1,0)</x:f>
        <x:v>1</x:v>
      </x:c>
      <x:c r="J100" s="2" t="n">
        <x:f>IF(H100=1,F100-D100,"")</x:f>
        <x:v>3</x:v>
      </x:c>
      <x:c r="K100" s="2" t="n">
        <x:f>IF(H100=1,F100-E100,"")</x:f>
        <x:v>9</x:v>
      </x:c>
      <x:c r="L100" s="2" t="n">
        <x:v>9</x:v>
      </x:c>
      <x:c r="M100" s="2" t="n">
        <x:v>10</x:v>
      </x:c>
      <x:c r="N100" s="20" t="n">
        <x:v>0</x:v>
      </x:c>
      <x:c r="O100" s="20" t="n">
        <x:v>0.2</x:v>
      </x:c>
      <x:c r="P100" s="20" t="n">
        <x:v>0.5</x:v>
      </x:c>
      <x:c r="Q100" s="2" t="n">
        <x:v>30</x:v>
      </x:c>
      <x:c r="R100" s="2" t="str">
        <x:v>ISTJ</x:v>
      </x:c>
      <x:c r="S100" s="2" t="str">
        <x:v>华东</x:v>
      </x:c>
      <x:c r="T100" s="2" t="str">
        <x:v>商业服务岗位</x:v>
      </x:c>
    </x:row>
    <x:row r="101" ht="24" customHeight="1">
      <x:c r="A101" s="2" t="str">
        <x:v>D000_T07_C020_G050</x:v>
      </x:c>
      <x:c r="B101" s="2" t="str">
        <x:v>A0018</x:v>
      </x:c>
      <x:c r="C101" s="2" t="str">
        <x:v>inside</x:v>
      </x:c>
      <x:c r="D101" s="2" t="n">
        <x:v>7</x:v>
      </x:c>
      <x:c r="E101" s="2" t="n">
        <x:v>1</x:v>
      </x:c>
      <x:c r="F101" s="2"/>
      <x:c r="G101" s="2" t="str">
        <x:v>right_censored</x:v>
      </x:c>
      <x:c r="H101" s="2" t="n">
        <x:f>IF(AND(ISNUMBER(F101),F101&gt;=D101),1,0)</x:f>
        <x:v>0</x:v>
      </x:c>
      <x:c r="I101" s="2" t="n">
        <x:f>IF(AND(ISNUMBER(F101),F101&gt;D101),1,0)</x:f>
        <x:v>0</x:v>
      </x:c>
      <x:c r="J101" s="2" t="str">
        <x:f>IF(H101=1,F101-D101,"")</x:f>
      </x:c>
      <x:c r="K101" s="2" t="str">
        <x:f>IF(H101=1,F101-E101,"")</x:f>
      </x:c>
      <x:c r="L101" s="2" t="n">
        <x:v>9</x:v>
      </x:c>
      <x:c r="M101" s="2" t="n">
        <x:v>10</x:v>
      </x:c>
      <x:c r="N101" s="20" t="n">
        <x:v>0</x:v>
      </x:c>
      <x:c r="O101" s="20" t="n">
        <x:v>0.2</x:v>
      </x:c>
      <x:c r="P101" s="20" t="n">
        <x:v>0.5</x:v>
      </x:c>
      <x:c r="Q101" s="2" t="n">
        <x:v>60</x:v>
      </x:c>
      <x:c r="R101" s="2" t="str">
        <x:v>INTJ</x:v>
      </x:c>
      <x:c r="S101" s="2" t="str">
        <x:v>华南</x:v>
      </x:c>
      <x:c r="T101" s="2" t="str">
        <x:v>专业技术岗位</x:v>
      </x:c>
    </x:row>
    <x:row r="102" ht="24" customHeight="1">
      <x:c r="A102" s="2" t="str">
        <x:v>D000_T07_C020_G050</x:v>
      </x:c>
      <x:c r="B102" s="2" t="str">
        <x:v>A0027</x:v>
      </x:c>
      <x:c r="C102" s="2" t="str">
        <x:v>inside</x:v>
      </x:c>
      <x:c r="D102" s="2" t="n">
        <x:v>7</x:v>
      </x:c>
      <x:c r="E102" s="2" t="n">
        <x:v>1</x:v>
      </x:c>
      <x:c r="F102" s="2"/>
      <x:c r="G102" s="2" t="str">
        <x:v>right_censored</x:v>
      </x:c>
      <x:c r="H102" s="2" t="n">
        <x:f>IF(AND(ISNUMBER(F102),F102&gt;=D102),1,0)</x:f>
        <x:v>0</x:v>
      </x:c>
      <x:c r="I102" s="2" t="n">
        <x:f>IF(AND(ISNUMBER(F102),F102&gt;D102),1,0)</x:f>
        <x:v>0</x:v>
      </x:c>
      <x:c r="J102" s="2" t="str">
        <x:f>IF(H102=1,F102-D102,"")</x:f>
      </x:c>
      <x:c r="K102" s="2" t="str">
        <x:f>IF(H102=1,F102-E102,"")</x:f>
      </x:c>
      <x:c r="L102" s="2" t="n">
        <x:v>9</x:v>
      </x:c>
      <x:c r="M102" s="2"/>
      <x:c r="N102" s="20" t="n">
        <x:v>0</x:v>
      </x:c>
      <x:c r="O102" s="20" t="n">
        <x:v>0.2</x:v>
      </x:c>
      <x:c r="P102" s="20" t="n">
        <x:v>0.5</x:v>
      </x:c>
      <x:c r="Q102" s="2" t="n">
        <x:v>25</x:v>
      </x:c>
      <x:c r="R102" s="2" t="str">
        <x:v>ESFP</x:v>
      </x:c>
      <x:c r="S102" s="2" t="str">
        <x:v>西北</x:v>
      </x:c>
      <x:c r="T102" s="2" t="str">
        <x:v>暂未就业或家庭照料</x:v>
      </x:c>
    </x:row>
    <x:row r="103" ht="24" customHeight="1">
      <x:c r="A103" s="2" t="str">
        <x:v>D000_T07_C020_G050</x:v>
      </x:c>
      <x:c r="B103" s="2" t="str">
        <x:v>A0032</x:v>
      </x:c>
      <x:c r="C103" s="2" t="str">
        <x:v>inside</x:v>
      </x:c>
      <x:c r="D103" s="2" t="n">
        <x:v>7</x:v>
      </x:c>
      <x:c r="E103" s="2" t="n">
        <x:v>1</x:v>
      </x:c>
      <x:c r="F103" s="2" t="n">
        <x:v>7</x:v>
      </x:c>
      <x:c r="G103" s="2" t="str">
        <x:v>observed_post_release</x:v>
      </x:c>
      <x:c r="H103" s="2" t="n">
        <x:f>IF(AND(ISNUMBER(F103),F103&gt;=D103),1,0)</x:f>
        <x:v>1</x:v>
      </x:c>
      <x:c r="I103" s="2" t="n">
        <x:f>IF(AND(ISNUMBER(F103),F103&gt;D103),1,0)</x:f>
        <x:v>0</x:v>
      </x:c>
      <x:c r="J103" s="2" t="n">
        <x:f>IF(H103=1,F103-D103,"")</x:f>
        <x:v>0</x:v>
      </x:c>
      <x:c r="K103" s="2" t="n">
        <x:f>IF(H103=1,F103-E103,"")</x:f>
        <x:v>6</x:v>
      </x:c>
      <x:c r="L103" s="2" t="n">
        <x:v>9</x:v>
      </x:c>
      <x:c r="M103" s="2" t="n">
        <x:v>7</x:v>
      </x:c>
      <x:c r="N103" s="20" t="n">
        <x:v>0</x:v>
      </x:c>
      <x:c r="O103" s="20" t="n">
        <x:v>0.2</x:v>
      </x:c>
      <x:c r="P103" s="20" t="n">
        <x:v>0.5</x:v>
      </x:c>
      <x:c r="Q103" s="2" t="n">
        <x:v>53</x:v>
      </x:c>
      <x:c r="R103" s="2" t="str">
        <x:v>INTP</x:v>
      </x:c>
      <x:c r="S103" s="2" t="str">
        <x:v>华北</x:v>
      </x:c>
      <x:c r="T103" s="2" t="str">
        <x:v>个体经营或自由职业</x:v>
      </x:c>
    </x:row>
    <x:row r="104" ht="24" customHeight="1">
      <x:c r="A104" s="2" t="str">
        <x:v>D000_T07_C020_G050</x:v>
      </x:c>
      <x:c r="B104" s="2" t="str">
        <x:v>A0159</x:v>
      </x:c>
      <x:c r="C104" s="2" t="str">
        <x:v>outside</x:v>
      </x:c>
      <x:c r="D104" s="2" t="n">
        <x:v>7</x:v>
      </x:c>
      <x:c r="E104" s="2" t="n">
        <x:v>3</x:v>
      </x:c>
      <x:c r="F104" s="2"/>
      <x:c r="G104" s="2" t="str">
        <x:v>right_censored</x:v>
      </x:c>
      <x:c r="H104" s="2" t="n">
        <x:f>IF(AND(ISNUMBER(F104),F104&gt;=D104),1,0)</x:f>
        <x:v>0</x:v>
      </x:c>
      <x:c r="I104" s="2" t="n">
        <x:f>IF(AND(ISNUMBER(F104),F104&gt;D104),1,0)</x:f>
        <x:v>0</x:v>
      </x:c>
      <x:c r="J104" s="2" t="str">
        <x:f>IF(H104=1,F104-D104,"")</x:f>
      </x:c>
      <x:c r="K104" s="2" t="str">
        <x:f>IF(H104=1,F104-E104,"")</x:f>
      </x:c>
      <x:c r="L104" s="2" t="n">
        <x:v>7</x:v>
      </x:c>
      <x:c r="M104" s="2" t="n">
        <x:v>9</x:v>
      </x:c>
      <x:c r="N104" s="20" t="n">
        <x:v>0</x:v>
      </x:c>
      <x:c r="O104" s="20" t="n">
        <x:v>0.2</x:v>
      </x:c>
      <x:c r="P104" s="20" t="n">
        <x:v>0.5</x:v>
      </x:c>
      <x:c r="Q104" s="2" t="n">
        <x:v>42</x:v>
      </x:c>
      <x:c r="R104" s="2" t="str">
        <x:v>INTP</x:v>
      </x:c>
      <x:c r="S104" s="2" t="str">
        <x:v>华东</x:v>
      </x:c>
      <x:c r="T104" s="2" t="str">
        <x:v>个体经营或自由职业</x:v>
      </x:c>
    </x:row>
    <x:row r="105" ht="24" customHeight="1">
      <x:c r="A105" s="2" t="str">
        <x:v>D000_T07_C020_G075</x:v>
      </x:c>
      <x:c r="B105" s="2" t="str">
        <x:v>A0005</x:v>
      </x:c>
      <x:c r="C105" s="2" t="str">
        <x:v>inside</x:v>
      </x:c>
      <x:c r="D105" s="2" t="n">
        <x:v>7</x:v>
      </x:c>
      <x:c r="E105" s="2" t="n">
        <x:v>7</x:v>
      </x:c>
      <x:c r="F105" s="2" t="n">
        <x:v>10</x:v>
      </x:c>
      <x:c r="G105" s="2" t="str">
        <x:v>observed_post_release</x:v>
      </x:c>
      <x:c r="H105" s="2" t="n">
        <x:f>IF(AND(ISNUMBER(F105),F105&gt;=D105),1,0)</x:f>
        <x:v>1</x:v>
      </x:c>
      <x:c r="I105" s="2" t="n">
        <x:f>IF(AND(ISNUMBER(F105),F105&gt;D105),1,0)</x:f>
        <x:v>1</x:v>
      </x:c>
      <x:c r="J105" s="2" t="n">
        <x:f>IF(H105=1,F105-D105,"")</x:f>
        <x:v>3</x:v>
      </x:c>
      <x:c r="K105" s="2" t="n">
        <x:f>IF(H105=1,F105-E105,"")</x:f>
        <x:v>3</x:v>
      </x:c>
      <x:c r="L105" s="2" t="n">
        <x:v>3</x:v>
      </x:c>
      <x:c r="M105" s="2" t="n">
        <x:v>10</x:v>
      </x:c>
      <x:c r="N105" s="20" t="n">
        <x:v>0</x:v>
      </x:c>
      <x:c r="O105" s="20" t="n">
        <x:v>0.2</x:v>
      </x:c>
      <x:c r="P105" s="20" t="n">
        <x:v>0.75</x:v>
      </x:c>
      <x:c r="Q105" s="2" t="n">
        <x:v>51</x:v>
      </x:c>
      <x:c r="R105" s="2" t="str">
        <x:v>ISTP</x:v>
      </x:c>
      <x:c r="S105" s="2" t="str">
        <x:v>华南</x:v>
      </x:c>
      <x:c r="T105" s="2" t="str">
        <x:v>生产运输或体力岗位</x:v>
      </x:c>
    </x:row>
    <x:row r="106" ht="24" customHeight="1">
      <x:c r="A106" s="2" t="str">
        <x:v>D000_T07_C020_G075</x:v>
      </x:c>
      <x:c r="B106" s="2" t="str">
        <x:v>A0011</x:v>
      </x:c>
      <x:c r="C106" s="2" t="str">
        <x:v>inside</x:v>
      </x:c>
      <x:c r="D106" s="2" t="n">
        <x:v>7</x:v>
      </x:c>
      <x:c r="E106" s="2" t="n">
        <x:v>1</x:v>
      </x:c>
      <x:c r="F106" s="2" t="n">
        <x:v>8</x:v>
      </x:c>
      <x:c r="G106" s="2" t="str">
        <x:v>observed_post_release</x:v>
      </x:c>
      <x:c r="H106" s="2" t="n">
        <x:f>IF(AND(ISNUMBER(F106),F106&gt;=D106),1,0)</x:f>
        <x:v>1</x:v>
      </x:c>
      <x:c r="I106" s="2" t="n">
        <x:f>IF(AND(ISNUMBER(F106),F106&gt;D106),1,0)</x:f>
        <x:v>1</x:v>
      </x:c>
      <x:c r="J106" s="2" t="n">
        <x:f>IF(H106=1,F106-D106,"")</x:f>
        <x:v>1</x:v>
      </x:c>
      <x:c r="K106" s="2" t="n">
        <x:f>IF(H106=1,F106-E106,"")</x:f>
        <x:v>7</x:v>
      </x:c>
      <x:c r="L106" s="2" t="n">
        <x:v>9</x:v>
      </x:c>
      <x:c r="M106" s="2" t="n">
        <x:v>7</x:v>
      </x:c>
      <x:c r="N106" s="20" t="n">
        <x:v>0</x:v>
      </x:c>
      <x:c r="O106" s="20" t="n">
        <x:v>0.2</x:v>
      </x:c>
      <x:c r="P106" s="20" t="n">
        <x:v>0.75</x:v>
      </x:c>
      <x:c r="Q106" s="2" t="n">
        <x:v>42</x:v>
      </x:c>
      <x:c r="R106" s="2" t="str">
        <x:v>ENFJ</x:v>
      </x:c>
      <x:c r="S106" s="2" t="str">
        <x:v>西南</x:v>
      </x:c>
      <x:c r="T106" s="2" t="str">
        <x:v>行政或办公室岗位</x:v>
      </x:c>
    </x:row>
    <x:row r="107" ht="24" customHeight="1">
      <x:c r="A107" s="2" t="str">
        <x:v>D000_T07_C020_G075</x:v>
      </x:c>
      <x:c r="B107" s="2" t="str">
        <x:v>A0017</x:v>
      </x:c>
      <x:c r="C107" s="2" t="str">
        <x:v>inside</x:v>
      </x:c>
      <x:c r="D107" s="2" t="n">
        <x:v>7</x:v>
      </x:c>
      <x:c r="E107" s="2" t="n">
        <x:v>1</x:v>
      </x:c>
      <x:c r="F107" s="2" t="n">
        <x:v>10</x:v>
      </x:c>
      <x:c r="G107" s="2" t="str">
        <x:v>observed_post_release</x:v>
      </x:c>
      <x:c r="H107" s="2" t="n">
        <x:f>IF(AND(ISNUMBER(F107),F107&gt;=D107),1,0)</x:f>
        <x:v>1</x:v>
      </x:c>
      <x:c r="I107" s="2" t="n">
        <x:f>IF(AND(ISNUMBER(F107),F107&gt;D107),1,0)</x:f>
        <x:v>1</x:v>
      </x:c>
      <x:c r="J107" s="2" t="n">
        <x:f>IF(H107=1,F107-D107,"")</x:f>
        <x:v>3</x:v>
      </x:c>
      <x:c r="K107" s="2" t="n">
        <x:f>IF(H107=1,F107-E107,"")</x:f>
        <x:v>9</x:v>
      </x:c>
      <x:c r="L107" s="2" t="n">
        <x:v>9</x:v>
      </x:c>
      <x:c r="M107" s="2" t="n">
        <x:v>10</x:v>
      </x:c>
      <x:c r="N107" s="20" t="n">
        <x:v>0</x:v>
      </x:c>
      <x:c r="O107" s="20" t="n">
        <x:v>0.2</x:v>
      </x:c>
      <x:c r="P107" s="20" t="n">
        <x:v>0.75</x:v>
      </x:c>
      <x:c r="Q107" s="2" t="n">
        <x:v>30</x:v>
      </x:c>
      <x:c r="R107" s="2" t="str">
        <x:v>ISTJ</x:v>
      </x:c>
      <x:c r="S107" s="2" t="str">
        <x:v>华东</x:v>
      </x:c>
      <x:c r="T107" s="2" t="str">
        <x:v>商业服务岗位</x:v>
      </x:c>
    </x:row>
    <x:row r="108" ht="24" customHeight="1">
      <x:c r="A108" s="2" t="str">
        <x:v>D000_T07_C020_G075</x:v>
      </x:c>
      <x:c r="B108" s="2" t="str">
        <x:v>A0024</x:v>
      </x:c>
      <x:c r="C108" s="2" t="str">
        <x:v>inside</x:v>
      </x:c>
      <x:c r="D108" s="2" t="n">
        <x:v>7</x:v>
      </x:c>
      <x:c r="E108" s="2" t="n">
        <x:v>1</x:v>
      </x:c>
      <x:c r="F108" s="2" t="n">
        <x:v>9</x:v>
      </x:c>
      <x:c r="G108" s="2" t="str">
        <x:v>observed_post_release</x:v>
      </x:c>
      <x:c r="H108" s="2" t="n">
        <x:f>IF(AND(ISNUMBER(F108),F108&gt;=D108),1,0)</x:f>
        <x:v>1</x:v>
      </x:c>
      <x:c r="I108" s="2" t="n">
        <x:f>IF(AND(ISNUMBER(F108),F108&gt;D108),1,0)</x:f>
        <x:v>1</x:v>
      </x:c>
      <x:c r="J108" s="2" t="n">
        <x:f>IF(H108=1,F108-D108,"")</x:f>
        <x:v>2</x:v>
      </x:c>
      <x:c r="K108" s="2" t="n">
        <x:f>IF(H108=1,F108-E108,"")</x:f>
        <x:v>8</x:v>
      </x:c>
      <x:c r="L108" s="2" t="n">
        <x:v>9</x:v>
      </x:c>
      <x:c r="M108" s="2" t="n">
        <x:v>9</x:v>
      </x:c>
      <x:c r="N108" s="20" t="n">
        <x:v>0</x:v>
      </x:c>
      <x:c r="O108" s="20" t="n">
        <x:v>0.2</x:v>
      </x:c>
      <x:c r="P108" s="20" t="n">
        <x:v>0.75</x:v>
      </x:c>
      <x:c r="Q108" s="2" t="n">
        <x:v>31</x:v>
      </x:c>
      <x:c r="R108" s="2" t="str">
        <x:v>ESTP</x:v>
      </x:c>
      <x:c r="S108" s="2" t="str">
        <x:v>华北</x:v>
      </x:c>
      <x:c r="T108" s="2" t="str">
        <x:v>商业服务岗位</x:v>
      </x:c>
    </x:row>
    <x:row r="109" ht="24" customHeight="1">
      <x:c r="A109" s="2" t="str">
        <x:v>D000_T07_C020_G075</x:v>
      </x:c>
      <x:c r="B109" s="2" t="str">
        <x:v>A0040</x:v>
      </x:c>
      <x:c r="C109" s="2" t="str">
        <x:v>inside</x:v>
      </x:c>
      <x:c r="D109" s="2" t="n">
        <x:v>7</x:v>
      </x:c>
      <x:c r="E109" s="2" t="n">
        <x:v>1</x:v>
      </x:c>
      <x:c r="F109" s="2" t="n">
        <x:v>10</x:v>
      </x:c>
      <x:c r="G109" s="2" t="str">
        <x:v>observed_post_release</x:v>
      </x:c>
      <x:c r="H109" s="2" t="n">
        <x:f>IF(AND(ISNUMBER(F109),F109&gt;=D109),1,0)</x:f>
        <x:v>1</x:v>
      </x:c>
      <x:c r="I109" s="2" t="n">
        <x:f>IF(AND(ISNUMBER(F109),F109&gt;D109),1,0)</x:f>
        <x:v>1</x:v>
      </x:c>
      <x:c r="J109" s="2" t="n">
        <x:f>IF(H109=1,F109-D109,"")</x:f>
        <x:v>3</x:v>
      </x:c>
      <x:c r="K109" s="2" t="n">
        <x:f>IF(H109=1,F109-E109,"")</x:f>
        <x:v>9</x:v>
      </x:c>
      <x:c r="L109" s="2" t="n">
        <x:v>9</x:v>
      </x:c>
      <x:c r="M109" s="2" t="n">
        <x:v>9</x:v>
      </x:c>
      <x:c r="N109" s="20" t="n">
        <x:v>0</x:v>
      </x:c>
      <x:c r="O109" s="20" t="n">
        <x:v>0.2</x:v>
      </x:c>
      <x:c r="P109" s="20" t="n">
        <x:v>0.75</x:v>
      </x:c>
      <x:c r="Q109" s="2" t="n">
        <x:v>48</x:v>
      </x:c>
      <x:c r="R109" s="2" t="str">
        <x:v>INFP</x:v>
      </x:c>
      <x:c r="S109" s="2" t="str">
        <x:v>西北</x:v>
      </x:c>
      <x:c r="T109" s="2" t="str">
        <x:v>个体经营或自由职业</x:v>
      </x:c>
    </x:row>
    <x:row r="110" ht="24" customHeight="1">
      <x:c r="A110" s="2" t="str">
        <x:v>D000_T07_C020_G075</x:v>
      </x:c>
      <x:c r="B110" s="2" t="str">
        <x:v>A0198</x:v>
      </x:c>
      <x:c r="C110" s="2" t="str">
        <x:v>outside</x:v>
      </x:c>
      <x:c r="D110" s="2" t="n">
        <x:v>7</x:v>
      </x:c>
      <x:c r="E110" s="2" t="n">
        <x:v>3</x:v>
      </x:c>
      <x:c r="F110" s="2" t="n">
        <x:v>7</x:v>
      </x:c>
      <x:c r="G110" s="2" t="str">
        <x:v>observed_post_release</x:v>
      </x:c>
      <x:c r="H110" s="2" t="n">
        <x:f>IF(AND(ISNUMBER(F110),F110&gt;=D110),1,0)</x:f>
        <x:v>1</x:v>
      </x:c>
      <x:c r="I110" s="2" t="n">
        <x:f>IF(AND(ISNUMBER(F110),F110&gt;D110),1,0)</x:f>
        <x:v>0</x:v>
      </x:c>
      <x:c r="J110" s="2" t="n">
        <x:f>IF(H110=1,F110-D110,"")</x:f>
        <x:v>0</x:v>
      </x:c>
      <x:c r="K110" s="2" t="n">
        <x:f>IF(H110=1,F110-E110,"")</x:f>
        <x:v>4</x:v>
      </x:c>
      <x:c r="L110" s="2" t="n">
        <x:v>7</x:v>
      </x:c>
      <x:c r="M110" s="2" t="n">
        <x:v>7</x:v>
      </x:c>
      <x:c r="N110" s="20" t="n">
        <x:v>0</x:v>
      </x:c>
      <x:c r="O110" s="20" t="n">
        <x:v>0.2</x:v>
      </x:c>
      <x:c r="P110" s="20" t="n">
        <x:v>0.75</x:v>
      </x:c>
      <x:c r="Q110" s="2" t="n">
        <x:v>23</x:v>
      </x:c>
      <x:c r="R110" s="2" t="str">
        <x:v>ISTJ</x:v>
      </x:c>
      <x:c r="S110" s="2" t="str">
        <x:v>华南</x:v>
      </x:c>
      <x:c r="T110" s="2" t="str">
        <x:v>暂未就业或家庭照料</x:v>
      </x:c>
    </x:row>
    <x:row r="111" ht="24" customHeight="1">
      <x:c r="A111" s="2" t="str">
        <x:v>D000_T07_C080_G025</x:v>
      </x:c>
      <x:c r="B111" s="2" t="str">
        <x:v>A0005</x:v>
      </x:c>
      <x:c r="C111" s="2" t="str">
        <x:v>inside</x:v>
      </x:c>
      <x:c r="D111" s="2" t="n">
        <x:v>7</x:v>
      </x:c>
      <x:c r="E111" s="2" t="n">
        <x:v>5</x:v>
      </x:c>
      <x:c r="F111" s="2" t="n">
        <x:v>7</x:v>
      </x:c>
      <x:c r="G111" s="2" t="str">
        <x:v>observed_post_release</x:v>
      </x:c>
      <x:c r="H111" s="2" t="n">
        <x:f>IF(AND(ISNUMBER(F111),F111&gt;=D111),1,0)</x:f>
        <x:v>1</x:v>
      </x:c>
      <x:c r="I111" s="2" t="n">
        <x:f>IF(AND(ISNUMBER(F111),F111&gt;D111),1,0)</x:f>
        <x:v>0</x:v>
      </x:c>
      <x:c r="J111" s="2" t="n">
        <x:f>IF(H111=1,F111-D111,"")</x:f>
        <x:v>0</x:v>
      </x:c>
      <x:c r="K111" s="2" t="n">
        <x:f>IF(H111=1,F111-E111,"")</x:f>
        <x:v>2</x:v>
      </x:c>
      <x:c r="L111" s="2" t="n">
        <x:v>5</x:v>
      </x:c>
      <x:c r="M111" s="2" t="n">
        <x:v>7</x:v>
      </x:c>
      <x:c r="N111" s="20" t="n">
        <x:v>0</x:v>
      </x:c>
      <x:c r="O111" s="20" t="n">
        <x:v>0.8</x:v>
      </x:c>
      <x:c r="P111" s="20" t="n">
        <x:v>0.25</x:v>
      </x:c>
      <x:c r="Q111" s="2" t="n">
        <x:v>51</x:v>
      </x:c>
      <x:c r="R111" s="2" t="str">
        <x:v>ISTP</x:v>
      </x:c>
      <x:c r="S111" s="2" t="str">
        <x:v>华南</x:v>
      </x:c>
      <x:c r="T111" s="2" t="str">
        <x:v>生产运输或体力岗位</x:v>
      </x:c>
    </x:row>
    <x:row r="112" ht="24" customHeight="1">
      <x:c r="A112" s="2" t="str">
        <x:v>D000_T07_C080_G025</x:v>
      </x:c>
      <x:c r="B112" s="2" t="str">
        <x:v>A0011</x:v>
      </x:c>
      <x:c r="C112" s="2" t="str">
        <x:v>inside</x:v>
      </x:c>
      <x:c r="D112" s="2" t="n">
        <x:v>7</x:v>
      </x:c>
      <x:c r="E112" s="2" t="n">
        <x:v>1</x:v>
      </x:c>
      <x:c r="F112" s="2" t="n">
        <x:v>9</x:v>
      </x:c>
      <x:c r="G112" s="2" t="str">
        <x:v>observed_post_release</x:v>
      </x:c>
      <x:c r="H112" s="2" t="n">
        <x:f>IF(AND(ISNUMBER(F112),F112&gt;=D112),1,0)</x:f>
        <x:v>1</x:v>
      </x:c>
      <x:c r="I112" s="2" t="n">
        <x:f>IF(AND(ISNUMBER(F112),F112&gt;D112),1,0)</x:f>
        <x:v>1</x:v>
      </x:c>
      <x:c r="J112" s="2" t="n">
        <x:f>IF(H112=1,F112-D112,"")</x:f>
        <x:v>2</x:v>
      </x:c>
      <x:c r="K112" s="2" t="n">
        <x:f>IF(H112=1,F112-E112,"")</x:f>
        <x:v>8</x:v>
      </x:c>
      <x:c r="L112" s="2" t="n">
        <x:v>9</x:v>
      </x:c>
      <x:c r="M112" s="2" t="n">
        <x:v>8</x:v>
      </x:c>
      <x:c r="N112" s="20" t="n">
        <x:v>0</x:v>
      </x:c>
      <x:c r="O112" s="20" t="n">
        <x:v>0.8</x:v>
      </x:c>
      <x:c r="P112" s="20" t="n">
        <x:v>0.25</x:v>
      </x:c>
      <x:c r="Q112" s="2" t="n">
        <x:v>42</x:v>
      </x:c>
      <x:c r="R112" s="2" t="str">
        <x:v>ENFJ</x:v>
      </x:c>
      <x:c r="S112" s="2" t="str">
        <x:v>西南</x:v>
      </x:c>
      <x:c r="T112" s="2" t="str">
        <x:v>行政或办公室岗位</x:v>
      </x:c>
    </x:row>
    <x:row r="113" ht="24" customHeight="1">
      <x:c r="A113" s="2" t="str">
        <x:v>D000_T07_C080_G025</x:v>
      </x:c>
      <x:c r="B113" s="2" t="str">
        <x:v>A0017</x:v>
      </x:c>
      <x:c r="C113" s="2" t="str">
        <x:v>inside</x:v>
      </x:c>
      <x:c r="D113" s="2" t="n">
        <x:v>7</x:v>
      </x:c>
      <x:c r="E113" s="2" t="n">
        <x:v>1</x:v>
      </x:c>
      <x:c r="F113" s="2"/>
      <x:c r="G113" s="2" t="str">
        <x:v>right_censored</x:v>
      </x:c>
      <x:c r="H113" s="2" t="n">
        <x:f>IF(AND(ISNUMBER(F113),F113&gt;=D113),1,0)</x:f>
        <x:v>0</x:v>
      </x:c>
      <x:c r="I113" s="2" t="n">
        <x:f>IF(AND(ISNUMBER(F113),F113&gt;D113),1,0)</x:f>
        <x:v>0</x:v>
      </x:c>
      <x:c r="J113" s="2" t="str">
        <x:f>IF(H113=1,F113-D113,"")</x:f>
      </x:c>
      <x:c r="K113" s="2" t="str">
        <x:f>IF(H113=1,F113-E113,"")</x:f>
      </x:c>
      <x:c r="L113" s="2" t="n">
        <x:v>9</x:v>
      </x:c>
      <x:c r="M113" s="2" t="n">
        <x:v>9</x:v>
      </x:c>
      <x:c r="N113" s="20" t="n">
        <x:v>0</x:v>
      </x:c>
      <x:c r="O113" s="20" t="n">
        <x:v>0.8</x:v>
      </x:c>
      <x:c r="P113" s="20" t="n">
        <x:v>0.25</x:v>
      </x:c>
      <x:c r="Q113" s="2" t="n">
        <x:v>30</x:v>
      </x:c>
      <x:c r="R113" s="2" t="str">
        <x:v>ISTJ</x:v>
      </x:c>
      <x:c r="S113" s="2" t="str">
        <x:v>华东</x:v>
      </x:c>
      <x:c r="T113" s="2" t="str">
        <x:v>商业服务岗位</x:v>
      </x:c>
    </x:row>
    <x:row r="114" ht="24" customHeight="1">
      <x:c r="A114" s="2" t="str">
        <x:v>D000_T07_C080_G025</x:v>
      </x:c>
      <x:c r="B114" s="2" t="str">
        <x:v>A0018</x:v>
      </x:c>
      <x:c r="C114" s="2" t="str">
        <x:v>inside</x:v>
      </x:c>
      <x:c r="D114" s="2" t="n">
        <x:v>7</x:v>
      </x:c>
      <x:c r="E114" s="2" t="n">
        <x:v>1</x:v>
      </x:c>
      <x:c r="F114" s="2" t="n">
        <x:v>8</x:v>
      </x:c>
      <x:c r="G114" s="2" t="str">
        <x:v>observed_post_release</x:v>
      </x:c>
      <x:c r="H114" s="2" t="n">
        <x:f>IF(AND(ISNUMBER(F114),F114&gt;=D114),1,0)</x:f>
        <x:v>1</x:v>
      </x:c>
      <x:c r="I114" s="2" t="n">
        <x:f>IF(AND(ISNUMBER(F114),F114&gt;D114),1,0)</x:f>
        <x:v>1</x:v>
      </x:c>
      <x:c r="J114" s="2" t="n">
        <x:f>IF(H114=1,F114-D114,"")</x:f>
        <x:v>1</x:v>
      </x:c>
      <x:c r="K114" s="2" t="n">
        <x:f>IF(H114=1,F114-E114,"")</x:f>
        <x:v>7</x:v>
      </x:c>
      <x:c r="L114" s="2" t="n">
        <x:v>9</x:v>
      </x:c>
      <x:c r="M114" s="2" t="n">
        <x:v>7</x:v>
      </x:c>
      <x:c r="N114" s="20" t="n">
        <x:v>0</x:v>
      </x:c>
      <x:c r="O114" s="20" t="n">
        <x:v>0.8</x:v>
      </x:c>
      <x:c r="P114" s="20" t="n">
        <x:v>0.25</x:v>
      </x:c>
      <x:c r="Q114" s="2" t="n">
        <x:v>60</x:v>
      </x:c>
      <x:c r="R114" s="2" t="str">
        <x:v>INTJ</x:v>
      </x:c>
      <x:c r="S114" s="2" t="str">
        <x:v>华南</x:v>
      </x:c>
      <x:c r="T114" s="2" t="str">
        <x:v>专业技术岗位</x:v>
      </x:c>
    </x:row>
    <x:row r="115" ht="24" customHeight="1">
      <x:c r="A115" s="2" t="str">
        <x:v>D000_T07_C080_G025</x:v>
      </x:c>
      <x:c r="B115" s="2" t="str">
        <x:v>A0033</x:v>
      </x:c>
      <x:c r="C115" s="2" t="str">
        <x:v>inside</x:v>
      </x:c>
      <x:c r="D115" s="2" t="n">
        <x:v>7</x:v>
      </x:c>
      <x:c r="E115" s="2" t="n">
        <x:v>1</x:v>
      </x:c>
      <x:c r="F115" s="2" t="n">
        <x:v>7</x:v>
      </x:c>
      <x:c r="G115" s="2" t="str">
        <x:v>observed_post_release</x:v>
      </x:c>
      <x:c r="H115" s="2" t="n">
        <x:f>IF(AND(ISNUMBER(F115),F115&gt;=D115),1,0)</x:f>
        <x:v>1</x:v>
      </x:c>
      <x:c r="I115" s="2" t="n">
        <x:f>IF(AND(ISNUMBER(F115),F115&gt;D115),1,0)</x:f>
        <x:v>0</x:v>
      </x:c>
      <x:c r="J115" s="2" t="n">
        <x:f>IF(H115=1,F115-D115,"")</x:f>
        <x:v>0</x:v>
      </x:c>
      <x:c r="K115" s="2" t="n">
        <x:f>IF(H115=1,F115-E115,"")</x:f>
        <x:v>6</x:v>
      </x:c>
      <x:c r="L115" s="2" t="n">
        <x:v>9</x:v>
      </x:c>
      <x:c r="M115" s="2" t="n">
        <x:v>7</x:v>
      </x:c>
      <x:c r="N115" s="20" t="n">
        <x:v>0</x:v>
      </x:c>
      <x:c r="O115" s="20" t="n">
        <x:v>0.8</x:v>
      </x:c>
      <x:c r="P115" s="20" t="n">
        <x:v>0.25</x:v>
      </x:c>
      <x:c r="Q115" s="2" t="n">
        <x:v>55</x:v>
      </x:c>
      <x:c r="R115" s="2" t="str">
        <x:v>ENFP</x:v>
      </x:c>
      <x:c r="S115" s="2" t="str">
        <x:v>华南</x:v>
      </x:c>
      <x:c r="T115" s="2" t="str">
        <x:v>个体经营或自由职业</x:v>
      </x:c>
    </x:row>
    <x:row r="116" ht="24" customHeight="1">
      <x:c r="A116" s="2" t="str">
        <x:v>D000_T07_C080_G025</x:v>
      </x:c>
      <x:c r="B116" s="2" t="str">
        <x:v>A0035</x:v>
      </x:c>
      <x:c r="C116" s="2" t="str">
        <x:v>inside</x:v>
      </x:c>
      <x:c r="D116" s="2" t="n">
        <x:v>7</x:v>
      </x:c>
      <x:c r="E116" s="2" t="n">
        <x:v>1</x:v>
      </x:c>
      <x:c r="F116" s="2" t="n">
        <x:v>9</x:v>
      </x:c>
      <x:c r="G116" s="2" t="str">
        <x:v>observed_post_release</x:v>
      </x:c>
      <x:c r="H116" s="2" t="n">
        <x:f>IF(AND(ISNUMBER(F116),F116&gt;=D116),1,0)</x:f>
        <x:v>1</x:v>
      </x:c>
      <x:c r="I116" s="2" t="n">
        <x:f>IF(AND(ISNUMBER(F116),F116&gt;D116),1,0)</x:f>
        <x:v>1</x:v>
      </x:c>
      <x:c r="J116" s="2" t="n">
        <x:f>IF(H116=1,F116-D116,"")</x:f>
        <x:v>2</x:v>
      </x:c>
      <x:c r="K116" s="2" t="n">
        <x:f>IF(H116=1,F116-E116,"")</x:f>
        <x:v>8</x:v>
      </x:c>
      <x:c r="L116" s="2" t="n">
        <x:v>9</x:v>
      </x:c>
      <x:c r="M116" s="2" t="n">
        <x:v>7</x:v>
      </x:c>
      <x:c r="N116" s="20" t="n">
        <x:v>0</x:v>
      </x:c>
      <x:c r="O116" s="20" t="n">
        <x:v>0.8</x:v>
      </x:c>
      <x:c r="P116" s="20" t="n">
        <x:v>0.25</x:v>
      </x:c>
      <x:c r="Q116" s="2" t="n">
        <x:v>42</x:v>
      </x:c>
      <x:c r="R116" s="2" t="str">
        <x:v>ISFJ</x:v>
      </x:c>
      <x:c r="S116" s="2" t="str">
        <x:v>华南</x:v>
      </x:c>
      <x:c r="T116" s="2" t="str">
        <x:v>专业技术岗位</x:v>
      </x:c>
    </x:row>
    <x:row r="117" ht="24" customHeight="1">
      <x:c r="A117" s="2" t="str">
        <x:v>D000_T07_C080_G025</x:v>
      </x:c>
      <x:c r="B117" s="2" t="str">
        <x:v>A0088</x:v>
      </x:c>
      <x:c r="C117" s="2" t="str">
        <x:v>outside</x:v>
      </x:c>
      <x:c r="D117" s="2" t="n">
        <x:v>7</x:v>
      </x:c>
      <x:c r="E117" s="2" t="n">
        <x:v>3</x:v>
      </x:c>
      <x:c r="F117" s="2"/>
      <x:c r="G117" s="2" t="str">
        <x:v>right_censored</x:v>
      </x:c>
      <x:c r="H117" s="2" t="n">
        <x:f>IF(AND(ISNUMBER(F117),F117&gt;=D117),1,0)</x:f>
        <x:v>0</x:v>
      </x:c>
      <x:c r="I117" s="2" t="n">
        <x:f>IF(AND(ISNUMBER(F117),F117&gt;D117),1,0)</x:f>
        <x:v>0</x:v>
      </x:c>
      <x:c r="J117" s="2" t="str">
        <x:f>IF(H117=1,F117-D117,"")</x:f>
      </x:c>
      <x:c r="K117" s="2" t="str">
        <x:f>IF(H117=1,F117-E117,"")</x:f>
      </x:c>
      <x:c r="L117" s="2" t="n">
        <x:v>7</x:v>
      </x:c>
      <x:c r="M117" s="2"/>
      <x:c r="N117" s="20" t="n">
        <x:v>0</x:v>
      </x:c>
      <x:c r="O117" s="20" t="n">
        <x:v>0.8</x:v>
      </x:c>
      <x:c r="P117" s="20" t="n">
        <x:v>0.25</x:v>
      </x:c>
      <x:c r="Q117" s="2" t="n">
        <x:v>74</x:v>
      </x:c>
      <x:c r="R117" s="2" t="str">
        <x:v>INTP</x:v>
      </x:c>
      <x:c r="S117" s="2" t="str">
        <x:v>华东</x:v>
      </x:c>
      <x:c r="T117" s="2" t="str">
        <x:v>退休人员</x:v>
      </x:c>
    </x:row>
    <x:row r="118" ht="24" customHeight="1">
      <x:c r="A118" s="2" t="str">
        <x:v>D000_T07_C080_G025</x:v>
      </x:c>
      <x:c r="B118" s="2" t="str">
        <x:v>A0292</x:v>
      </x:c>
      <x:c r="C118" s="2" t="str">
        <x:v>outside</x:v>
      </x:c>
      <x:c r="D118" s="2" t="n">
        <x:v>7</x:v>
      </x:c>
      <x:c r="E118" s="2" t="n">
        <x:v>2</x:v>
      </x:c>
      <x:c r="F118" s="2"/>
      <x:c r="G118" s="2" t="str">
        <x:v>right_censored</x:v>
      </x:c>
      <x:c r="H118" s="2" t="n">
        <x:f>IF(AND(ISNUMBER(F118),F118&gt;=D118),1,0)</x:f>
        <x:v>0</x:v>
      </x:c>
      <x:c r="I118" s="2" t="n">
        <x:f>IF(AND(ISNUMBER(F118),F118&gt;D118),1,0)</x:f>
        <x:v>0</x:v>
      </x:c>
      <x:c r="J118" s="2" t="str">
        <x:f>IF(H118=1,F118-D118,"")</x:f>
      </x:c>
      <x:c r="K118" s="2" t="str">
        <x:f>IF(H118=1,F118-E118,"")</x:f>
      </x:c>
      <x:c r="L118" s="2" t="n">
        <x:v>8</x:v>
      </x:c>
      <x:c r="M118" s="2" t="n">
        <x:v>9</x:v>
      </x:c>
      <x:c r="N118" s="20" t="n">
        <x:v>0</x:v>
      </x:c>
      <x:c r="O118" s="20" t="n">
        <x:v>0.8</x:v>
      </x:c>
      <x:c r="P118" s="20" t="n">
        <x:v>0.25</x:v>
      </x:c>
      <x:c r="Q118" s="2" t="n">
        <x:v>43</x:v>
      </x:c>
      <x:c r="R118" s="2" t="str">
        <x:v>INTP</x:v>
      </x:c>
      <x:c r="S118" s="2" t="str">
        <x:v>华北</x:v>
      </x:c>
      <x:c r="T118" s="2" t="str">
        <x:v>个体经营或自由职业</x:v>
      </x:c>
    </x:row>
    <x:row r="119" ht="24" customHeight="1">
      <x:c r="A119" s="2" t="str">
        <x:v>D000_T07_C080_G050</x:v>
      </x:c>
      <x:c r="B119" s="2" t="str">
        <x:v>A0011</x:v>
      </x:c>
      <x:c r="C119" s="2" t="str">
        <x:v>inside</x:v>
      </x:c>
      <x:c r="D119" s="2" t="n">
        <x:v>7</x:v>
      </x:c>
      <x:c r="E119" s="2" t="n">
        <x:v>1</x:v>
      </x:c>
      <x:c r="F119" s="2" t="n">
        <x:v>8</x:v>
      </x:c>
      <x:c r="G119" s="2" t="str">
        <x:v>observed_post_release</x:v>
      </x:c>
      <x:c r="H119" s="2" t="n">
        <x:f>IF(AND(ISNUMBER(F119),F119&gt;=D119),1,0)</x:f>
        <x:v>1</x:v>
      </x:c>
      <x:c r="I119" s="2" t="n">
        <x:f>IF(AND(ISNUMBER(F119),F119&gt;D119),1,0)</x:f>
        <x:v>1</x:v>
      </x:c>
      <x:c r="J119" s="2" t="n">
        <x:f>IF(H119=1,F119-D119,"")</x:f>
        <x:v>1</x:v>
      </x:c>
      <x:c r="K119" s="2" t="n">
        <x:f>IF(H119=1,F119-E119,"")</x:f>
        <x:v>7</x:v>
      </x:c>
      <x:c r="L119" s="2" t="n">
        <x:v>9</x:v>
      </x:c>
      <x:c r="M119" s="2" t="n">
        <x:v>8</x:v>
      </x:c>
      <x:c r="N119" s="20" t="n">
        <x:v>0</x:v>
      </x:c>
      <x:c r="O119" s="20" t="n">
        <x:v>0.8</x:v>
      </x:c>
      <x:c r="P119" s="20" t="n">
        <x:v>0.5</x:v>
      </x:c>
      <x:c r="Q119" s="2" t="n">
        <x:v>42</x:v>
      </x:c>
      <x:c r="R119" s="2" t="str">
        <x:v>ENFJ</x:v>
      </x:c>
      <x:c r="S119" s="2" t="str">
        <x:v>西南</x:v>
      </x:c>
      <x:c r="T119" s="2" t="str">
        <x:v>行政或办公室岗位</x:v>
      </x:c>
    </x:row>
    <x:row r="120" ht="24" customHeight="1">
      <x:c r="A120" s="2" t="str">
        <x:v>D000_T07_C080_G050</x:v>
      </x:c>
      <x:c r="B120" s="2" t="str">
        <x:v>A0012</x:v>
      </x:c>
      <x:c r="C120" s="2" t="str">
        <x:v>inside</x:v>
      </x:c>
      <x:c r="D120" s="2" t="n">
        <x:v>7</x:v>
      </x:c>
      <x:c r="E120" s="2" t="n">
        <x:v>4</x:v>
      </x:c>
      <x:c r="F120" s="2" t="n">
        <x:v>7</x:v>
      </x:c>
      <x:c r="G120" s="2" t="str">
        <x:v>observed_post_release</x:v>
      </x:c>
      <x:c r="H120" s="2" t="n">
        <x:f>IF(AND(ISNUMBER(F120),F120&gt;=D120),1,0)</x:f>
        <x:v>1</x:v>
      </x:c>
      <x:c r="I120" s="2" t="n">
        <x:f>IF(AND(ISNUMBER(F120),F120&gt;D120),1,0)</x:f>
        <x:v>0</x:v>
      </x:c>
      <x:c r="J120" s="2" t="n">
        <x:f>IF(H120=1,F120-D120,"")</x:f>
        <x:v>0</x:v>
      </x:c>
      <x:c r="K120" s="2" t="n">
        <x:f>IF(H120=1,F120-E120,"")</x:f>
        <x:v>3</x:v>
      </x:c>
      <x:c r="L120" s="2" t="n">
        <x:v>6</x:v>
      </x:c>
      <x:c r="M120" s="2" t="n">
        <x:v>7</x:v>
      </x:c>
      <x:c r="N120" s="20" t="n">
        <x:v>0</x:v>
      </x:c>
      <x:c r="O120" s="20" t="n">
        <x:v>0.8</x:v>
      </x:c>
      <x:c r="P120" s="20" t="n">
        <x:v>0.5</x:v>
      </x:c>
      <x:c r="Q120" s="2" t="n">
        <x:v>38</x:v>
      </x:c>
      <x:c r="R120" s="2" t="str">
        <x:v>ESFP</x:v>
      </x:c>
      <x:c r="S120" s="2" t="str">
        <x:v>华中</x:v>
      </x:c>
      <x:c r="T120" s="2" t="str">
        <x:v>行政或办公室岗位</x:v>
      </x:c>
    </x:row>
    <x:row r="121" ht="24" customHeight="1">
      <x:c r="A121" s="2" t="str">
        <x:v>D000_T07_C080_G050</x:v>
      </x:c>
      <x:c r="B121" s="2" t="str">
        <x:v>A0027</x:v>
      </x:c>
      <x:c r="C121" s="2" t="str">
        <x:v>inside</x:v>
      </x:c>
      <x:c r="D121" s="2" t="n">
        <x:v>7</x:v>
      </x:c>
      <x:c r="E121" s="2" t="n">
        <x:v>1</x:v>
      </x:c>
      <x:c r="F121" s="2" t="n">
        <x:v>10</x:v>
      </x:c>
      <x:c r="G121" s="2" t="str">
        <x:v>observed_post_release</x:v>
      </x:c>
      <x:c r="H121" s="2" t="n">
        <x:f>IF(AND(ISNUMBER(F121),F121&gt;=D121),1,0)</x:f>
        <x:v>1</x:v>
      </x:c>
      <x:c r="I121" s="2" t="n">
        <x:f>IF(AND(ISNUMBER(F121),F121&gt;D121),1,0)</x:f>
        <x:v>1</x:v>
      </x:c>
      <x:c r="J121" s="2" t="n">
        <x:f>IF(H121=1,F121-D121,"")</x:f>
        <x:v>3</x:v>
      </x:c>
      <x:c r="K121" s="2" t="n">
        <x:f>IF(H121=1,F121-E121,"")</x:f>
        <x:v>9</x:v>
      </x:c>
      <x:c r="L121" s="2" t="n">
        <x:v>9</x:v>
      </x:c>
      <x:c r="M121" s="2" t="n">
        <x:v>7</x:v>
      </x:c>
      <x:c r="N121" s="20" t="n">
        <x:v>0</x:v>
      </x:c>
      <x:c r="O121" s="20" t="n">
        <x:v>0.8</x:v>
      </x:c>
      <x:c r="P121" s="20" t="n">
        <x:v>0.5</x:v>
      </x:c>
      <x:c r="Q121" s="2" t="n">
        <x:v>25</x:v>
      </x:c>
      <x:c r="R121" s="2" t="str">
        <x:v>ESFP</x:v>
      </x:c>
      <x:c r="S121" s="2" t="str">
        <x:v>西北</x:v>
      </x:c>
      <x:c r="T121" s="2" t="str">
        <x:v>暂未就业或家庭照料</x:v>
      </x:c>
    </x:row>
    <x:row r="122" ht="24" customHeight="1">
      <x:c r="A122" s="2" t="str">
        <x:v>D000_T07_C080_G050</x:v>
      </x:c>
      <x:c r="B122" s="2" t="str">
        <x:v>A0029</x:v>
      </x:c>
      <x:c r="C122" s="2" t="str">
        <x:v>inside</x:v>
      </x:c>
      <x:c r="D122" s="2" t="n">
        <x:v>7</x:v>
      </x:c>
      <x:c r="E122" s="2" t="n">
        <x:v>1</x:v>
      </x:c>
      <x:c r="F122" s="2" t="n">
        <x:v>7</x:v>
      </x:c>
      <x:c r="G122" s="2" t="str">
        <x:v>observed_post_release</x:v>
      </x:c>
      <x:c r="H122" s="2" t="n">
        <x:f>IF(AND(ISNUMBER(F122),F122&gt;=D122),1,0)</x:f>
        <x:v>1</x:v>
      </x:c>
      <x:c r="I122" s="2" t="n">
        <x:f>IF(AND(ISNUMBER(F122),F122&gt;D122),1,0)</x:f>
        <x:v>0</x:v>
      </x:c>
      <x:c r="J122" s="2" t="n">
        <x:f>IF(H122=1,F122-D122,"")</x:f>
        <x:v>0</x:v>
      </x:c>
      <x:c r="K122" s="2" t="n">
        <x:f>IF(H122=1,F122-E122,"")</x:f>
        <x:v>6</x:v>
      </x:c>
      <x:c r="L122" s="2" t="n">
        <x:v>9</x:v>
      </x:c>
      <x:c r="M122" s="2" t="n">
        <x:v>7</x:v>
      </x:c>
      <x:c r="N122" s="20" t="n">
        <x:v>0</x:v>
      </x:c>
      <x:c r="O122" s="20" t="n">
        <x:v>0.8</x:v>
      </x:c>
      <x:c r="P122" s="20" t="n">
        <x:v>0.5</x:v>
      </x:c>
      <x:c r="Q122" s="2" t="n">
        <x:v>69</x:v>
      </x:c>
      <x:c r="R122" s="2" t="str">
        <x:v>ENTP</x:v>
      </x:c>
      <x:c r="S122" s="2" t="str">
        <x:v>华东</x:v>
      </x:c>
      <x:c r="T122" s="2" t="str">
        <x:v>退休人员</x:v>
      </x:c>
    </x:row>
    <x:row r="123" ht="24" customHeight="1">
      <x:c r="A123" s="2" t="str">
        <x:v>D000_T07_C080_G050</x:v>
      </x:c>
      <x:c r="B123" s="2" t="str">
        <x:v>A0032</x:v>
      </x:c>
      <x:c r="C123" s="2" t="str">
        <x:v>inside</x:v>
      </x:c>
      <x:c r="D123" s="2" t="n">
        <x:v>7</x:v>
      </x:c>
      <x:c r="E123" s="2" t="n">
        <x:v>1</x:v>
      </x:c>
      <x:c r="F123" s="2" t="n">
        <x:v>7</x:v>
      </x:c>
      <x:c r="G123" s="2" t="str">
        <x:v>observed_post_release</x:v>
      </x:c>
      <x:c r="H123" s="2" t="n">
        <x:f>IF(AND(ISNUMBER(F123),F123&gt;=D123),1,0)</x:f>
        <x:v>1</x:v>
      </x:c>
      <x:c r="I123" s="2" t="n">
        <x:f>IF(AND(ISNUMBER(F123),F123&gt;D123),1,0)</x:f>
        <x:v>0</x:v>
      </x:c>
      <x:c r="J123" s="2" t="n">
        <x:f>IF(H123=1,F123-D123,"")</x:f>
        <x:v>0</x:v>
      </x:c>
      <x:c r="K123" s="2" t="n">
        <x:f>IF(H123=1,F123-E123,"")</x:f>
        <x:v>6</x:v>
      </x:c>
      <x:c r="L123" s="2" t="n">
        <x:v>9</x:v>
      </x:c>
      <x:c r="M123" s="2" t="n">
        <x:v>7</x:v>
      </x:c>
      <x:c r="N123" s="20" t="n">
        <x:v>0</x:v>
      </x:c>
      <x:c r="O123" s="20" t="n">
        <x:v>0.8</x:v>
      </x:c>
      <x:c r="P123" s="20" t="n">
        <x:v>0.5</x:v>
      </x:c>
      <x:c r="Q123" s="2" t="n">
        <x:v>53</x:v>
      </x:c>
      <x:c r="R123" s="2" t="str">
        <x:v>INTP</x:v>
      </x:c>
      <x:c r="S123" s="2" t="str">
        <x:v>华北</x:v>
      </x:c>
      <x:c r="T123" s="2" t="str">
        <x:v>个体经营或自由职业</x:v>
      </x:c>
    </x:row>
    <x:row r="124" ht="24" customHeight="1">
      <x:c r="A124" s="2" t="str">
        <x:v>D000_T07_C080_G050</x:v>
      </x:c>
      <x:c r="B124" s="2" t="str">
        <x:v>A0198</x:v>
      </x:c>
      <x:c r="C124" s="2" t="str">
        <x:v>outside</x:v>
      </x:c>
      <x:c r="D124" s="2" t="n">
        <x:v>7</x:v>
      </x:c>
      <x:c r="E124" s="2" t="n">
        <x:v>2</x:v>
      </x:c>
      <x:c r="F124" s="2"/>
      <x:c r="G124" s="2" t="str">
        <x:v>right_censored</x:v>
      </x:c>
      <x:c r="H124" s="2" t="n">
        <x:f>IF(AND(ISNUMBER(F124),F124&gt;=D124),1,0)</x:f>
        <x:v>0</x:v>
      </x:c>
      <x:c r="I124" s="2" t="n">
        <x:f>IF(AND(ISNUMBER(F124),F124&gt;D124),1,0)</x:f>
        <x:v>0</x:v>
      </x:c>
      <x:c r="J124" s="2" t="str">
        <x:f>IF(H124=1,F124-D124,"")</x:f>
      </x:c>
      <x:c r="K124" s="2" t="str">
        <x:f>IF(H124=1,F124-E124,"")</x:f>
      </x:c>
      <x:c r="L124" s="2" t="n">
        <x:v>8</x:v>
      </x:c>
      <x:c r="M124" s="2"/>
      <x:c r="N124" s="20" t="n">
        <x:v>0</x:v>
      </x:c>
      <x:c r="O124" s="20" t="n">
        <x:v>0.8</x:v>
      </x:c>
      <x:c r="P124" s="20" t="n">
        <x:v>0.5</x:v>
      </x:c>
      <x:c r="Q124" s="2" t="n">
        <x:v>23</x:v>
      </x:c>
      <x:c r="R124" s="2" t="str">
        <x:v>ISTJ</x:v>
      </x:c>
      <x:c r="S124" s="2" t="str">
        <x:v>华南</x:v>
      </x:c>
      <x:c r="T124" s="2" t="str">
        <x:v>暂未就业或家庭照料</x:v>
      </x:c>
    </x:row>
    <x:row r="125" ht="24" customHeight="1">
      <x:c r="A125" s="2" t="str">
        <x:v>D000_T07_C080_G050</x:v>
      </x:c>
      <x:c r="B125" s="2" t="str">
        <x:v>A0291</x:v>
      </x:c>
      <x:c r="C125" s="2" t="str">
        <x:v>outside</x:v>
      </x:c>
      <x:c r="D125" s="2" t="n">
        <x:v>7</x:v>
      </x:c>
      <x:c r="E125" s="2" t="n">
        <x:v>7</x:v>
      </x:c>
      <x:c r="F125" s="2" t="n">
        <x:v>9</x:v>
      </x:c>
      <x:c r="G125" s="2" t="str">
        <x:v>observed_post_release</x:v>
      </x:c>
      <x:c r="H125" s="2" t="n">
        <x:f>IF(AND(ISNUMBER(F125),F125&gt;=D125),1,0)</x:f>
        <x:v>1</x:v>
      </x:c>
      <x:c r="I125" s="2" t="n">
        <x:f>IF(AND(ISNUMBER(F125),F125&gt;D125),1,0)</x:f>
        <x:v>1</x:v>
      </x:c>
      <x:c r="J125" s="2" t="n">
        <x:f>IF(H125=1,F125-D125,"")</x:f>
        <x:v>2</x:v>
      </x:c>
      <x:c r="K125" s="2" t="n">
        <x:f>IF(H125=1,F125-E125,"")</x:f>
        <x:v>2</x:v>
      </x:c>
      <x:c r="L125" s="2" t="n">
        <x:v>3</x:v>
      </x:c>
      <x:c r="M125" s="2" t="n">
        <x:v>9</x:v>
      </x:c>
      <x:c r="N125" s="20" t="n">
        <x:v>0</x:v>
      </x:c>
      <x:c r="O125" s="20" t="n">
        <x:v>0.8</x:v>
      </x:c>
      <x:c r="P125" s="20" t="n">
        <x:v>0.5</x:v>
      </x:c>
      <x:c r="Q125" s="2" t="n">
        <x:v>30</x:v>
      </x:c>
      <x:c r="R125" s="2" t="str">
        <x:v>INTP</x:v>
      </x:c>
      <x:c r="S125" s="2" t="str">
        <x:v>华东</x:v>
      </x:c>
      <x:c r="T125" s="2" t="str">
        <x:v>个体经营或自由职业</x:v>
      </x:c>
    </x:row>
    <x:row r="126" ht="24" customHeight="1">
      <x:c r="A126" s="2" t="str">
        <x:v>D000_T07_C080_G075</x:v>
      </x:c>
      <x:c r="B126" s="2" t="str">
        <x:v>A0001</x:v>
      </x:c>
      <x:c r="C126" s="2" t="str">
        <x:v>inside</x:v>
      </x:c>
      <x:c r="D126" s="2" t="n">
        <x:v>7</x:v>
      </x:c>
      <x:c r="E126" s="2" t="n">
        <x:v>1</x:v>
      </x:c>
      <x:c r="F126" s="2" t="n">
        <x:v>7</x:v>
      </x:c>
      <x:c r="G126" s="2" t="str">
        <x:v>observed_post_release</x:v>
      </x:c>
      <x:c r="H126" s="2" t="n">
        <x:f>IF(AND(ISNUMBER(F126),F126&gt;=D126),1,0)</x:f>
        <x:v>1</x:v>
      </x:c>
      <x:c r="I126" s="2" t="n">
        <x:f>IF(AND(ISNUMBER(F126),F126&gt;D126),1,0)</x:f>
        <x:v>0</x:v>
      </x:c>
      <x:c r="J126" s="2" t="n">
        <x:f>IF(H126=1,F126-D126,"")</x:f>
        <x:v>0</x:v>
      </x:c>
      <x:c r="K126" s="2" t="n">
        <x:f>IF(H126=1,F126-E126,"")</x:f>
        <x:v>6</x:v>
      </x:c>
      <x:c r="L126" s="2" t="n">
        <x:v>9</x:v>
      </x:c>
      <x:c r="M126" s="2" t="n">
        <x:v>7</x:v>
      </x:c>
      <x:c r="N126" s="20" t="n">
        <x:v>0</x:v>
      </x:c>
      <x:c r="O126" s="20" t="n">
        <x:v>0.8</x:v>
      </x:c>
      <x:c r="P126" s="20" t="n">
        <x:v>0.75</x:v>
      </x:c>
      <x:c r="Q126" s="2" t="n">
        <x:v>22</x:v>
      </x:c>
      <x:c r="R126" s="2" t="str">
        <x:v>ESTJ</x:v>
      </x:c>
      <x:c r="S126" s="2" t="str">
        <x:v>华南</x:v>
      </x:c>
      <x:c r="T126" s="2" t="str">
        <x:v>在校学生</x:v>
      </x:c>
    </x:row>
    <x:row r="127" ht="24" customHeight="1">
      <x:c r="A127" s="2" t="str">
        <x:v>D000_T07_C080_G075</x:v>
      </x:c>
      <x:c r="B127" s="2" t="str">
        <x:v>A0011</x:v>
      </x:c>
      <x:c r="C127" s="2" t="str">
        <x:v>inside</x:v>
      </x:c>
      <x:c r="D127" s="2" t="n">
        <x:v>7</x:v>
      </x:c>
      <x:c r="E127" s="2" t="n">
        <x:v>1</x:v>
      </x:c>
      <x:c r="F127" s="2" t="n">
        <x:v>8</x:v>
      </x:c>
      <x:c r="G127" s="2" t="str">
        <x:v>observed_post_release</x:v>
      </x:c>
      <x:c r="H127" s="2" t="n">
        <x:f>IF(AND(ISNUMBER(F127),F127&gt;=D127),1,0)</x:f>
        <x:v>1</x:v>
      </x:c>
      <x:c r="I127" s="2" t="n">
        <x:f>IF(AND(ISNUMBER(F127),F127&gt;D127),1,0)</x:f>
        <x:v>1</x:v>
      </x:c>
      <x:c r="J127" s="2" t="n">
        <x:f>IF(H127=1,F127-D127,"")</x:f>
        <x:v>1</x:v>
      </x:c>
      <x:c r="K127" s="2" t="n">
        <x:f>IF(H127=1,F127-E127,"")</x:f>
        <x:v>7</x:v>
      </x:c>
      <x:c r="L127" s="2" t="n">
        <x:v>9</x:v>
      </x:c>
      <x:c r="M127" s="2" t="n">
        <x:v>8</x:v>
      </x:c>
      <x:c r="N127" s="20" t="n">
        <x:v>0</x:v>
      </x:c>
      <x:c r="O127" s="20" t="n">
        <x:v>0.8</x:v>
      </x:c>
      <x:c r="P127" s="20" t="n">
        <x:v>0.75</x:v>
      </x:c>
      <x:c r="Q127" s="2" t="n">
        <x:v>42</x:v>
      </x:c>
      <x:c r="R127" s="2" t="str">
        <x:v>ENFJ</x:v>
      </x:c>
      <x:c r="S127" s="2" t="str">
        <x:v>西南</x:v>
      </x:c>
      <x:c r="T127" s="2" t="str">
        <x:v>行政或办公室岗位</x:v>
      </x:c>
    </x:row>
    <x:row r="128" ht="24" customHeight="1">
      <x:c r="A128" s="2" t="str">
        <x:v>D000_T07_C080_G075</x:v>
      </x:c>
      <x:c r="B128" s="2" t="str">
        <x:v>A0012</x:v>
      </x:c>
      <x:c r="C128" s="2" t="str">
        <x:v>inside</x:v>
      </x:c>
      <x:c r="D128" s="2" t="n">
        <x:v>7</x:v>
      </x:c>
      <x:c r="E128" s="2" t="n">
        <x:v>1</x:v>
      </x:c>
      <x:c r="F128" s="2" t="n">
        <x:v>7</x:v>
      </x:c>
      <x:c r="G128" s="2" t="str">
        <x:v>observed_post_release</x:v>
      </x:c>
      <x:c r="H128" s="2" t="n">
        <x:f>IF(AND(ISNUMBER(F128),F128&gt;=D128),1,0)</x:f>
        <x:v>1</x:v>
      </x:c>
      <x:c r="I128" s="2" t="n">
        <x:f>IF(AND(ISNUMBER(F128),F128&gt;D128),1,0)</x:f>
        <x:v>0</x:v>
      </x:c>
      <x:c r="J128" s="2" t="n">
        <x:f>IF(H128=1,F128-D128,"")</x:f>
        <x:v>0</x:v>
      </x:c>
      <x:c r="K128" s="2" t="n">
        <x:f>IF(H128=1,F128-E128,"")</x:f>
        <x:v>6</x:v>
      </x:c>
      <x:c r="L128" s="2" t="n">
        <x:v>9</x:v>
      </x:c>
      <x:c r="M128" s="2" t="n">
        <x:v>7</x:v>
      </x:c>
      <x:c r="N128" s="20" t="n">
        <x:v>0</x:v>
      </x:c>
      <x:c r="O128" s="20" t="n">
        <x:v>0.8</x:v>
      </x:c>
      <x:c r="P128" s="20" t="n">
        <x:v>0.75</x:v>
      </x:c>
      <x:c r="Q128" s="2" t="n">
        <x:v>38</x:v>
      </x:c>
      <x:c r="R128" s="2" t="str">
        <x:v>ESFP</x:v>
      </x:c>
      <x:c r="S128" s="2" t="str">
        <x:v>华中</x:v>
      </x:c>
      <x:c r="T128" s="2" t="str">
        <x:v>行政或办公室岗位</x:v>
      </x:c>
    </x:row>
    <x:row r="129" ht="24" customHeight="1">
      <x:c r="A129" s="2" t="str">
        <x:v>D000_T07_C080_G075</x:v>
      </x:c>
      <x:c r="B129" s="2" t="str">
        <x:v>A0019</x:v>
      </x:c>
      <x:c r="C129" s="2" t="str">
        <x:v>inside</x:v>
      </x:c>
      <x:c r="D129" s="2" t="n">
        <x:v>7</x:v>
      </x:c>
      <x:c r="E129" s="2" t="n">
        <x:v>3</x:v>
      </x:c>
      <x:c r="F129" s="2" t="n">
        <x:v>7</x:v>
      </x:c>
      <x:c r="G129" s="2" t="str">
        <x:v>observed_post_release</x:v>
      </x:c>
      <x:c r="H129" s="2" t="n">
        <x:f>IF(AND(ISNUMBER(F129),F129&gt;=D129),1,0)</x:f>
        <x:v>1</x:v>
      </x:c>
      <x:c r="I129" s="2" t="n">
        <x:f>IF(AND(ISNUMBER(F129),F129&gt;D129),1,0)</x:f>
        <x:v>0</x:v>
      </x:c>
      <x:c r="J129" s="2" t="n">
        <x:f>IF(H129=1,F129-D129,"")</x:f>
        <x:v>0</x:v>
      </x:c>
      <x:c r="K129" s="2" t="n">
        <x:f>IF(H129=1,F129-E129,"")</x:f>
        <x:v>4</x:v>
      </x:c>
      <x:c r="L129" s="2" t="n">
        <x:v>7</x:v>
      </x:c>
      <x:c r="M129" s="2" t="n">
        <x:v>7</x:v>
      </x:c>
      <x:c r="N129" s="20" t="n">
        <x:v>0</x:v>
      </x:c>
      <x:c r="O129" s="20" t="n">
        <x:v>0.8</x:v>
      </x:c>
      <x:c r="P129" s="20" t="n">
        <x:v>0.75</x:v>
      </x:c>
      <x:c r="Q129" s="2" t="n">
        <x:v>19</x:v>
      </x:c>
      <x:c r="R129" s="2" t="str">
        <x:v>INTJ</x:v>
      </x:c>
      <x:c r="S129" s="2" t="str">
        <x:v>西南</x:v>
      </x:c>
      <x:c r="T129" s="2" t="str">
        <x:v>行政或办公室岗位</x:v>
      </x:c>
    </x:row>
    <x:row r="130" ht="24" customHeight="1">
      <x:c r="A130" s="2" t="str">
        <x:v>D020_T02_C020_G025</x:v>
      </x:c>
      <x:c r="B130" s="2" t="str">
        <x:v>A0001</x:v>
      </x:c>
      <x:c r="C130" s="2" t="str">
        <x:v>inside</x:v>
      </x:c>
      <x:c r="D130" s="2" t="n">
        <x:v>2</x:v>
      </x:c>
      <x:c r="E130" s="2" t="n">
        <x:v>1</x:v>
      </x:c>
      <x:c r="F130" s="2" t="n">
        <x:v>3</x:v>
      </x:c>
      <x:c r="G130" s="2" t="str">
        <x:v>observed_post_release</x:v>
      </x:c>
      <x:c r="H130" s="2" t="n">
        <x:f>IF(AND(ISNUMBER(F130),F130&gt;=D130),1,0)</x:f>
        <x:v>1</x:v>
      </x:c>
      <x:c r="I130" s="2" t="n">
        <x:f>IF(AND(ISNUMBER(F130),F130&gt;D130),1,0)</x:f>
        <x:v>1</x:v>
      </x:c>
      <x:c r="J130" s="2" t="n">
        <x:f>IF(H130=1,F130-D130,"")</x:f>
        <x:v>1</x:v>
      </x:c>
      <x:c r="K130" s="2" t="n">
        <x:f>IF(H130=1,F130-E130,"")</x:f>
        <x:v>2</x:v>
      </x:c>
      <x:c r="L130" s="2" t="n">
        <x:v>9</x:v>
      </x:c>
      <x:c r="M130" s="2" t="n">
        <x:v>3</x:v>
      </x:c>
      <x:c r="N130" s="20" t="n">
        <x:v>0.2</x:v>
      </x:c>
      <x:c r="O130" s="20" t="n">
        <x:v>0.2</x:v>
      </x:c>
      <x:c r="P130" s="20" t="n">
        <x:v>0.25</x:v>
      </x:c>
      <x:c r="Q130" s="2" t="n">
        <x:v>22</x:v>
      </x:c>
      <x:c r="R130" s="2" t="str">
        <x:v>ESTJ</x:v>
      </x:c>
      <x:c r="S130" s="2" t="str">
        <x:v>华南</x:v>
      </x:c>
      <x:c r="T130" s="2" t="str">
        <x:v>在校学生</x:v>
      </x:c>
    </x:row>
    <x:row r="131" ht="24" customHeight="1">
      <x:c r="A131" s="2" t="str">
        <x:v>D020_T02_C020_G025</x:v>
      </x:c>
      <x:c r="B131" s="2" t="str">
        <x:v>A0005</x:v>
      </x:c>
      <x:c r="C131" s="2" t="str">
        <x:v>inside</x:v>
      </x:c>
      <x:c r="D131" s="2" t="n">
        <x:v>2</x:v>
      </x:c>
      <x:c r="E131" s="2" t="n">
        <x:v>1</x:v>
      </x:c>
      <x:c r="F131" s="2" t="n">
        <x:v>8</x:v>
      </x:c>
      <x:c r="G131" s="2" t="str">
        <x:v>observed_post_release</x:v>
      </x:c>
      <x:c r="H131" s="2" t="n">
        <x:f>IF(AND(ISNUMBER(F131),F131&gt;=D131),1,0)</x:f>
        <x:v>1</x:v>
      </x:c>
      <x:c r="I131" s="2" t="n">
        <x:f>IF(AND(ISNUMBER(F131),F131&gt;D131),1,0)</x:f>
        <x:v>1</x:v>
      </x:c>
      <x:c r="J131" s="2" t="n">
        <x:f>IF(H131=1,F131-D131,"")</x:f>
        <x:v>6</x:v>
      </x:c>
      <x:c r="K131" s="2" t="n">
        <x:f>IF(H131=1,F131-E131,"")</x:f>
        <x:v>7</x:v>
      </x:c>
      <x:c r="L131" s="2" t="n">
        <x:v>9</x:v>
      </x:c>
      <x:c r="M131" s="2" t="n">
        <x:v>5</x:v>
      </x:c>
      <x:c r="N131" s="20" t="n">
        <x:v>0.2</x:v>
      </x:c>
      <x:c r="O131" s="20" t="n">
        <x:v>0.2</x:v>
      </x:c>
      <x:c r="P131" s="20" t="n">
        <x:v>0.25</x:v>
      </x:c>
      <x:c r="Q131" s="2" t="n">
        <x:v>51</x:v>
      </x:c>
      <x:c r="R131" s="2" t="str">
        <x:v>ISTP</x:v>
      </x:c>
      <x:c r="S131" s="2" t="str">
        <x:v>华南</x:v>
      </x:c>
      <x:c r="T131" s="2" t="str">
        <x:v>生产运输或体力岗位</x:v>
      </x:c>
    </x:row>
    <x:row r="132" ht="24" customHeight="1">
      <x:c r="A132" s="2" t="str">
        <x:v>D020_T02_C020_G025</x:v>
      </x:c>
      <x:c r="B132" s="2" t="str">
        <x:v>A0011</x:v>
      </x:c>
      <x:c r="C132" s="2" t="str">
        <x:v>inside</x:v>
      </x:c>
      <x:c r="D132" s="2" t="n">
        <x:v>2</x:v>
      </x:c>
      <x:c r="E132" s="2" t="n">
        <x:v>1</x:v>
      </x:c>
      <x:c r="F132" s="2" t="n">
        <x:v>3</x:v>
      </x:c>
      <x:c r="G132" s="2" t="str">
        <x:v>observed_post_release</x:v>
      </x:c>
      <x:c r="H132" s="2" t="n">
        <x:f>IF(AND(ISNUMBER(F132),F132&gt;=D132),1,0)</x:f>
        <x:v>1</x:v>
      </x:c>
      <x:c r="I132" s="2" t="n">
        <x:f>IF(AND(ISNUMBER(F132),F132&gt;D132),1,0)</x:f>
        <x:v>1</x:v>
      </x:c>
      <x:c r="J132" s="2" t="n">
        <x:f>IF(H132=1,F132-D132,"")</x:f>
        <x:v>1</x:v>
      </x:c>
      <x:c r="K132" s="2" t="n">
        <x:f>IF(H132=1,F132-E132,"")</x:f>
        <x:v>2</x:v>
      </x:c>
      <x:c r="L132" s="2" t="n">
        <x:v>9</x:v>
      </x:c>
      <x:c r="M132" s="2" t="n">
        <x:v>2</x:v>
      </x:c>
      <x:c r="N132" s="20" t="n">
        <x:v>0.2</x:v>
      </x:c>
      <x:c r="O132" s="20" t="n">
        <x:v>0.2</x:v>
      </x:c>
      <x:c r="P132" s="20" t="n">
        <x:v>0.25</x:v>
      </x:c>
      <x:c r="Q132" s="2" t="n">
        <x:v>42</x:v>
      </x:c>
      <x:c r="R132" s="2" t="str">
        <x:v>ENFJ</x:v>
      </x:c>
      <x:c r="S132" s="2" t="str">
        <x:v>西南</x:v>
      </x:c>
      <x:c r="T132" s="2" t="str">
        <x:v>行政或办公室岗位</x:v>
      </x:c>
    </x:row>
    <x:row r="133" ht="24" customHeight="1">
      <x:c r="A133" s="2" t="str">
        <x:v>D020_T02_C020_G025</x:v>
      </x:c>
      <x:c r="B133" s="2" t="str">
        <x:v>A0012</x:v>
      </x:c>
      <x:c r="C133" s="2" t="str">
        <x:v>inside</x:v>
      </x:c>
      <x:c r="D133" s="2" t="n">
        <x:v>2</x:v>
      </x:c>
      <x:c r="E133" s="2" t="n">
        <x:v>1</x:v>
      </x:c>
      <x:c r="F133" s="2"/>
      <x:c r="G133" s="2" t="str">
        <x:v>right_censored</x:v>
      </x:c>
      <x:c r="H133" s="2" t="n">
        <x:f>IF(AND(ISNUMBER(F133),F133&gt;=D133),1,0)</x:f>
        <x:v>0</x:v>
      </x:c>
      <x:c r="I133" s="2" t="n">
        <x:f>IF(AND(ISNUMBER(F133),F133&gt;D133),1,0)</x:f>
        <x:v>0</x:v>
      </x:c>
      <x:c r="J133" s="2" t="str">
        <x:f>IF(H133=1,F133-D133,"")</x:f>
      </x:c>
      <x:c r="K133" s="2" t="str">
        <x:f>IF(H133=1,F133-E133,"")</x:f>
      </x:c>
      <x:c r="L133" s="2" t="n">
        <x:v>9</x:v>
      </x:c>
      <x:c r="M133" s="2" t="n">
        <x:v>3</x:v>
      </x:c>
      <x:c r="N133" s="20" t="n">
        <x:v>0.2</x:v>
      </x:c>
      <x:c r="O133" s="20" t="n">
        <x:v>0.2</x:v>
      </x:c>
      <x:c r="P133" s="20" t="n">
        <x:v>0.25</x:v>
      </x:c>
      <x:c r="Q133" s="2" t="n">
        <x:v>38</x:v>
      </x:c>
      <x:c r="R133" s="2" t="str">
        <x:v>ESFP</x:v>
      </x:c>
      <x:c r="S133" s="2" t="str">
        <x:v>华中</x:v>
      </x:c>
      <x:c r="T133" s="2" t="str">
        <x:v>行政或办公室岗位</x:v>
      </x:c>
    </x:row>
    <x:row r="134" ht="24" customHeight="1">
      <x:c r="A134" s="2" t="str">
        <x:v>D020_T02_C020_G025</x:v>
      </x:c>
      <x:c r="B134" s="2" t="str">
        <x:v>A0014</x:v>
      </x:c>
      <x:c r="C134" s="2" t="str">
        <x:v>inside</x:v>
      </x:c>
      <x:c r="D134" s="2" t="n">
        <x:v>2</x:v>
      </x:c>
      <x:c r="E134" s="2" t="n">
        <x:v>1</x:v>
      </x:c>
      <x:c r="F134" s="2" t="n">
        <x:v>3</x:v>
      </x:c>
      <x:c r="G134" s="2" t="str">
        <x:v>observed_post_release</x:v>
      </x:c>
      <x:c r="H134" s="2" t="n">
        <x:f>IF(AND(ISNUMBER(F134),F134&gt;=D134),1,0)</x:f>
        <x:v>1</x:v>
      </x:c>
      <x:c r="I134" s="2" t="n">
        <x:f>IF(AND(ISNUMBER(F134),F134&gt;D134),1,0)</x:f>
        <x:v>1</x:v>
      </x:c>
      <x:c r="J134" s="2" t="n">
        <x:f>IF(H134=1,F134-D134,"")</x:f>
        <x:v>1</x:v>
      </x:c>
      <x:c r="K134" s="2" t="n">
        <x:f>IF(H134=1,F134-E134,"")</x:f>
        <x:v>2</x:v>
      </x:c>
      <x:c r="L134" s="2" t="n">
        <x:v>9</x:v>
      </x:c>
      <x:c r="M134" s="2" t="n">
        <x:v>2</x:v>
      </x:c>
      <x:c r="N134" s="20" t="n">
        <x:v>0.2</x:v>
      </x:c>
      <x:c r="O134" s="20" t="n">
        <x:v>0.2</x:v>
      </x:c>
      <x:c r="P134" s="20" t="n">
        <x:v>0.25</x:v>
      </x:c>
      <x:c r="Q134" s="2" t="n">
        <x:v>52</x:v>
      </x:c>
      <x:c r="R134" s="2" t="str">
        <x:v>INFJ</x:v>
      </x:c>
      <x:c r="S134" s="2" t="str">
        <x:v>华东</x:v>
      </x:c>
      <x:c r="T134" s="2" t="str">
        <x:v>生产运输或体力岗位</x:v>
      </x:c>
    </x:row>
    <x:row r="135" ht="24" customHeight="1">
      <x:c r="A135" s="2" t="str">
        <x:v>D020_T02_C020_G025</x:v>
      </x:c>
      <x:c r="B135" s="2" t="str">
        <x:v>A0017</x:v>
      </x:c>
      <x:c r="C135" s="2" t="str">
        <x:v>inside</x:v>
      </x:c>
      <x:c r="D135" s="2" t="n">
        <x:v>2</x:v>
      </x:c>
      <x:c r="E135" s="2" t="n">
        <x:v>1</x:v>
      </x:c>
      <x:c r="F135" s="2"/>
      <x:c r="G135" s="2" t="str">
        <x:v>right_censored</x:v>
      </x:c>
      <x:c r="H135" s="2" t="n">
        <x:f>IF(AND(ISNUMBER(F135),F135&gt;=D135),1,0)</x:f>
        <x:v>0</x:v>
      </x:c>
      <x:c r="I135" s="2" t="n">
        <x:f>IF(AND(ISNUMBER(F135),F135&gt;D135),1,0)</x:f>
        <x:v>0</x:v>
      </x:c>
      <x:c r="J135" s="2" t="str">
        <x:f>IF(H135=1,F135-D135,"")</x:f>
      </x:c>
      <x:c r="K135" s="2" t="str">
        <x:f>IF(H135=1,F135-E135,"")</x:f>
      </x:c>
      <x:c r="L135" s="2" t="n">
        <x:v>9</x:v>
      </x:c>
      <x:c r="M135" s="2" t="n">
        <x:v>5</x:v>
      </x:c>
      <x:c r="N135" s="20" t="n">
        <x:v>0.2</x:v>
      </x:c>
      <x:c r="O135" s="20" t="n">
        <x:v>0.2</x:v>
      </x:c>
      <x:c r="P135" s="20" t="n">
        <x:v>0.25</x:v>
      </x:c>
      <x:c r="Q135" s="2" t="n">
        <x:v>30</x:v>
      </x:c>
      <x:c r="R135" s="2" t="str">
        <x:v>ISTJ</x:v>
      </x:c>
      <x:c r="S135" s="2" t="str">
        <x:v>华东</x:v>
      </x:c>
      <x:c r="T135" s="2" t="str">
        <x:v>商业服务岗位</x:v>
      </x:c>
    </x:row>
    <x:row r="136" ht="24" customHeight="1">
      <x:c r="A136" s="2" t="str">
        <x:v>D020_T02_C020_G025</x:v>
      </x:c>
      <x:c r="B136" s="2" t="str">
        <x:v>A0018</x:v>
      </x:c>
      <x:c r="C136" s="2" t="str">
        <x:v>inside</x:v>
      </x:c>
      <x:c r="D136" s="2" t="n">
        <x:v>2</x:v>
      </x:c>
      <x:c r="E136" s="2" t="n">
        <x:v>1</x:v>
      </x:c>
      <x:c r="F136" s="2"/>
      <x:c r="G136" s="2" t="str">
        <x:v>right_censored</x:v>
      </x:c>
      <x:c r="H136" s="2" t="n">
        <x:f>IF(AND(ISNUMBER(F136),F136&gt;=D136),1,0)</x:f>
        <x:v>0</x:v>
      </x:c>
      <x:c r="I136" s="2" t="n">
        <x:f>IF(AND(ISNUMBER(F136),F136&gt;D136),1,0)</x:f>
        <x:v>0</x:v>
      </x:c>
      <x:c r="J136" s="2" t="str">
        <x:f>IF(H136=1,F136-D136,"")</x:f>
      </x:c>
      <x:c r="K136" s="2" t="str">
        <x:f>IF(H136=1,F136-E136,"")</x:f>
      </x:c>
      <x:c r="L136" s="2" t="n">
        <x:v>9</x:v>
      </x:c>
      <x:c r="M136" s="2" t="n">
        <x:v>5</x:v>
      </x:c>
      <x:c r="N136" s="20" t="n">
        <x:v>0.2</x:v>
      </x:c>
      <x:c r="O136" s="20" t="n">
        <x:v>0.2</x:v>
      </x:c>
      <x:c r="P136" s="20" t="n">
        <x:v>0.25</x:v>
      </x:c>
      <x:c r="Q136" s="2" t="n">
        <x:v>60</x:v>
      </x:c>
      <x:c r="R136" s="2" t="str">
        <x:v>INTJ</x:v>
      </x:c>
      <x:c r="S136" s="2" t="str">
        <x:v>华南</x:v>
      </x:c>
      <x:c r="T136" s="2" t="str">
        <x:v>专业技术岗位</x:v>
      </x:c>
    </x:row>
    <x:row r="137" ht="24" customHeight="1">
      <x:c r="A137" s="2" t="str">
        <x:v>D020_T02_C020_G025</x:v>
      </x:c>
      <x:c r="B137" s="2" t="str">
        <x:v>A0025</x:v>
      </x:c>
      <x:c r="C137" s="2" t="str">
        <x:v>inside</x:v>
      </x:c>
      <x:c r="D137" s="2" t="n">
        <x:v>2</x:v>
      </x:c>
      <x:c r="E137" s="2" t="n">
        <x:v>1</x:v>
      </x:c>
      <x:c r="F137" s="2" t="n">
        <x:v>8</x:v>
      </x:c>
      <x:c r="G137" s="2" t="str">
        <x:v>observed_post_release</x:v>
      </x:c>
      <x:c r="H137" s="2" t="n">
        <x:f>IF(AND(ISNUMBER(F137),F137&gt;=D137),1,0)</x:f>
        <x:v>1</x:v>
      </x:c>
      <x:c r="I137" s="2" t="n">
        <x:f>IF(AND(ISNUMBER(F137),F137&gt;D137),1,0)</x:f>
        <x:v>1</x:v>
      </x:c>
      <x:c r="J137" s="2" t="n">
        <x:f>IF(H137=1,F137-D137,"")</x:f>
        <x:v>6</x:v>
      </x:c>
      <x:c r="K137" s="2" t="n">
        <x:f>IF(H137=1,F137-E137,"")</x:f>
        <x:v>7</x:v>
      </x:c>
      <x:c r="L137" s="2" t="n">
        <x:v>9</x:v>
      </x:c>
      <x:c r="M137" s="2" t="n">
        <x:v>2</x:v>
      </x:c>
      <x:c r="N137" s="20" t="n">
        <x:v>0.2</x:v>
      </x:c>
      <x:c r="O137" s="20" t="n">
        <x:v>0.2</x:v>
      </x:c>
      <x:c r="P137" s="20" t="n">
        <x:v>0.25</x:v>
      </x:c>
      <x:c r="Q137" s="2" t="n">
        <x:v>23</x:v>
      </x:c>
      <x:c r="R137" s="2" t="str">
        <x:v>ISTP</x:v>
      </x:c>
      <x:c r="S137" s="2" t="str">
        <x:v>华南</x:v>
      </x:c>
      <x:c r="T137" s="2" t="str">
        <x:v>行政或办公室岗位</x:v>
      </x:c>
    </x:row>
    <x:row r="138" ht="24" customHeight="1">
      <x:c r="A138" s="2" t="str">
        <x:v>D020_T02_C020_G025</x:v>
      </x:c>
      <x:c r="B138" s="2" t="str">
        <x:v>A0029</x:v>
      </x:c>
      <x:c r="C138" s="2" t="str">
        <x:v>inside</x:v>
      </x:c>
      <x:c r="D138" s="2" t="n">
        <x:v>2</x:v>
      </x:c>
      <x:c r="E138" s="2" t="n">
        <x:v>1</x:v>
      </x:c>
      <x:c r="F138" s="2" t="n">
        <x:v>7</x:v>
      </x:c>
      <x:c r="G138" s="2" t="str">
        <x:v>observed_post_release</x:v>
      </x:c>
      <x:c r="H138" s="2" t="n">
        <x:f>IF(AND(ISNUMBER(F138),F138&gt;=D138),1,0)</x:f>
        <x:v>1</x:v>
      </x:c>
      <x:c r="I138" s="2" t="n">
        <x:f>IF(AND(ISNUMBER(F138),F138&gt;D138),1,0)</x:f>
        <x:v>1</x:v>
      </x:c>
      <x:c r="J138" s="2" t="n">
        <x:f>IF(H138=1,F138-D138,"")</x:f>
        <x:v>5</x:v>
      </x:c>
      <x:c r="K138" s="2" t="n">
        <x:f>IF(H138=1,F138-E138,"")</x:f>
        <x:v>6</x:v>
      </x:c>
      <x:c r="L138" s="2" t="n">
        <x:v>9</x:v>
      </x:c>
      <x:c r="M138" s="2" t="n">
        <x:v>3</x:v>
      </x:c>
      <x:c r="N138" s="20" t="n">
        <x:v>0.2</x:v>
      </x:c>
      <x:c r="O138" s="20" t="n">
        <x:v>0.2</x:v>
      </x:c>
      <x:c r="P138" s="20" t="n">
        <x:v>0.25</x:v>
      </x:c>
      <x:c r="Q138" s="2" t="n">
        <x:v>69</x:v>
      </x:c>
      <x:c r="R138" s="2" t="str">
        <x:v>ENTP</x:v>
      </x:c>
      <x:c r="S138" s="2" t="str">
        <x:v>华东</x:v>
      </x:c>
      <x:c r="T138" s="2" t="str">
        <x:v>退休人员</x:v>
      </x:c>
    </x:row>
    <x:row r="139" ht="24" customHeight="1">
      <x:c r="A139" s="2" t="str">
        <x:v>D020_T02_C020_G025</x:v>
      </x:c>
      <x:c r="B139" s="2" t="str">
        <x:v>A0032</x:v>
      </x:c>
      <x:c r="C139" s="2" t="str">
        <x:v>inside</x:v>
      </x:c>
      <x:c r="D139" s="2" t="n">
        <x:v>2</x:v>
      </x:c>
      <x:c r="E139" s="2" t="n">
        <x:v>1</x:v>
      </x:c>
      <x:c r="F139" s="2" t="n">
        <x:v>10</x:v>
      </x:c>
      <x:c r="G139" s="2" t="str">
        <x:v>observed_post_release</x:v>
      </x:c>
      <x:c r="H139" s="2" t="n">
        <x:f>IF(AND(ISNUMBER(F139),F139&gt;=D139),1,0)</x:f>
        <x:v>1</x:v>
      </x:c>
      <x:c r="I139" s="2" t="n">
        <x:f>IF(AND(ISNUMBER(F139),F139&gt;D139),1,0)</x:f>
        <x:v>1</x:v>
      </x:c>
      <x:c r="J139" s="2" t="n">
        <x:f>IF(H139=1,F139-D139,"")</x:f>
        <x:v>8</x:v>
      </x:c>
      <x:c r="K139" s="2" t="n">
        <x:f>IF(H139=1,F139-E139,"")</x:f>
        <x:v>9</x:v>
      </x:c>
      <x:c r="L139" s="2" t="n">
        <x:v>9</x:v>
      </x:c>
      <x:c r="M139" s="2" t="n">
        <x:v>2</x:v>
      </x:c>
      <x:c r="N139" s="20" t="n">
        <x:v>0.2</x:v>
      </x:c>
      <x:c r="O139" s="20" t="n">
        <x:v>0.2</x:v>
      </x:c>
      <x:c r="P139" s="20" t="n">
        <x:v>0.25</x:v>
      </x:c>
      <x:c r="Q139" s="2" t="n">
        <x:v>53</x:v>
      </x:c>
      <x:c r="R139" s="2" t="str">
        <x:v>INTP</x:v>
      </x:c>
      <x:c r="S139" s="2" t="str">
        <x:v>华北</x:v>
      </x:c>
      <x:c r="T139" s="2" t="str">
        <x:v>个体经营或自由职业</x:v>
      </x:c>
    </x:row>
    <x:row r="140" ht="24" customHeight="1">
      <x:c r="A140" s="2" t="str">
        <x:v>D020_T02_C020_G025</x:v>
      </x:c>
      <x:c r="B140" s="2" t="str">
        <x:v>A0033</x:v>
      </x:c>
      <x:c r="C140" s="2" t="str">
        <x:v>inside</x:v>
      </x:c>
      <x:c r="D140" s="2" t="n">
        <x:v>2</x:v>
      </x:c>
      <x:c r="E140" s="2" t="n">
        <x:v>1</x:v>
      </x:c>
      <x:c r="F140" s="2" t="n">
        <x:v>3</x:v>
      </x:c>
      <x:c r="G140" s="2" t="str">
        <x:v>observed_post_release</x:v>
      </x:c>
      <x:c r="H140" s="2" t="n">
        <x:f>IF(AND(ISNUMBER(F140),F140&gt;=D140),1,0)</x:f>
        <x:v>1</x:v>
      </x:c>
      <x:c r="I140" s="2" t="n">
        <x:f>IF(AND(ISNUMBER(F140),F140&gt;D140),1,0)</x:f>
        <x:v>1</x:v>
      </x:c>
      <x:c r="J140" s="2" t="n">
        <x:f>IF(H140=1,F140-D140,"")</x:f>
        <x:v>1</x:v>
      </x:c>
      <x:c r="K140" s="2" t="n">
        <x:f>IF(H140=1,F140-E140,"")</x:f>
        <x:v>2</x:v>
      </x:c>
      <x:c r="L140" s="2" t="n">
        <x:v>9</x:v>
      </x:c>
      <x:c r="M140" s="2" t="n">
        <x:v>3</x:v>
      </x:c>
      <x:c r="N140" s="20" t="n">
        <x:v>0.2</x:v>
      </x:c>
      <x:c r="O140" s="20" t="n">
        <x:v>0.2</x:v>
      </x:c>
      <x:c r="P140" s="20" t="n">
        <x:v>0.25</x:v>
      </x:c>
      <x:c r="Q140" s="2" t="n">
        <x:v>55</x:v>
      </x:c>
      <x:c r="R140" s="2" t="str">
        <x:v>ENFP</x:v>
      </x:c>
      <x:c r="S140" s="2" t="str">
        <x:v>华南</x:v>
      </x:c>
      <x:c r="T140" s="2" t="str">
        <x:v>个体经营或自由职业</x:v>
      </x:c>
    </x:row>
    <x:row r="141" ht="24" customHeight="1">
      <x:c r="A141" s="2" t="str">
        <x:v>D020_T02_C020_G025</x:v>
      </x:c>
      <x:c r="B141" s="2" t="str">
        <x:v>A0034</x:v>
      </x:c>
      <x:c r="C141" s="2" t="str">
        <x:v>inside</x:v>
      </x:c>
      <x:c r="D141" s="2" t="n">
        <x:v>2</x:v>
      </x:c>
      <x:c r="E141" s="2" t="n">
        <x:v>1</x:v>
      </x:c>
      <x:c r="F141" s="2" t="n">
        <x:v>9</x:v>
      </x:c>
      <x:c r="G141" s="2" t="str">
        <x:v>observed_post_release</x:v>
      </x:c>
      <x:c r="H141" s="2" t="n">
        <x:f>IF(AND(ISNUMBER(F141),F141&gt;=D141),1,0)</x:f>
        <x:v>1</x:v>
      </x:c>
      <x:c r="I141" s="2" t="n">
        <x:f>IF(AND(ISNUMBER(F141),F141&gt;D141),1,0)</x:f>
        <x:v>1</x:v>
      </x:c>
      <x:c r="J141" s="2" t="n">
        <x:f>IF(H141=1,F141-D141,"")</x:f>
        <x:v>7</x:v>
      </x:c>
      <x:c r="K141" s="2" t="n">
        <x:f>IF(H141=1,F141-E141,"")</x:f>
        <x:v>8</x:v>
      </x:c>
      <x:c r="L141" s="2" t="n">
        <x:v>9</x:v>
      </x:c>
      <x:c r="M141" s="2" t="n">
        <x:v>5</x:v>
      </x:c>
      <x:c r="N141" s="20" t="n">
        <x:v>0.2</x:v>
      </x:c>
      <x:c r="O141" s="20" t="n">
        <x:v>0.2</x:v>
      </x:c>
      <x:c r="P141" s="20" t="n">
        <x:v>0.25</x:v>
      </x:c>
      <x:c r="Q141" s="2" t="n">
        <x:v>36</x:v>
      </x:c>
      <x:c r="R141" s="2" t="str">
        <x:v>INTP</x:v>
      </x:c>
      <x:c r="S141" s="2" t="str">
        <x:v>华南</x:v>
      </x:c>
      <x:c r="T141" s="2" t="str">
        <x:v>专业技术岗位</x:v>
      </x:c>
    </x:row>
    <x:row r="142" ht="24" customHeight="1">
      <x:c r="A142" s="2" t="str">
        <x:v>D020_T02_C020_G025</x:v>
      </x:c>
      <x:c r="B142" s="2" t="str">
        <x:v>A0035</x:v>
      </x:c>
      <x:c r="C142" s="2" t="str">
        <x:v>inside</x:v>
      </x:c>
      <x:c r="D142" s="2" t="n">
        <x:v>2</x:v>
      </x:c>
      <x:c r="E142" s="2" t="n">
        <x:v>1</x:v>
      </x:c>
      <x:c r="F142" s="2"/>
      <x:c r="G142" s="2" t="str">
        <x:v>right_censored</x:v>
      </x:c>
      <x:c r="H142" s="2" t="n">
        <x:f>IF(AND(ISNUMBER(F142),F142&gt;=D142),1,0)</x:f>
        <x:v>0</x:v>
      </x:c>
      <x:c r="I142" s="2" t="n">
        <x:f>IF(AND(ISNUMBER(F142),F142&gt;D142),1,0)</x:f>
        <x:v>0</x:v>
      </x:c>
      <x:c r="J142" s="2" t="str">
        <x:f>IF(H142=1,F142-D142,"")</x:f>
      </x:c>
      <x:c r="K142" s="2" t="str">
        <x:f>IF(H142=1,F142-E142,"")</x:f>
      </x:c>
      <x:c r="L142" s="2" t="n">
        <x:v>9</x:v>
      </x:c>
      <x:c r="M142" s="2" t="n">
        <x:v>4</x:v>
      </x:c>
      <x:c r="N142" s="20" t="n">
        <x:v>0.2</x:v>
      </x:c>
      <x:c r="O142" s="20" t="n">
        <x:v>0.2</x:v>
      </x:c>
      <x:c r="P142" s="20" t="n">
        <x:v>0.25</x:v>
      </x:c>
      <x:c r="Q142" s="2" t="n">
        <x:v>42</x:v>
      </x:c>
      <x:c r="R142" s="2" t="str">
        <x:v>ISFJ</x:v>
      </x:c>
      <x:c r="S142" s="2" t="str">
        <x:v>华南</x:v>
      </x:c>
      <x:c r="T142" s="2" t="str">
        <x:v>专业技术岗位</x:v>
      </x:c>
    </x:row>
    <x:row r="143" ht="24" customHeight="1">
      <x:c r="A143" s="2" t="str">
        <x:v>D020_T02_C020_G025</x:v>
      </x:c>
      <x:c r="B143" s="2" t="str">
        <x:v>A0040</x:v>
      </x:c>
      <x:c r="C143" s="2" t="str">
        <x:v>inside</x:v>
      </x:c>
      <x:c r="D143" s="2" t="n">
        <x:v>2</x:v>
      </x:c>
      <x:c r="E143" s="2" t="n">
        <x:v>1</x:v>
      </x:c>
      <x:c r="F143" s="2" t="n">
        <x:v>7</x:v>
      </x:c>
      <x:c r="G143" s="2" t="str">
        <x:v>observed_post_release</x:v>
      </x:c>
      <x:c r="H143" s="2" t="n">
        <x:f>IF(AND(ISNUMBER(F143),F143&gt;=D143),1,0)</x:f>
        <x:v>1</x:v>
      </x:c>
      <x:c r="I143" s="2" t="n">
        <x:f>IF(AND(ISNUMBER(F143),F143&gt;D143),1,0)</x:f>
        <x:v>1</x:v>
      </x:c>
      <x:c r="J143" s="2" t="n">
        <x:f>IF(H143=1,F143-D143,"")</x:f>
        <x:v>5</x:v>
      </x:c>
      <x:c r="K143" s="2" t="n">
        <x:f>IF(H143=1,F143-E143,"")</x:f>
        <x:v>6</x:v>
      </x:c>
      <x:c r="L143" s="2" t="n">
        <x:v>9</x:v>
      </x:c>
      <x:c r="M143" s="2" t="n">
        <x:v>4</x:v>
      </x:c>
      <x:c r="N143" s="20" t="n">
        <x:v>0.2</x:v>
      </x:c>
      <x:c r="O143" s="20" t="n">
        <x:v>0.2</x:v>
      </x:c>
      <x:c r="P143" s="20" t="n">
        <x:v>0.25</x:v>
      </x:c>
      <x:c r="Q143" s="2" t="n">
        <x:v>48</x:v>
      </x:c>
      <x:c r="R143" s="2" t="str">
        <x:v>INFP</x:v>
      </x:c>
      <x:c r="S143" s="2" t="str">
        <x:v>西北</x:v>
      </x:c>
      <x:c r="T143" s="2" t="str">
        <x:v>个体经营或自由职业</x:v>
      </x:c>
    </x:row>
    <x:row r="144" ht="24" customHeight="1">
      <x:c r="A144" s="2" t="str">
        <x:v>D020_T02_C020_G025</x:v>
      </x:c>
      <x:c r="B144" s="2" t="str">
        <x:v>A0041</x:v>
      </x:c>
      <x:c r="C144" s="2" t="str">
        <x:v>inside</x:v>
      </x:c>
      <x:c r="D144" s="2" t="n">
        <x:v>2</x:v>
      </x:c>
      <x:c r="E144" s="2" t="n">
        <x:v>1</x:v>
      </x:c>
      <x:c r="F144" s="2"/>
      <x:c r="G144" s="2" t="str">
        <x:v>right_censored</x:v>
      </x:c>
      <x:c r="H144" s="2" t="n">
        <x:f>IF(AND(ISNUMBER(F144),F144&gt;=D144),1,0)</x:f>
        <x:v>0</x:v>
      </x:c>
      <x:c r="I144" s="2" t="n">
        <x:f>IF(AND(ISNUMBER(F144),F144&gt;D144),1,0)</x:f>
        <x:v>0</x:v>
      </x:c>
      <x:c r="J144" s="2" t="str">
        <x:f>IF(H144=1,F144-D144,"")</x:f>
      </x:c>
      <x:c r="K144" s="2" t="str">
        <x:f>IF(H144=1,F144-E144,"")</x:f>
      </x:c>
      <x:c r="L144" s="2" t="n">
        <x:v>9</x:v>
      </x:c>
      <x:c r="M144" s="2"/>
      <x:c r="N144" s="20" t="n">
        <x:v>0.2</x:v>
      </x:c>
      <x:c r="O144" s="20" t="n">
        <x:v>0.2</x:v>
      </x:c>
      <x:c r="P144" s="20" t="n">
        <x:v>0.25</x:v>
      </x:c>
      <x:c r="Q144" s="2" t="n">
        <x:v>62</x:v>
      </x:c>
      <x:c r="R144" s="2" t="str">
        <x:v>ISFJ</x:v>
      </x:c>
      <x:c r="S144" s="2" t="str">
        <x:v>西北</x:v>
      </x:c>
      <x:c r="T144" s="2" t="str">
        <x:v>个体经营或自由职业</x:v>
      </x:c>
    </x:row>
    <x:row r="145" ht="24" customHeight="1">
      <x:c r="A145" s="2" t="str">
        <x:v>D020_T02_C020_G025</x:v>
      </x:c>
      <x:c r="B145" s="2" t="str">
        <x:v>A0071</x:v>
      </x:c>
      <x:c r="C145" s="2" t="str">
        <x:v>inside</x:v>
      </x:c>
      <x:c r="D145" s="2" t="n">
        <x:v>2</x:v>
      </x:c>
      <x:c r="E145" s="2" t="n">
        <x:v>1</x:v>
      </x:c>
      <x:c r="F145" s="2"/>
      <x:c r="G145" s="2" t="str">
        <x:v>right_censored</x:v>
      </x:c>
      <x:c r="H145" s="2" t="n">
        <x:f>IF(AND(ISNUMBER(F145),F145&gt;=D145),1,0)</x:f>
        <x:v>0</x:v>
      </x:c>
      <x:c r="I145" s="2" t="n">
        <x:f>IF(AND(ISNUMBER(F145),F145&gt;D145),1,0)</x:f>
        <x:v>0</x:v>
      </x:c>
      <x:c r="J145" s="2" t="str">
        <x:f>IF(H145=1,F145-D145,"")</x:f>
      </x:c>
      <x:c r="K145" s="2" t="str">
        <x:f>IF(H145=1,F145-E145,"")</x:f>
      </x:c>
      <x:c r="L145" s="2" t="n">
        <x:v>9</x:v>
      </x:c>
      <x:c r="M145" s="2" t="n">
        <x:v>4</x:v>
      </x:c>
      <x:c r="N145" s="20" t="n">
        <x:v>0.2</x:v>
      </x:c>
      <x:c r="O145" s="20" t="n">
        <x:v>0.2</x:v>
      </x:c>
      <x:c r="P145" s="20" t="n">
        <x:v>0.25</x:v>
      </x:c>
      <x:c r="Q145" s="2" t="n">
        <x:v>33</x:v>
      </x:c>
      <x:c r="R145" s="2" t="str">
        <x:v>ISTJ</x:v>
      </x:c>
      <x:c r="S145" s="2" t="str">
        <x:v>华东</x:v>
      </x:c>
      <x:c r="T145" s="2" t="str">
        <x:v>商业服务岗位</x:v>
      </x:c>
    </x:row>
    <x:row r="146" ht="24" customHeight="1">
      <x:c r="A146" s="2" t="str">
        <x:v>D020_T02_C020_G025</x:v>
      </x:c>
      <x:c r="B146" s="2" t="str">
        <x:v>A0090</x:v>
      </x:c>
      <x:c r="C146" s="2" t="str">
        <x:v>inside</x:v>
      </x:c>
      <x:c r="D146" s="2" t="n">
        <x:v>2</x:v>
      </x:c>
      <x:c r="E146" s="2" t="n">
        <x:v>1</x:v>
      </x:c>
      <x:c r="F146" s="2" t="n">
        <x:v>6</x:v>
      </x:c>
      <x:c r="G146" s="2" t="str">
        <x:v>observed_post_release</x:v>
      </x:c>
      <x:c r="H146" s="2" t="n">
        <x:f>IF(AND(ISNUMBER(F146),F146&gt;=D146),1,0)</x:f>
        <x:v>1</x:v>
      </x:c>
      <x:c r="I146" s="2" t="n">
        <x:f>IF(AND(ISNUMBER(F146),F146&gt;D146),1,0)</x:f>
        <x:v>1</x:v>
      </x:c>
      <x:c r="J146" s="2" t="n">
        <x:f>IF(H146=1,F146-D146,"")</x:f>
        <x:v>4</x:v>
      </x:c>
      <x:c r="K146" s="2" t="n">
        <x:f>IF(H146=1,F146-E146,"")</x:f>
        <x:v>5</x:v>
      </x:c>
      <x:c r="L146" s="2" t="n">
        <x:v>9</x:v>
      </x:c>
      <x:c r="M146" s="2" t="n">
        <x:v>3</x:v>
      </x:c>
      <x:c r="N146" s="20" t="n">
        <x:v>0.2</x:v>
      </x:c>
      <x:c r="O146" s="20" t="n">
        <x:v>0.2</x:v>
      </x:c>
      <x:c r="P146" s="20" t="n">
        <x:v>0.25</x:v>
      </x:c>
      <x:c r="Q146" s="2" t="n">
        <x:v>46</x:v>
      </x:c>
      <x:c r="R146" s="2" t="str">
        <x:v>ENFJ</x:v>
      </x:c>
      <x:c r="S146" s="2" t="str">
        <x:v>西北</x:v>
      </x:c>
      <x:c r="T146" s="2" t="str">
        <x:v>个体经营或自由职业</x:v>
      </x:c>
    </x:row>
    <x:row r="147" ht="24" customHeight="1">
      <x:c r="A147" s="2" t="str">
        <x:v>D020_T02_C020_G025</x:v>
      </x:c>
      <x:c r="B147" s="2" t="str">
        <x:v>A0206</x:v>
      </x:c>
      <x:c r="C147" s="2" t="str">
        <x:v>inside</x:v>
      </x:c>
      <x:c r="D147" s="2" t="n">
        <x:v>2</x:v>
      </x:c>
      <x:c r="E147" s="2" t="n">
        <x:v>1</x:v>
      </x:c>
      <x:c r="F147" s="2" t="n">
        <x:v>3</x:v>
      </x:c>
      <x:c r="G147" s="2" t="str">
        <x:v>observed_post_release</x:v>
      </x:c>
      <x:c r="H147" s="2" t="n">
        <x:f>IF(AND(ISNUMBER(F147),F147&gt;=D147),1,0)</x:f>
        <x:v>1</x:v>
      </x:c>
      <x:c r="I147" s="2" t="n">
        <x:f>IF(AND(ISNUMBER(F147),F147&gt;D147),1,0)</x:f>
        <x:v>1</x:v>
      </x:c>
      <x:c r="J147" s="2" t="n">
        <x:f>IF(H147=1,F147-D147,"")</x:f>
        <x:v>1</x:v>
      </x:c>
      <x:c r="K147" s="2" t="n">
        <x:f>IF(H147=1,F147-E147,"")</x:f>
        <x:v>2</x:v>
      </x:c>
      <x:c r="L147" s="2" t="n">
        <x:v>9</x:v>
      </x:c>
      <x:c r="M147" s="2" t="n">
        <x:v>2</x:v>
      </x:c>
      <x:c r="N147" s="20" t="n">
        <x:v>0.2</x:v>
      </x:c>
      <x:c r="O147" s="20" t="n">
        <x:v>0.2</x:v>
      </x:c>
      <x:c r="P147" s="20" t="n">
        <x:v>0.25</x:v>
      </x:c>
      <x:c r="Q147" s="2" t="n">
        <x:v>21</x:v>
      </x:c>
      <x:c r="R147" s="2" t="str">
        <x:v>ESTP</x:v>
      </x:c>
      <x:c r="S147" s="2" t="str">
        <x:v>西北</x:v>
      </x:c>
      <x:c r="T147" s="2" t="str">
        <x:v>暂未就业或家庭照料</x:v>
      </x:c>
    </x:row>
    <x:row r="148" ht="24" customHeight="1">
      <x:c r="A148" s="2" t="str">
        <x:v>D020_T02_C020_G050</x:v>
      </x:c>
      <x:c r="B148" s="2" t="str">
        <x:v>A0001</x:v>
      </x:c>
      <x:c r="C148" s="2" t="str">
        <x:v>inside</x:v>
      </x:c>
      <x:c r="D148" s="2" t="n">
        <x:v>2</x:v>
      </x:c>
      <x:c r="E148" s="2" t="n">
        <x:v>1</x:v>
      </x:c>
      <x:c r="F148" s="2" t="n">
        <x:v>3</x:v>
      </x:c>
      <x:c r="G148" s="2" t="str">
        <x:v>observed_post_release</x:v>
      </x:c>
      <x:c r="H148" s="2" t="n">
        <x:f>IF(AND(ISNUMBER(F148),F148&gt;=D148),1,0)</x:f>
        <x:v>1</x:v>
      </x:c>
      <x:c r="I148" s="2" t="n">
        <x:f>IF(AND(ISNUMBER(F148),F148&gt;D148),1,0)</x:f>
        <x:v>1</x:v>
      </x:c>
      <x:c r="J148" s="2" t="n">
        <x:f>IF(H148=1,F148-D148,"")</x:f>
        <x:v>1</x:v>
      </x:c>
      <x:c r="K148" s="2" t="n">
        <x:f>IF(H148=1,F148-E148,"")</x:f>
        <x:v>2</x:v>
      </x:c>
      <x:c r="L148" s="2" t="n">
        <x:v>9</x:v>
      </x:c>
      <x:c r="M148" s="2" t="n">
        <x:v>3</x:v>
      </x:c>
      <x:c r="N148" s="20" t="n">
        <x:v>0.2</x:v>
      </x:c>
      <x:c r="O148" s="20" t="n">
        <x:v>0.2</x:v>
      </x:c>
      <x:c r="P148" s="20" t="n">
        <x:v>0.5</x:v>
      </x:c>
      <x:c r="Q148" s="2" t="n">
        <x:v>22</x:v>
      </x:c>
      <x:c r="R148" s="2" t="str">
        <x:v>ESTJ</x:v>
      </x:c>
      <x:c r="S148" s="2" t="str">
        <x:v>华南</x:v>
      </x:c>
      <x:c r="T148" s="2" t="str">
        <x:v>在校学生</x:v>
      </x:c>
    </x:row>
    <x:row r="149" ht="24" customHeight="1">
      <x:c r="A149" s="2" t="str">
        <x:v>D020_T02_C020_G050</x:v>
      </x:c>
      <x:c r="B149" s="2" t="str">
        <x:v>A0005</x:v>
      </x:c>
      <x:c r="C149" s="2" t="str">
        <x:v>inside</x:v>
      </x:c>
      <x:c r="D149" s="2" t="n">
        <x:v>2</x:v>
      </x:c>
      <x:c r="E149" s="2" t="n">
        <x:v>1</x:v>
      </x:c>
      <x:c r="F149" s="2"/>
      <x:c r="G149" s="2" t="str">
        <x:v>right_censored</x:v>
      </x:c>
      <x:c r="H149" s="2" t="n">
        <x:f>IF(AND(ISNUMBER(F149),F149&gt;=D149),1,0)</x:f>
        <x:v>0</x:v>
      </x:c>
      <x:c r="I149" s="2" t="n">
        <x:f>IF(AND(ISNUMBER(F149),F149&gt;D149),1,0)</x:f>
        <x:v>0</x:v>
      </x:c>
      <x:c r="J149" s="2" t="str">
        <x:f>IF(H149=1,F149-D149,"")</x:f>
      </x:c>
      <x:c r="K149" s="2" t="str">
        <x:f>IF(H149=1,F149-E149,"")</x:f>
      </x:c>
      <x:c r="L149" s="2" t="n">
        <x:v>9</x:v>
      </x:c>
      <x:c r="M149" s="2"/>
      <x:c r="N149" s="20" t="n">
        <x:v>0.2</x:v>
      </x:c>
      <x:c r="O149" s="20" t="n">
        <x:v>0.2</x:v>
      </x:c>
      <x:c r="P149" s="20" t="n">
        <x:v>0.5</x:v>
      </x:c>
      <x:c r="Q149" s="2" t="n">
        <x:v>51</x:v>
      </x:c>
      <x:c r="R149" s="2" t="str">
        <x:v>ISTP</x:v>
      </x:c>
      <x:c r="S149" s="2" t="str">
        <x:v>华南</x:v>
      </x:c>
      <x:c r="T149" s="2" t="str">
        <x:v>生产运输或体力岗位</x:v>
      </x:c>
    </x:row>
    <x:row r="150" ht="24" customHeight="1">
      <x:c r="A150" s="2" t="str">
        <x:v>D020_T02_C020_G050</x:v>
      </x:c>
      <x:c r="B150" s="2" t="str">
        <x:v>A0011</x:v>
      </x:c>
      <x:c r="C150" s="2" t="str">
        <x:v>inside</x:v>
      </x:c>
      <x:c r="D150" s="2" t="n">
        <x:v>2</x:v>
      </x:c>
      <x:c r="E150" s="2" t="n">
        <x:v>1</x:v>
      </x:c>
      <x:c r="F150" s="2" t="n">
        <x:v>3</x:v>
      </x:c>
      <x:c r="G150" s="2" t="str">
        <x:v>observed_post_release</x:v>
      </x:c>
      <x:c r="H150" s="2" t="n">
        <x:f>IF(AND(ISNUMBER(F150),F150&gt;=D150),1,0)</x:f>
        <x:v>1</x:v>
      </x:c>
      <x:c r="I150" s="2" t="n">
        <x:f>IF(AND(ISNUMBER(F150),F150&gt;D150),1,0)</x:f>
        <x:v>1</x:v>
      </x:c>
      <x:c r="J150" s="2" t="n">
        <x:f>IF(H150=1,F150-D150,"")</x:f>
        <x:v>1</x:v>
      </x:c>
      <x:c r="K150" s="2" t="n">
        <x:f>IF(H150=1,F150-E150,"")</x:f>
        <x:v>2</x:v>
      </x:c>
      <x:c r="L150" s="2" t="n">
        <x:v>9</x:v>
      </x:c>
      <x:c r="M150" s="2" t="n">
        <x:v>2</x:v>
      </x:c>
      <x:c r="N150" s="20" t="n">
        <x:v>0.2</x:v>
      </x:c>
      <x:c r="O150" s="20" t="n">
        <x:v>0.2</x:v>
      </x:c>
      <x:c r="P150" s="20" t="n">
        <x:v>0.5</x:v>
      </x:c>
      <x:c r="Q150" s="2" t="n">
        <x:v>42</x:v>
      </x:c>
      <x:c r="R150" s="2" t="str">
        <x:v>ENFJ</x:v>
      </x:c>
      <x:c r="S150" s="2" t="str">
        <x:v>西南</x:v>
      </x:c>
      <x:c r="T150" s="2" t="str">
        <x:v>行政或办公室岗位</x:v>
      </x:c>
    </x:row>
    <x:row r="151" ht="24" customHeight="1">
      <x:c r="A151" s="2" t="str">
        <x:v>D020_T02_C020_G050</x:v>
      </x:c>
      <x:c r="B151" s="2" t="str">
        <x:v>A0012</x:v>
      </x:c>
      <x:c r="C151" s="2" t="str">
        <x:v>inside</x:v>
      </x:c>
      <x:c r="D151" s="2" t="n">
        <x:v>2</x:v>
      </x:c>
      <x:c r="E151" s="2" t="n">
        <x:v>1</x:v>
      </x:c>
      <x:c r="F151" s="2"/>
      <x:c r="G151" s="2" t="str">
        <x:v>right_censored</x:v>
      </x:c>
      <x:c r="H151" s="2" t="n">
        <x:f>IF(AND(ISNUMBER(F151),F151&gt;=D151),1,0)</x:f>
        <x:v>0</x:v>
      </x:c>
      <x:c r="I151" s="2" t="n">
        <x:f>IF(AND(ISNUMBER(F151),F151&gt;D151),1,0)</x:f>
        <x:v>0</x:v>
      </x:c>
      <x:c r="J151" s="2" t="str">
        <x:f>IF(H151=1,F151-D151,"")</x:f>
      </x:c>
      <x:c r="K151" s="2" t="str">
        <x:f>IF(H151=1,F151-E151,"")</x:f>
      </x:c>
      <x:c r="L151" s="2" t="n">
        <x:v>9</x:v>
      </x:c>
      <x:c r="M151" s="2"/>
      <x:c r="N151" s="20" t="n">
        <x:v>0.2</x:v>
      </x:c>
      <x:c r="O151" s="20" t="n">
        <x:v>0.2</x:v>
      </x:c>
      <x:c r="P151" s="20" t="n">
        <x:v>0.5</x:v>
      </x:c>
      <x:c r="Q151" s="2" t="n">
        <x:v>38</x:v>
      </x:c>
      <x:c r="R151" s="2" t="str">
        <x:v>ESFP</x:v>
      </x:c>
      <x:c r="S151" s="2" t="str">
        <x:v>华中</x:v>
      </x:c>
      <x:c r="T151" s="2" t="str">
        <x:v>行政或办公室岗位</x:v>
      </x:c>
    </x:row>
    <x:row r="152" ht="24" customHeight="1">
      <x:c r="A152" s="2" t="str">
        <x:v>D020_T02_C020_G050</x:v>
      </x:c>
      <x:c r="B152" s="2" t="str">
        <x:v>A0014</x:v>
      </x:c>
      <x:c r="C152" s="2" t="str">
        <x:v>inside</x:v>
      </x:c>
      <x:c r="D152" s="2" t="n">
        <x:v>2</x:v>
      </x:c>
      <x:c r="E152" s="2" t="n">
        <x:v>1</x:v>
      </x:c>
      <x:c r="F152" s="2" t="n">
        <x:v>2</x:v>
      </x:c>
      <x:c r="G152" s="2" t="str">
        <x:v>observed_post_release</x:v>
      </x:c>
      <x:c r="H152" s="2" t="n">
        <x:f>IF(AND(ISNUMBER(F152),F152&gt;=D152),1,0)</x:f>
        <x:v>1</x:v>
      </x:c>
      <x:c r="I152" s="2" t="n">
        <x:f>IF(AND(ISNUMBER(F152),F152&gt;D152),1,0)</x:f>
        <x:v>0</x:v>
      </x:c>
      <x:c r="J152" s="2" t="n">
        <x:f>IF(H152=1,F152-D152,"")</x:f>
        <x:v>0</x:v>
      </x:c>
      <x:c r="K152" s="2" t="n">
        <x:f>IF(H152=1,F152-E152,"")</x:f>
        <x:v>1</x:v>
      </x:c>
      <x:c r="L152" s="2" t="n">
        <x:v>9</x:v>
      </x:c>
      <x:c r="M152" s="2" t="n">
        <x:v>2</x:v>
      </x:c>
      <x:c r="N152" s="20" t="n">
        <x:v>0.2</x:v>
      </x:c>
      <x:c r="O152" s="20" t="n">
        <x:v>0.2</x:v>
      </x:c>
      <x:c r="P152" s="20" t="n">
        <x:v>0.5</x:v>
      </x:c>
      <x:c r="Q152" s="2" t="n">
        <x:v>52</x:v>
      </x:c>
      <x:c r="R152" s="2" t="str">
        <x:v>INFJ</x:v>
      </x:c>
      <x:c r="S152" s="2" t="str">
        <x:v>华东</x:v>
      </x:c>
      <x:c r="T152" s="2" t="str">
        <x:v>生产运输或体力岗位</x:v>
      </x:c>
    </x:row>
    <x:row r="153" ht="24" customHeight="1">
      <x:c r="A153" s="2" t="str">
        <x:v>D020_T02_C020_G050</x:v>
      </x:c>
      <x:c r="B153" s="2" t="str">
        <x:v>A0017</x:v>
      </x:c>
      <x:c r="C153" s="2" t="str">
        <x:v>inside</x:v>
      </x:c>
      <x:c r="D153" s="2" t="n">
        <x:v>2</x:v>
      </x:c>
      <x:c r="E153" s="2" t="n">
        <x:v>1</x:v>
      </x:c>
      <x:c r="F153" s="2" t="n">
        <x:v>4</x:v>
      </x:c>
      <x:c r="G153" s="2" t="str">
        <x:v>observed_post_release</x:v>
      </x:c>
      <x:c r="H153" s="2" t="n">
        <x:f>IF(AND(ISNUMBER(F153),F153&gt;=D153),1,0)</x:f>
        <x:v>1</x:v>
      </x:c>
      <x:c r="I153" s="2" t="n">
        <x:f>IF(AND(ISNUMBER(F153),F153&gt;D153),1,0)</x:f>
        <x:v>1</x:v>
      </x:c>
      <x:c r="J153" s="2" t="n">
        <x:f>IF(H153=1,F153-D153,"")</x:f>
        <x:v>2</x:v>
      </x:c>
      <x:c r="K153" s="2" t="n">
        <x:f>IF(H153=1,F153-E153,"")</x:f>
        <x:v>3</x:v>
      </x:c>
      <x:c r="L153" s="2" t="n">
        <x:v>9</x:v>
      </x:c>
      <x:c r="M153" s="2" t="n">
        <x:v>4</x:v>
      </x:c>
      <x:c r="N153" s="20" t="n">
        <x:v>0.2</x:v>
      </x:c>
      <x:c r="O153" s="20" t="n">
        <x:v>0.2</x:v>
      </x:c>
      <x:c r="P153" s="20" t="n">
        <x:v>0.5</x:v>
      </x:c>
      <x:c r="Q153" s="2" t="n">
        <x:v>30</x:v>
      </x:c>
      <x:c r="R153" s="2" t="str">
        <x:v>ISTJ</x:v>
      </x:c>
      <x:c r="S153" s="2" t="str">
        <x:v>华东</x:v>
      </x:c>
      <x:c r="T153" s="2" t="str">
        <x:v>商业服务岗位</x:v>
      </x:c>
    </x:row>
    <x:row r="154" ht="24" customHeight="1">
      <x:c r="A154" s="2" t="str">
        <x:v>D020_T02_C020_G050</x:v>
      </x:c>
      <x:c r="B154" s="2" t="str">
        <x:v>A0019</x:v>
      </x:c>
      <x:c r="C154" s="2" t="str">
        <x:v>inside</x:v>
      </x:c>
      <x:c r="D154" s="2" t="n">
        <x:v>2</x:v>
      </x:c>
      <x:c r="E154" s="2" t="n">
        <x:v>1</x:v>
      </x:c>
      <x:c r="F154" s="2"/>
      <x:c r="G154" s="2" t="str">
        <x:v>right_censored</x:v>
      </x:c>
      <x:c r="H154" s="2" t="n">
        <x:f>IF(AND(ISNUMBER(F154),F154&gt;=D154),1,0)</x:f>
        <x:v>0</x:v>
      </x:c>
      <x:c r="I154" s="2" t="n">
        <x:f>IF(AND(ISNUMBER(F154),F154&gt;D154),1,0)</x:f>
        <x:v>0</x:v>
      </x:c>
      <x:c r="J154" s="2" t="str">
        <x:f>IF(H154=1,F154-D154,"")</x:f>
      </x:c>
      <x:c r="K154" s="2" t="str">
        <x:f>IF(H154=1,F154-E154,"")</x:f>
      </x:c>
      <x:c r="L154" s="2" t="n">
        <x:v>9</x:v>
      </x:c>
      <x:c r="M154" s="2"/>
      <x:c r="N154" s="20" t="n">
        <x:v>0.2</x:v>
      </x:c>
      <x:c r="O154" s="20" t="n">
        <x:v>0.2</x:v>
      </x:c>
      <x:c r="P154" s="20" t="n">
        <x:v>0.5</x:v>
      </x:c>
      <x:c r="Q154" s="2" t="n">
        <x:v>19</x:v>
      </x:c>
      <x:c r="R154" s="2" t="str">
        <x:v>INTJ</x:v>
      </x:c>
      <x:c r="S154" s="2" t="str">
        <x:v>西南</x:v>
      </x:c>
      <x:c r="T154" s="2" t="str">
        <x:v>行政或办公室岗位</x:v>
      </x:c>
    </x:row>
    <x:row r="155" ht="24" customHeight="1">
      <x:c r="A155" s="2" t="str">
        <x:v>D020_T02_C020_G050</x:v>
      </x:c>
      <x:c r="B155" s="2" t="str">
        <x:v>A0025</x:v>
      </x:c>
      <x:c r="C155" s="2" t="str">
        <x:v>inside</x:v>
      </x:c>
      <x:c r="D155" s="2" t="n">
        <x:v>2</x:v>
      </x:c>
      <x:c r="E155" s="2" t="n">
        <x:v>1</x:v>
      </x:c>
      <x:c r="F155" s="2" t="n">
        <x:v>2</x:v>
      </x:c>
      <x:c r="G155" s="2" t="str">
        <x:v>observed_post_release</x:v>
      </x:c>
      <x:c r="H155" s="2" t="n">
        <x:f>IF(AND(ISNUMBER(F155),F155&gt;=D155),1,0)</x:f>
        <x:v>1</x:v>
      </x:c>
      <x:c r="I155" s="2" t="n">
        <x:f>IF(AND(ISNUMBER(F155),F155&gt;D155),1,0)</x:f>
        <x:v>0</x:v>
      </x:c>
      <x:c r="J155" s="2" t="n">
        <x:f>IF(H155=1,F155-D155,"")</x:f>
        <x:v>0</x:v>
      </x:c>
      <x:c r="K155" s="2" t="n">
        <x:f>IF(H155=1,F155-E155,"")</x:f>
        <x:v>1</x:v>
      </x:c>
      <x:c r="L155" s="2" t="n">
        <x:v>9</x:v>
      </x:c>
      <x:c r="M155" s="2" t="n">
        <x:v>2</x:v>
      </x:c>
      <x:c r="N155" s="20" t="n">
        <x:v>0.2</x:v>
      </x:c>
      <x:c r="O155" s="20" t="n">
        <x:v>0.2</x:v>
      </x:c>
      <x:c r="P155" s="20" t="n">
        <x:v>0.5</x:v>
      </x:c>
      <x:c r="Q155" s="2" t="n">
        <x:v>23</x:v>
      </x:c>
      <x:c r="R155" s="2" t="str">
        <x:v>ISTP</x:v>
      </x:c>
      <x:c r="S155" s="2" t="str">
        <x:v>华南</x:v>
      </x:c>
      <x:c r="T155" s="2" t="str">
        <x:v>行政或办公室岗位</x:v>
      </x:c>
    </x:row>
    <x:row r="156" ht="24" customHeight="1">
      <x:c r="A156" s="2" t="str">
        <x:v>D020_T02_C020_G050</x:v>
      </x:c>
      <x:c r="B156" s="2" t="str">
        <x:v>A0032</x:v>
      </x:c>
      <x:c r="C156" s="2" t="str">
        <x:v>inside</x:v>
      </x:c>
      <x:c r="D156" s="2" t="n">
        <x:v>2</x:v>
      </x:c>
      <x:c r="E156" s="2" t="n">
        <x:v>1</x:v>
      </x:c>
      <x:c r="F156" s="2" t="n">
        <x:v>2</x:v>
      </x:c>
      <x:c r="G156" s="2" t="str">
        <x:v>observed_post_release</x:v>
      </x:c>
      <x:c r="H156" s="2" t="n">
        <x:f>IF(AND(ISNUMBER(F156),F156&gt;=D156),1,0)</x:f>
        <x:v>1</x:v>
      </x:c>
      <x:c r="I156" s="2" t="n">
        <x:f>IF(AND(ISNUMBER(F156),F156&gt;D156),1,0)</x:f>
        <x:v>0</x:v>
      </x:c>
      <x:c r="J156" s="2" t="n">
        <x:f>IF(H156=1,F156-D156,"")</x:f>
        <x:v>0</x:v>
      </x:c>
      <x:c r="K156" s="2" t="n">
        <x:f>IF(H156=1,F156-E156,"")</x:f>
        <x:v>1</x:v>
      </x:c>
      <x:c r="L156" s="2" t="n">
        <x:v>9</x:v>
      </x:c>
      <x:c r="M156" s="2" t="n">
        <x:v>2</x:v>
      </x:c>
      <x:c r="N156" s="20" t="n">
        <x:v>0.2</x:v>
      </x:c>
      <x:c r="O156" s="20" t="n">
        <x:v>0.2</x:v>
      </x:c>
      <x:c r="P156" s="20" t="n">
        <x:v>0.5</x:v>
      </x:c>
      <x:c r="Q156" s="2" t="n">
        <x:v>53</x:v>
      </x:c>
      <x:c r="R156" s="2" t="str">
        <x:v>INTP</x:v>
      </x:c>
      <x:c r="S156" s="2" t="str">
        <x:v>华北</x:v>
      </x:c>
      <x:c r="T156" s="2" t="str">
        <x:v>个体经营或自由职业</x:v>
      </x:c>
    </x:row>
    <x:row r="157" ht="24" customHeight="1">
      <x:c r="A157" s="2" t="str">
        <x:v>D020_T02_C020_G050</x:v>
      </x:c>
      <x:c r="B157" s="2" t="str">
        <x:v>A0034</x:v>
      </x:c>
      <x:c r="C157" s="2" t="str">
        <x:v>inside</x:v>
      </x:c>
      <x:c r="D157" s="2" t="n">
        <x:v>2</x:v>
      </x:c>
      <x:c r="E157" s="2" t="n">
        <x:v>1</x:v>
      </x:c>
      <x:c r="F157" s="2" t="n">
        <x:v>5</x:v>
      </x:c>
      <x:c r="G157" s="2" t="str">
        <x:v>observed_post_release</x:v>
      </x:c>
      <x:c r="H157" s="2" t="n">
        <x:f>IF(AND(ISNUMBER(F157),F157&gt;=D157),1,0)</x:f>
        <x:v>1</x:v>
      </x:c>
      <x:c r="I157" s="2" t="n">
        <x:f>IF(AND(ISNUMBER(F157),F157&gt;D157),1,0)</x:f>
        <x:v>1</x:v>
      </x:c>
      <x:c r="J157" s="2" t="n">
        <x:f>IF(H157=1,F157-D157,"")</x:f>
        <x:v>3</x:v>
      </x:c>
      <x:c r="K157" s="2" t="n">
        <x:f>IF(H157=1,F157-E157,"")</x:f>
        <x:v>4</x:v>
      </x:c>
      <x:c r="L157" s="2" t="n">
        <x:v>9</x:v>
      </x:c>
      <x:c r="M157" s="2" t="n">
        <x:v>5</x:v>
      </x:c>
      <x:c r="N157" s="20" t="n">
        <x:v>0.2</x:v>
      </x:c>
      <x:c r="O157" s="20" t="n">
        <x:v>0.2</x:v>
      </x:c>
      <x:c r="P157" s="20" t="n">
        <x:v>0.5</x:v>
      </x:c>
      <x:c r="Q157" s="2" t="n">
        <x:v>36</x:v>
      </x:c>
      <x:c r="R157" s="2" t="str">
        <x:v>INTP</x:v>
      </x:c>
      <x:c r="S157" s="2" t="str">
        <x:v>华南</x:v>
      </x:c>
      <x:c r="T157" s="2" t="str">
        <x:v>专业技术岗位</x:v>
      </x:c>
    </x:row>
    <x:row r="158" ht="24" customHeight="1">
      <x:c r="A158" s="2" t="str">
        <x:v>D020_T02_C020_G050</x:v>
      </x:c>
      <x:c r="B158" s="2" t="str">
        <x:v>A0035</x:v>
      </x:c>
      <x:c r="C158" s="2" t="str">
        <x:v>inside</x:v>
      </x:c>
      <x:c r="D158" s="2" t="n">
        <x:v>2</x:v>
      </x:c>
      <x:c r="E158" s="2" t="n">
        <x:v>1</x:v>
      </x:c>
      <x:c r="F158" s="2" t="n">
        <x:v>5</x:v>
      </x:c>
      <x:c r="G158" s="2" t="str">
        <x:v>observed_post_release</x:v>
      </x:c>
      <x:c r="H158" s="2" t="n">
        <x:f>IF(AND(ISNUMBER(F158),F158&gt;=D158),1,0)</x:f>
        <x:v>1</x:v>
      </x:c>
      <x:c r="I158" s="2" t="n">
        <x:f>IF(AND(ISNUMBER(F158),F158&gt;D158),1,0)</x:f>
        <x:v>1</x:v>
      </x:c>
      <x:c r="J158" s="2" t="n">
        <x:f>IF(H158=1,F158-D158,"")</x:f>
        <x:v>3</x:v>
      </x:c>
      <x:c r="K158" s="2" t="n">
        <x:f>IF(H158=1,F158-E158,"")</x:f>
        <x:v>4</x:v>
      </x:c>
      <x:c r="L158" s="2" t="n">
        <x:v>9</x:v>
      </x:c>
      <x:c r="M158" s="2" t="n">
        <x:v>5</x:v>
      </x:c>
      <x:c r="N158" s="20" t="n">
        <x:v>0.2</x:v>
      </x:c>
      <x:c r="O158" s="20" t="n">
        <x:v>0.2</x:v>
      </x:c>
      <x:c r="P158" s="20" t="n">
        <x:v>0.5</x:v>
      </x:c>
      <x:c r="Q158" s="2" t="n">
        <x:v>42</x:v>
      </x:c>
      <x:c r="R158" s="2" t="str">
        <x:v>ISFJ</x:v>
      </x:c>
      <x:c r="S158" s="2" t="str">
        <x:v>华南</x:v>
      </x:c>
      <x:c r="T158" s="2" t="str">
        <x:v>专业技术岗位</x:v>
      </x:c>
    </x:row>
    <x:row r="159" ht="24" customHeight="1">
      <x:c r="A159" s="2" t="str">
        <x:v>D020_T02_C020_G050</x:v>
      </x:c>
      <x:c r="B159" s="2" t="str">
        <x:v>A0037</x:v>
      </x:c>
      <x:c r="C159" s="2" t="str">
        <x:v>inside</x:v>
      </x:c>
      <x:c r="D159" s="2" t="n">
        <x:v>2</x:v>
      </x:c>
      <x:c r="E159" s="2" t="n">
        <x:v>1</x:v>
      </x:c>
      <x:c r="F159" s="2"/>
      <x:c r="G159" s="2" t="str">
        <x:v>right_censored</x:v>
      </x:c>
      <x:c r="H159" s="2" t="n">
        <x:f>IF(AND(ISNUMBER(F159),F159&gt;=D159),1,0)</x:f>
        <x:v>0</x:v>
      </x:c>
      <x:c r="I159" s="2" t="n">
        <x:f>IF(AND(ISNUMBER(F159),F159&gt;D159),1,0)</x:f>
        <x:v>0</x:v>
      </x:c>
      <x:c r="J159" s="2" t="str">
        <x:f>IF(H159=1,F159-D159,"")</x:f>
      </x:c>
      <x:c r="K159" s="2" t="str">
        <x:f>IF(H159=1,F159-E159,"")</x:f>
      </x:c>
      <x:c r="L159" s="2" t="n">
        <x:v>9</x:v>
      </x:c>
      <x:c r="M159" s="2"/>
      <x:c r="N159" s="20" t="n">
        <x:v>0.2</x:v>
      </x:c>
      <x:c r="O159" s="20" t="n">
        <x:v>0.2</x:v>
      </x:c>
      <x:c r="P159" s="20" t="n">
        <x:v>0.5</x:v>
      </x:c>
      <x:c r="Q159" s="2" t="n">
        <x:v>24</x:v>
      </x:c>
      <x:c r="R159" s="2" t="str">
        <x:v>ENTP</x:v>
      </x:c>
      <x:c r="S159" s="2" t="str">
        <x:v>华南</x:v>
      </x:c>
      <x:c r="T159" s="2" t="str">
        <x:v>在校学生</x:v>
      </x:c>
    </x:row>
    <x:row r="160" ht="24" customHeight="1">
      <x:c r="A160" s="2" t="str">
        <x:v>D020_T02_C020_G050</x:v>
      </x:c>
      <x:c r="B160" s="2" t="str">
        <x:v>A0040</x:v>
      </x:c>
      <x:c r="C160" s="2" t="str">
        <x:v>inside</x:v>
      </x:c>
      <x:c r="D160" s="2" t="n">
        <x:v>2</x:v>
      </x:c>
      <x:c r="E160" s="2" t="n">
        <x:v>4</x:v>
      </x:c>
      <x:c r="F160" s="2" t="n">
        <x:v>5</x:v>
      </x:c>
      <x:c r="G160" s="2" t="str">
        <x:v>observed_post_release</x:v>
      </x:c>
      <x:c r="H160" s="2" t="n">
        <x:f>IF(AND(ISNUMBER(F160),F160&gt;=D160),1,0)</x:f>
        <x:v>1</x:v>
      </x:c>
      <x:c r="I160" s="2" t="n">
        <x:f>IF(AND(ISNUMBER(F160),F160&gt;D160),1,0)</x:f>
        <x:v>1</x:v>
      </x:c>
      <x:c r="J160" s="2" t="n">
        <x:f>IF(H160=1,F160-D160,"")</x:f>
        <x:v>3</x:v>
      </x:c>
      <x:c r="K160" s="2" t="n">
        <x:f>IF(H160=1,F160-E160,"")</x:f>
        <x:v>1</x:v>
      </x:c>
      <x:c r="L160" s="2" t="n">
        <x:v>6</x:v>
      </x:c>
      <x:c r="M160" s="2" t="n">
        <x:v>5</x:v>
      </x:c>
      <x:c r="N160" s="20" t="n">
        <x:v>0.2</x:v>
      </x:c>
      <x:c r="O160" s="20" t="n">
        <x:v>0.2</x:v>
      </x:c>
      <x:c r="P160" s="20" t="n">
        <x:v>0.5</x:v>
      </x:c>
      <x:c r="Q160" s="2" t="n">
        <x:v>48</x:v>
      </x:c>
      <x:c r="R160" s="2" t="str">
        <x:v>INFP</x:v>
      </x:c>
      <x:c r="S160" s="2" t="str">
        <x:v>西北</x:v>
      </x:c>
      <x:c r="T160" s="2" t="str">
        <x:v>个体经营或自由职业</x:v>
      </x:c>
    </x:row>
    <x:row r="161" ht="24" customHeight="1">
      <x:c r="A161" s="2" t="str">
        <x:v>D020_T02_C020_G050</x:v>
      </x:c>
      <x:c r="B161" s="2" t="str">
        <x:v>A0041</x:v>
      </x:c>
      <x:c r="C161" s="2" t="str">
        <x:v>inside</x:v>
      </x:c>
      <x:c r="D161" s="2" t="n">
        <x:v>2</x:v>
      </x:c>
      <x:c r="E161" s="2" t="n">
        <x:v>1</x:v>
      </x:c>
      <x:c r="F161" s="2"/>
      <x:c r="G161" s="2" t="str">
        <x:v>right_censored</x:v>
      </x:c>
      <x:c r="H161" s="2" t="n">
        <x:f>IF(AND(ISNUMBER(F161),F161&gt;=D161),1,0)</x:f>
        <x:v>0</x:v>
      </x:c>
      <x:c r="I161" s="2" t="n">
        <x:f>IF(AND(ISNUMBER(F161),F161&gt;D161),1,0)</x:f>
        <x:v>0</x:v>
      </x:c>
      <x:c r="J161" s="2" t="str">
        <x:f>IF(H161=1,F161-D161,"")</x:f>
      </x:c>
      <x:c r="K161" s="2" t="str">
        <x:f>IF(H161=1,F161-E161,"")</x:f>
      </x:c>
      <x:c r="L161" s="2" t="n">
        <x:v>9</x:v>
      </x:c>
      <x:c r="M161" s="2"/>
      <x:c r="N161" s="20" t="n">
        <x:v>0.2</x:v>
      </x:c>
      <x:c r="O161" s="20" t="n">
        <x:v>0.2</x:v>
      </x:c>
      <x:c r="P161" s="20" t="n">
        <x:v>0.5</x:v>
      </x:c>
      <x:c r="Q161" s="2" t="n">
        <x:v>62</x:v>
      </x:c>
      <x:c r="R161" s="2" t="str">
        <x:v>ISFJ</x:v>
      </x:c>
      <x:c r="S161" s="2" t="str">
        <x:v>西北</x:v>
      </x:c>
      <x:c r="T161" s="2" t="str">
        <x:v>个体经营或自由职业</x:v>
      </x:c>
    </x:row>
    <x:row r="162" ht="24" customHeight="1">
      <x:c r="A162" s="2" t="str">
        <x:v>D020_T02_C020_G050</x:v>
      </x:c>
      <x:c r="B162" s="2" t="str">
        <x:v>A0090</x:v>
      </x:c>
      <x:c r="C162" s="2" t="str">
        <x:v>inside</x:v>
      </x:c>
      <x:c r="D162" s="2" t="n">
        <x:v>2</x:v>
      </x:c>
      <x:c r="E162" s="2" t="n">
        <x:v>1</x:v>
      </x:c>
      <x:c r="F162" s="2" t="n">
        <x:v>5</x:v>
      </x:c>
      <x:c r="G162" s="2" t="str">
        <x:v>observed_post_release</x:v>
      </x:c>
      <x:c r="H162" s="2" t="n">
        <x:f>IF(AND(ISNUMBER(F162),F162&gt;=D162),1,0)</x:f>
        <x:v>1</x:v>
      </x:c>
      <x:c r="I162" s="2" t="n">
        <x:f>IF(AND(ISNUMBER(F162),F162&gt;D162),1,0)</x:f>
        <x:v>1</x:v>
      </x:c>
      <x:c r="J162" s="2" t="n">
        <x:f>IF(H162=1,F162-D162,"")</x:f>
        <x:v>3</x:v>
      </x:c>
      <x:c r="K162" s="2" t="n">
        <x:f>IF(H162=1,F162-E162,"")</x:f>
        <x:v>4</x:v>
      </x:c>
      <x:c r="L162" s="2" t="n">
        <x:v>9</x:v>
      </x:c>
      <x:c r="M162" s="2" t="n">
        <x:v>5</x:v>
      </x:c>
      <x:c r="N162" s="20" t="n">
        <x:v>0.2</x:v>
      </x:c>
      <x:c r="O162" s="20" t="n">
        <x:v>0.2</x:v>
      </x:c>
      <x:c r="P162" s="20" t="n">
        <x:v>0.5</x:v>
      </x:c>
      <x:c r="Q162" s="2" t="n">
        <x:v>46</x:v>
      </x:c>
      <x:c r="R162" s="2" t="str">
        <x:v>ENFJ</x:v>
      </x:c>
      <x:c r="S162" s="2" t="str">
        <x:v>西北</x:v>
      </x:c>
      <x:c r="T162" s="2" t="str">
        <x:v>个体经营或自由职业</x:v>
      </x:c>
    </x:row>
    <x:row r="163" ht="24" customHeight="1">
      <x:c r="A163" s="2" t="str">
        <x:v>D020_T02_C020_G050</x:v>
      </x:c>
      <x:c r="B163" s="2" t="str">
        <x:v>A0206</x:v>
      </x:c>
      <x:c r="C163" s="2" t="str">
        <x:v>inside</x:v>
      </x:c>
      <x:c r="D163" s="2" t="n">
        <x:v>2</x:v>
      </x:c>
      <x:c r="E163" s="2" t="n">
        <x:v>1</x:v>
      </x:c>
      <x:c r="F163" s="2" t="n">
        <x:v>2</x:v>
      </x:c>
      <x:c r="G163" s="2" t="str">
        <x:v>observed_post_release</x:v>
      </x:c>
      <x:c r="H163" s="2" t="n">
        <x:f>IF(AND(ISNUMBER(F163),F163&gt;=D163),1,0)</x:f>
        <x:v>1</x:v>
      </x:c>
      <x:c r="I163" s="2" t="n">
        <x:f>IF(AND(ISNUMBER(F163),F163&gt;D163),1,0)</x:f>
        <x:v>0</x:v>
      </x:c>
      <x:c r="J163" s="2" t="n">
        <x:f>IF(H163=1,F163-D163,"")</x:f>
        <x:v>0</x:v>
      </x:c>
      <x:c r="K163" s="2" t="n">
        <x:f>IF(H163=1,F163-E163,"")</x:f>
        <x:v>1</x:v>
      </x:c>
      <x:c r="L163" s="2" t="n">
        <x:v>9</x:v>
      </x:c>
      <x:c r="M163" s="2" t="n">
        <x:v>2</x:v>
      </x:c>
      <x:c r="N163" s="20" t="n">
        <x:v>0.2</x:v>
      </x:c>
      <x:c r="O163" s="20" t="n">
        <x:v>0.2</x:v>
      </x:c>
      <x:c r="P163" s="20" t="n">
        <x:v>0.5</x:v>
      </x:c>
      <x:c r="Q163" s="2" t="n">
        <x:v>21</x:v>
      </x:c>
      <x:c r="R163" s="2" t="str">
        <x:v>ESTP</x:v>
      </x:c>
      <x:c r="S163" s="2" t="str">
        <x:v>西北</x:v>
      </x:c>
      <x:c r="T163" s="2" t="str">
        <x:v>暂未就业或家庭照料</x:v>
      </x:c>
    </x:row>
    <x:row r="164" ht="24" customHeight="1">
      <x:c r="A164" s="2" t="str">
        <x:v>D020_T02_C020_G075</x:v>
      </x:c>
      <x:c r="B164" s="2" t="str">
        <x:v>A0003</x:v>
      </x:c>
      <x:c r="C164" s="2" t="str">
        <x:v>inside</x:v>
      </x:c>
      <x:c r="D164" s="2" t="n">
        <x:v>2</x:v>
      </x:c>
      <x:c r="E164" s="2" t="n">
        <x:v>1</x:v>
      </x:c>
      <x:c r="F164" s="2" t="n">
        <x:v>2</x:v>
      </x:c>
      <x:c r="G164" s="2" t="str">
        <x:v>observed_post_release</x:v>
      </x:c>
      <x:c r="H164" s="2" t="n">
        <x:f>IF(AND(ISNUMBER(F164),F164&gt;=D164),1,0)</x:f>
        <x:v>1</x:v>
      </x:c>
      <x:c r="I164" s="2" t="n">
        <x:f>IF(AND(ISNUMBER(F164),F164&gt;D164),1,0)</x:f>
        <x:v>0</x:v>
      </x:c>
      <x:c r="J164" s="2" t="n">
        <x:f>IF(H164=1,F164-D164,"")</x:f>
        <x:v>0</x:v>
      </x:c>
      <x:c r="K164" s="2" t="n">
        <x:f>IF(H164=1,F164-E164,"")</x:f>
        <x:v>1</x:v>
      </x:c>
      <x:c r="L164" s="2" t="n">
        <x:v>9</x:v>
      </x:c>
      <x:c r="M164" s="2" t="n">
        <x:v>2</x:v>
      </x:c>
      <x:c r="N164" s="20" t="n">
        <x:v>0.2</x:v>
      </x:c>
      <x:c r="O164" s="20" t="n">
        <x:v>0.2</x:v>
      </x:c>
      <x:c r="P164" s="20" t="n">
        <x:v>0.75</x:v>
      </x:c>
      <x:c r="Q164" s="2" t="n">
        <x:v>20</x:v>
      </x:c>
      <x:c r="R164" s="2" t="str">
        <x:v>ENFP</x:v>
      </x:c>
      <x:c r="S164" s="2" t="str">
        <x:v>华北</x:v>
      </x:c>
      <x:c r="T164" s="2" t="str">
        <x:v>行政或办公室岗位</x:v>
      </x:c>
    </x:row>
    <x:row r="165" ht="24" customHeight="1">
      <x:c r="A165" s="2" t="str">
        <x:v>D020_T02_C020_G075</x:v>
      </x:c>
      <x:c r="B165" s="2" t="str">
        <x:v>A0008</x:v>
      </x:c>
      <x:c r="C165" s="2" t="str">
        <x:v>inside</x:v>
      </x:c>
      <x:c r="D165" s="2" t="n">
        <x:v>2</x:v>
      </x:c>
      <x:c r="E165" s="2" t="n">
        <x:v>3</x:v>
      </x:c>
      <x:c r="F165" s="2" t="n">
        <x:v>4</x:v>
      </x:c>
      <x:c r="G165" s="2" t="str">
        <x:v>observed_post_release</x:v>
      </x:c>
      <x:c r="H165" s="2" t="n">
        <x:f>IF(AND(ISNUMBER(F165),F165&gt;=D165),1,0)</x:f>
        <x:v>1</x:v>
      </x:c>
      <x:c r="I165" s="2" t="n">
        <x:f>IF(AND(ISNUMBER(F165),F165&gt;D165),1,0)</x:f>
        <x:v>1</x:v>
      </x:c>
      <x:c r="J165" s="2" t="n">
        <x:f>IF(H165=1,F165-D165,"")</x:f>
        <x:v>2</x:v>
      </x:c>
      <x:c r="K165" s="2" t="n">
        <x:f>IF(H165=1,F165-E165,"")</x:f>
        <x:v>1</x:v>
      </x:c>
      <x:c r="L165" s="2" t="n">
        <x:v>7</x:v>
      </x:c>
      <x:c r="M165" s="2" t="n">
        <x:v>4</x:v>
      </x:c>
      <x:c r="N165" s="20" t="n">
        <x:v>0.2</x:v>
      </x:c>
      <x:c r="O165" s="20" t="n">
        <x:v>0.2</x:v>
      </x:c>
      <x:c r="P165" s="20" t="n">
        <x:v>0.75</x:v>
      </x:c>
      <x:c r="Q165" s="2" t="n">
        <x:v>36</x:v>
      </x:c>
      <x:c r="R165" s="2" t="str">
        <x:v>ISFP</x:v>
      </x:c>
      <x:c r="S165" s="2" t="str">
        <x:v>华南</x:v>
      </x:c>
      <x:c r="T165" s="2" t="str">
        <x:v>生产运输或体力岗位</x:v>
      </x:c>
    </x:row>
    <x:row r="166" ht="24" customHeight="1">
      <x:c r="A166" s="2" t="str">
        <x:v>D020_T02_C020_G075</x:v>
      </x:c>
      <x:c r="B166" s="2" t="str">
        <x:v>A0011</x:v>
      </x:c>
      <x:c r="C166" s="2" t="str">
        <x:v>inside</x:v>
      </x:c>
      <x:c r="D166" s="2" t="n">
        <x:v>2</x:v>
      </x:c>
      <x:c r="E166" s="2" t="n">
        <x:v>1</x:v>
      </x:c>
      <x:c r="F166" s="2" t="n">
        <x:v>2</x:v>
      </x:c>
      <x:c r="G166" s="2" t="str">
        <x:v>observed_post_release</x:v>
      </x:c>
      <x:c r="H166" s="2" t="n">
        <x:f>IF(AND(ISNUMBER(F166),F166&gt;=D166),1,0)</x:f>
        <x:v>1</x:v>
      </x:c>
      <x:c r="I166" s="2" t="n">
        <x:f>IF(AND(ISNUMBER(F166),F166&gt;D166),1,0)</x:f>
        <x:v>0</x:v>
      </x:c>
      <x:c r="J166" s="2" t="n">
        <x:f>IF(H166=1,F166-D166,"")</x:f>
        <x:v>0</x:v>
      </x:c>
      <x:c r="K166" s="2" t="n">
        <x:f>IF(H166=1,F166-E166,"")</x:f>
        <x:v>1</x:v>
      </x:c>
      <x:c r="L166" s="2" t="n">
        <x:v>9</x:v>
      </x:c>
      <x:c r="M166" s="2" t="n">
        <x:v>2</x:v>
      </x:c>
      <x:c r="N166" s="20" t="n">
        <x:v>0.2</x:v>
      </x:c>
      <x:c r="O166" s="20" t="n">
        <x:v>0.2</x:v>
      </x:c>
      <x:c r="P166" s="20" t="n">
        <x:v>0.75</x:v>
      </x:c>
      <x:c r="Q166" s="2" t="n">
        <x:v>42</x:v>
      </x:c>
      <x:c r="R166" s="2" t="str">
        <x:v>ENFJ</x:v>
      </x:c>
      <x:c r="S166" s="2" t="str">
        <x:v>西南</x:v>
      </x:c>
      <x:c r="T166" s="2" t="str">
        <x:v>行政或办公室岗位</x:v>
      </x:c>
    </x:row>
    <x:row r="167" ht="24" customHeight="1">
      <x:c r="A167" s="2" t="str">
        <x:v>D020_T02_C020_G075</x:v>
      </x:c>
      <x:c r="B167" s="2" t="str">
        <x:v>A0012</x:v>
      </x:c>
      <x:c r="C167" s="2" t="str">
        <x:v>inside</x:v>
      </x:c>
      <x:c r="D167" s="2" t="n">
        <x:v>2</x:v>
      </x:c>
      <x:c r="E167" s="2" t="n">
        <x:v>1</x:v>
      </x:c>
      <x:c r="F167" s="2" t="n">
        <x:v>3</x:v>
      </x:c>
      <x:c r="G167" s="2" t="str">
        <x:v>observed_post_release</x:v>
      </x:c>
      <x:c r="H167" s="2" t="n">
        <x:f>IF(AND(ISNUMBER(F167),F167&gt;=D167),1,0)</x:f>
        <x:v>1</x:v>
      </x:c>
      <x:c r="I167" s="2" t="n">
        <x:f>IF(AND(ISNUMBER(F167),F167&gt;D167),1,0)</x:f>
        <x:v>1</x:v>
      </x:c>
      <x:c r="J167" s="2" t="n">
        <x:f>IF(H167=1,F167-D167,"")</x:f>
        <x:v>1</x:v>
      </x:c>
      <x:c r="K167" s="2" t="n">
        <x:f>IF(H167=1,F167-E167,"")</x:f>
        <x:v>2</x:v>
      </x:c>
      <x:c r="L167" s="2" t="n">
        <x:v>9</x:v>
      </x:c>
      <x:c r="M167" s="2" t="n">
        <x:v>3</x:v>
      </x:c>
      <x:c r="N167" s="20" t="n">
        <x:v>0.2</x:v>
      </x:c>
      <x:c r="O167" s="20" t="n">
        <x:v>0.2</x:v>
      </x:c>
      <x:c r="P167" s="20" t="n">
        <x:v>0.75</x:v>
      </x:c>
      <x:c r="Q167" s="2" t="n">
        <x:v>38</x:v>
      </x:c>
      <x:c r="R167" s="2" t="str">
        <x:v>ESFP</x:v>
      </x:c>
      <x:c r="S167" s="2" t="str">
        <x:v>华中</x:v>
      </x:c>
      <x:c r="T167" s="2" t="str">
        <x:v>行政或办公室岗位</x:v>
      </x:c>
    </x:row>
    <x:row r="168" ht="24" customHeight="1">
      <x:c r="A168" s="2" t="str">
        <x:v>D020_T02_C020_G075</x:v>
      </x:c>
      <x:c r="B168" s="2" t="str">
        <x:v>A0017</x:v>
      </x:c>
      <x:c r="C168" s="2" t="str">
        <x:v>inside</x:v>
      </x:c>
      <x:c r="D168" s="2" t="n">
        <x:v>2</x:v>
      </x:c>
      <x:c r="E168" s="2" t="n">
        <x:v>1</x:v>
      </x:c>
      <x:c r="F168" s="2" t="n">
        <x:v>4</x:v>
      </x:c>
      <x:c r="G168" s="2" t="str">
        <x:v>observed_post_release</x:v>
      </x:c>
      <x:c r="H168" s="2" t="n">
        <x:f>IF(AND(ISNUMBER(F168),F168&gt;=D168),1,0)</x:f>
        <x:v>1</x:v>
      </x:c>
      <x:c r="I168" s="2" t="n">
        <x:f>IF(AND(ISNUMBER(F168),F168&gt;D168),1,0)</x:f>
        <x:v>1</x:v>
      </x:c>
      <x:c r="J168" s="2" t="n">
        <x:f>IF(H168=1,F168-D168,"")</x:f>
        <x:v>2</x:v>
      </x:c>
      <x:c r="K168" s="2" t="n">
        <x:f>IF(H168=1,F168-E168,"")</x:f>
        <x:v>3</x:v>
      </x:c>
      <x:c r="L168" s="2" t="n">
        <x:v>9</x:v>
      </x:c>
      <x:c r="M168" s="2" t="n">
        <x:v>4</x:v>
      </x:c>
      <x:c r="N168" s="20" t="n">
        <x:v>0.2</x:v>
      </x:c>
      <x:c r="O168" s="20" t="n">
        <x:v>0.2</x:v>
      </x:c>
      <x:c r="P168" s="20" t="n">
        <x:v>0.75</x:v>
      </x:c>
      <x:c r="Q168" s="2" t="n">
        <x:v>30</x:v>
      </x:c>
      <x:c r="R168" s="2" t="str">
        <x:v>ISTJ</x:v>
      </x:c>
      <x:c r="S168" s="2" t="str">
        <x:v>华东</x:v>
      </x:c>
      <x:c r="T168" s="2" t="str">
        <x:v>商业服务岗位</x:v>
      </x:c>
    </x:row>
    <x:row r="169" ht="24" customHeight="1">
      <x:c r="A169" s="2" t="str">
        <x:v>D020_T02_C020_G075</x:v>
      </x:c>
      <x:c r="B169" s="2" t="str">
        <x:v>A0018</x:v>
      </x:c>
      <x:c r="C169" s="2" t="str">
        <x:v>inside</x:v>
      </x:c>
      <x:c r="D169" s="2" t="n">
        <x:v>2</x:v>
      </x:c>
      <x:c r="E169" s="2" t="n">
        <x:v>1</x:v>
      </x:c>
      <x:c r="F169" s="2" t="n">
        <x:v>4</x:v>
      </x:c>
      <x:c r="G169" s="2" t="str">
        <x:v>observed_post_release</x:v>
      </x:c>
      <x:c r="H169" s="2" t="n">
        <x:f>IF(AND(ISNUMBER(F169),F169&gt;=D169),1,0)</x:f>
        <x:v>1</x:v>
      </x:c>
      <x:c r="I169" s="2" t="n">
        <x:f>IF(AND(ISNUMBER(F169),F169&gt;D169),1,0)</x:f>
        <x:v>1</x:v>
      </x:c>
      <x:c r="J169" s="2" t="n">
        <x:f>IF(H169=1,F169-D169,"")</x:f>
        <x:v>2</x:v>
      </x:c>
      <x:c r="K169" s="2" t="n">
        <x:f>IF(H169=1,F169-E169,"")</x:f>
        <x:v>3</x:v>
      </x:c>
      <x:c r="L169" s="2" t="n">
        <x:v>9</x:v>
      </x:c>
      <x:c r="M169" s="2" t="n">
        <x:v>4</x:v>
      </x:c>
      <x:c r="N169" s="20" t="n">
        <x:v>0.2</x:v>
      </x:c>
      <x:c r="O169" s="20" t="n">
        <x:v>0.2</x:v>
      </x:c>
      <x:c r="P169" s="20" t="n">
        <x:v>0.75</x:v>
      </x:c>
      <x:c r="Q169" s="2" t="n">
        <x:v>60</x:v>
      </x:c>
      <x:c r="R169" s="2" t="str">
        <x:v>INTJ</x:v>
      </x:c>
      <x:c r="S169" s="2" t="str">
        <x:v>华南</x:v>
      </x:c>
      <x:c r="T169" s="2" t="str">
        <x:v>专业技术岗位</x:v>
      </x:c>
    </x:row>
    <x:row r="170" ht="24" customHeight="1">
      <x:c r="A170" s="2" t="str">
        <x:v>D020_T02_C020_G075</x:v>
      </x:c>
      <x:c r="B170" s="2" t="str">
        <x:v>A0027</x:v>
      </x:c>
      <x:c r="C170" s="2" t="str">
        <x:v>inside</x:v>
      </x:c>
      <x:c r="D170" s="2" t="n">
        <x:v>2</x:v>
      </x:c>
      <x:c r="E170" s="2" t="n">
        <x:v>1</x:v>
      </x:c>
      <x:c r="F170" s="2" t="n">
        <x:v>4</x:v>
      </x:c>
      <x:c r="G170" s="2" t="str">
        <x:v>observed_post_release</x:v>
      </x:c>
      <x:c r="H170" s="2" t="n">
        <x:f>IF(AND(ISNUMBER(F170),F170&gt;=D170),1,0)</x:f>
        <x:v>1</x:v>
      </x:c>
      <x:c r="I170" s="2" t="n">
        <x:f>IF(AND(ISNUMBER(F170),F170&gt;D170),1,0)</x:f>
        <x:v>1</x:v>
      </x:c>
      <x:c r="J170" s="2" t="n">
        <x:f>IF(H170=1,F170-D170,"")</x:f>
        <x:v>2</x:v>
      </x:c>
      <x:c r="K170" s="2" t="n">
        <x:f>IF(H170=1,F170-E170,"")</x:f>
        <x:v>3</x:v>
      </x:c>
      <x:c r="L170" s="2" t="n">
        <x:v>9</x:v>
      </x:c>
      <x:c r="M170" s="2" t="n">
        <x:v>4</x:v>
      </x:c>
      <x:c r="N170" s="20" t="n">
        <x:v>0.2</x:v>
      </x:c>
      <x:c r="O170" s="20" t="n">
        <x:v>0.2</x:v>
      </x:c>
      <x:c r="P170" s="20" t="n">
        <x:v>0.75</x:v>
      </x:c>
      <x:c r="Q170" s="2" t="n">
        <x:v>25</x:v>
      </x:c>
      <x:c r="R170" s="2" t="str">
        <x:v>ESFP</x:v>
      </x:c>
      <x:c r="S170" s="2" t="str">
        <x:v>西北</x:v>
      </x:c>
      <x:c r="T170" s="2" t="str">
        <x:v>暂未就业或家庭照料</x:v>
      </x:c>
    </x:row>
    <x:row r="171" ht="24" customHeight="1">
      <x:c r="A171" s="2" t="str">
        <x:v>D020_T02_C020_G075</x:v>
      </x:c>
      <x:c r="B171" s="2" t="str">
        <x:v>A0030</x:v>
      </x:c>
      <x:c r="C171" s="2" t="str">
        <x:v>inside</x:v>
      </x:c>
      <x:c r="D171" s="2" t="n">
        <x:v>2</x:v>
      </x:c>
      <x:c r="E171" s="2" t="n">
        <x:v>1</x:v>
      </x:c>
      <x:c r="F171" s="2" t="n">
        <x:v>4</x:v>
      </x:c>
      <x:c r="G171" s="2" t="str">
        <x:v>observed_post_release</x:v>
      </x:c>
      <x:c r="H171" s="2" t="n">
        <x:f>IF(AND(ISNUMBER(F171),F171&gt;=D171),1,0)</x:f>
        <x:v>1</x:v>
      </x:c>
      <x:c r="I171" s="2" t="n">
        <x:f>IF(AND(ISNUMBER(F171),F171&gt;D171),1,0)</x:f>
        <x:v>1</x:v>
      </x:c>
      <x:c r="J171" s="2" t="n">
        <x:f>IF(H171=1,F171-D171,"")</x:f>
        <x:v>2</x:v>
      </x:c>
      <x:c r="K171" s="2" t="n">
        <x:f>IF(H171=1,F171-E171,"")</x:f>
        <x:v>3</x:v>
      </x:c>
      <x:c r="L171" s="2" t="n">
        <x:v>9</x:v>
      </x:c>
      <x:c r="M171" s="2" t="n">
        <x:v>4</x:v>
      </x:c>
      <x:c r="N171" s="20" t="n">
        <x:v>0.2</x:v>
      </x:c>
      <x:c r="O171" s="20" t="n">
        <x:v>0.2</x:v>
      </x:c>
      <x:c r="P171" s="20" t="n">
        <x:v>0.75</x:v>
      </x:c>
      <x:c r="Q171" s="2" t="n">
        <x:v>23</x:v>
      </x:c>
      <x:c r="R171" s="2" t="str">
        <x:v>ISFP</x:v>
      </x:c>
      <x:c r="S171" s="2" t="str">
        <x:v>华东</x:v>
      </x:c>
      <x:c r="T171" s="2" t="str">
        <x:v>在校学生</x:v>
      </x:c>
    </x:row>
    <x:row r="172" ht="24" customHeight="1">
      <x:c r="A172" s="2" t="str">
        <x:v>D020_T02_C020_G075</x:v>
      </x:c>
      <x:c r="B172" s="2" t="str">
        <x:v>A0032</x:v>
      </x:c>
      <x:c r="C172" s="2" t="str">
        <x:v>inside</x:v>
      </x:c>
      <x:c r="D172" s="2" t="n">
        <x:v>2</x:v>
      </x:c>
      <x:c r="E172" s="2" t="n">
        <x:v>1</x:v>
      </x:c>
      <x:c r="F172" s="2" t="n">
        <x:v>2</x:v>
      </x:c>
      <x:c r="G172" s="2" t="str">
        <x:v>observed_post_release</x:v>
      </x:c>
      <x:c r="H172" s="2" t="n">
        <x:f>IF(AND(ISNUMBER(F172),F172&gt;=D172),1,0)</x:f>
        <x:v>1</x:v>
      </x:c>
      <x:c r="I172" s="2" t="n">
        <x:f>IF(AND(ISNUMBER(F172),F172&gt;D172),1,0)</x:f>
        <x:v>0</x:v>
      </x:c>
      <x:c r="J172" s="2" t="n">
        <x:f>IF(H172=1,F172-D172,"")</x:f>
        <x:v>0</x:v>
      </x:c>
      <x:c r="K172" s="2" t="n">
        <x:f>IF(H172=1,F172-E172,"")</x:f>
        <x:v>1</x:v>
      </x:c>
      <x:c r="L172" s="2" t="n">
        <x:v>9</x:v>
      </x:c>
      <x:c r="M172" s="2" t="n">
        <x:v>2</x:v>
      </x:c>
      <x:c r="N172" s="20" t="n">
        <x:v>0.2</x:v>
      </x:c>
      <x:c r="O172" s="20" t="n">
        <x:v>0.2</x:v>
      </x:c>
      <x:c r="P172" s="20" t="n">
        <x:v>0.75</x:v>
      </x:c>
      <x:c r="Q172" s="2" t="n">
        <x:v>53</x:v>
      </x:c>
      <x:c r="R172" s="2" t="str">
        <x:v>INTP</x:v>
      </x:c>
      <x:c r="S172" s="2" t="str">
        <x:v>华北</x:v>
      </x:c>
      <x:c r="T172" s="2" t="str">
        <x:v>个体经营或自由职业</x:v>
      </x:c>
    </x:row>
    <x:row r="173" ht="24" customHeight="1">
      <x:c r="A173" s="2" t="str">
        <x:v>D020_T02_C020_G075</x:v>
      </x:c>
      <x:c r="B173" s="2" t="str">
        <x:v>A0034</x:v>
      </x:c>
      <x:c r="C173" s="2" t="str">
        <x:v>inside</x:v>
      </x:c>
      <x:c r="D173" s="2" t="n">
        <x:v>2</x:v>
      </x:c>
      <x:c r="E173" s="2" t="n">
        <x:v>1</x:v>
      </x:c>
      <x:c r="F173" s="2"/>
      <x:c r="G173" s="2" t="str">
        <x:v>right_censored</x:v>
      </x:c>
      <x:c r="H173" s="2" t="n">
        <x:f>IF(AND(ISNUMBER(F173),F173&gt;=D173),1,0)</x:f>
        <x:v>0</x:v>
      </x:c>
      <x:c r="I173" s="2" t="n">
        <x:f>IF(AND(ISNUMBER(F173),F173&gt;D173),1,0)</x:f>
        <x:v>0</x:v>
      </x:c>
      <x:c r="J173" s="2" t="str">
        <x:f>IF(H173=1,F173-D173,"")</x:f>
      </x:c>
      <x:c r="K173" s="2" t="str">
        <x:f>IF(H173=1,F173-E173,"")</x:f>
      </x:c>
      <x:c r="L173" s="2" t="n">
        <x:v>9</x:v>
      </x:c>
      <x:c r="M173" s="2"/>
      <x:c r="N173" s="20" t="n">
        <x:v>0.2</x:v>
      </x:c>
      <x:c r="O173" s="20" t="n">
        <x:v>0.2</x:v>
      </x:c>
      <x:c r="P173" s="20" t="n">
        <x:v>0.75</x:v>
      </x:c>
      <x:c r="Q173" s="2" t="n">
        <x:v>36</x:v>
      </x:c>
      <x:c r="R173" s="2" t="str">
        <x:v>INTP</x:v>
      </x:c>
      <x:c r="S173" s="2" t="str">
        <x:v>华南</x:v>
      </x:c>
      <x:c r="T173" s="2" t="str">
        <x:v>专业技术岗位</x:v>
      </x:c>
    </x:row>
    <x:row r="174" ht="24" customHeight="1">
      <x:c r="A174" s="2" t="str">
        <x:v>D020_T02_C020_G075</x:v>
      </x:c>
      <x:c r="B174" s="2" t="str">
        <x:v>A0035</x:v>
      </x:c>
      <x:c r="C174" s="2" t="str">
        <x:v>inside</x:v>
      </x:c>
      <x:c r="D174" s="2" t="n">
        <x:v>2</x:v>
      </x:c>
      <x:c r="E174" s="2" t="n">
        <x:v>1</x:v>
      </x:c>
      <x:c r="F174" s="2" t="n">
        <x:v>4</x:v>
      </x:c>
      <x:c r="G174" s="2" t="str">
        <x:v>observed_post_release</x:v>
      </x:c>
      <x:c r="H174" s="2" t="n">
        <x:f>IF(AND(ISNUMBER(F174),F174&gt;=D174),1,0)</x:f>
        <x:v>1</x:v>
      </x:c>
      <x:c r="I174" s="2" t="n">
        <x:f>IF(AND(ISNUMBER(F174),F174&gt;D174),1,0)</x:f>
        <x:v>1</x:v>
      </x:c>
      <x:c r="J174" s="2" t="n">
        <x:f>IF(H174=1,F174-D174,"")</x:f>
        <x:v>2</x:v>
      </x:c>
      <x:c r="K174" s="2" t="n">
        <x:f>IF(H174=1,F174-E174,"")</x:f>
        <x:v>3</x:v>
      </x:c>
      <x:c r="L174" s="2" t="n">
        <x:v>9</x:v>
      </x:c>
      <x:c r="M174" s="2" t="n">
        <x:v>4</x:v>
      </x:c>
      <x:c r="N174" s="20" t="n">
        <x:v>0.2</x:v>
      </x:c>
      <x:c r="O174" s="20" t="n">
        <x:v>0.2</x:v>
      </x:c>
      <x:c r="P174" s="20" t="n">
        <x:v>0.75</x:v>
      </x:c>
      <x:c r="Q174" s="2" t="n">
        <x:v>42</x:v>
      </x:c>
      <x:c r="R174" s="2" t="str">
        <x:v>ISFJ</x:v>
      </x:c>
      <x:c r="S174" s="2" t="str">
        <x:v>华南</x:v>
      </x:c>
      <x:c r="T174" s="2" t="str">
        <x:v>专业技术岗位</x:v>
      </x:c>
    </x:row>
    <x:row r="175" ht="24" customHeight="1">
      <x:c r="A175" s="2" t="str">
        <x:v>D020_T02_C020_G075</x:v>
      </x:c>
      <x:c r="B175" s="2" t="str">
        <x:v>A0037</x:v>
      </x:c>
      <x:c r="C175" s="2" t="str">
        <x:v>inside</x:v>
      </x:c>
      <x:c r="D175" s="2" t="n">
        <x:v>2</x:v>
      </x:c>
      <x:c r="E175" s="2" t="n">
        <x:v>1</x:v>
      </x:c>
      <x:c r="F175" s="2" t="n">
        <x:v>3</x:v>
      </x:c>
      <x:c r="G175" s="2" t="str">
        <x:v>observed_post_release</x:v>
      </x:c>
      <x:c r="H175" s="2" t="n">
        <x:f>IF(AND(ISNUMBER(F175),F175&gt;=D175),1,0)</x:f>
        <x:v>1</x:v>
      </x:c>
      <x:c r="I175" s="2" t="n">
        <x:f>IF(AND(ISNUMBER(F175),F175&gt;D175),1,0)</x:f>
        <x:v>1</x:v>
      </x:c>
      <x:c r="J175" s="2" t="n">
        <x:f>IF(H175=1,F175-D175,"")</x:f>
        <x:v>1</x:v>
      </x:c>
      <x:c r="K175" s="2" t="n">
        <x:f>IF(H175=1,F175-E175,"")</x:f>
        <x:v>2</x:v>
      </x:c>
      <x:c r="L175" s="2" t="n">
        <x:v>9</x:v>
      </x:c>
      <x:c r="M175" s="2" t="n">
        <x:v>3</x:v>
      </x:c>
      <x:c r="N175" s="20" t="n">
        <x:v>0.2</x:v>
      </x:c>
      <x:c r="O175" s="20" t="n">
        <x:v>0.2</x:v>
      </x:c>
      <x:c r="P175" s="20" t="n">
        <x:v>0.75</x:v>
      </x:c>
      <x:c r="Q175" s="2" t="n">
        <x:v>24</x:v>
      </x:c>
      <x:c r="R175" s="2" t="str">
        <x:v>ENTP</x:v>
      </x:c>
      <x:c r="S175" s="2" t="str">
        <x:v>华南</x:v>
      </x:c>
      <x:c r="T175" s="2" t="str">
        <x:v>在校学生</x:v>
      </x:c>
    </x:row>
    <x:row r="176" ht="24" customHeight="1">
      <x:c r="A176" s="2" t="str">
        <x:v>D020_T02_C020_G075</x:v>
      </x:c>
      <x:c r="B176" s="2" t="str">
        <x:v>A0038</x:v>
      </x:c>
      <x:c r="C176" s="2" t="str">
        <x:v>inside</x:v>
      </x:c>
      <x:c r="D176" s="2" t="n">
        <x:v>2</x:v>
      </x:c>
      <x:c r="E176" s="2" t="n">
        <x:v>1</x:v>
      </x:c>
      <x:c r="F176" s="2" t="n">
        <x:v>3</x:v>
      </x:c>
      <x:c r="G176" s="2" t="str">
        <x:v>observed_post_release</x:v>
      </x:c>
      <x:c r="H176" s="2" t="n">
        <x:f>IF(AND(ISNUMBER(F176),F176&gt;=D176),1,0)</x:f>
        <x:v>1</x:v>
      </x:c>
      <x:c r="I176" s="2" t="n">
        <x:f>IF(AND(ISNUMBER(F176),F176&gt;D176),1,0)</x:f>
        <x:v>1</x:v>
      </x:c>
      <x:c r="J176" s="2" t="n">
        <x:f>IF(H176=1,F176-D176,"")</x:f>
        <x:v>1</x:v>
      </x:c>
      <x:c r="K176" s="2" t="n">
        <x:f>IF(H176=1,F176-E176,"")</x:f>
        <x:v>2</x:v>
      </x:c>
      <x:c r="L176" s="2" t="n">
        <x:v>9</x:v>
      </x:c>
      <x:c r="M176" s="2" t="n">
        <x:v>3</x:v>
      </x:c>
      <x:c r="N176" s="20" t="n">
        <x:v>0.2</x:v>
      </x:c>
      <x:c r="O176" s="20" t="n">
        <x:v>0.2</x:v>
      </x:c>
      <x:c r="P176" s="20" t="n">
        <x:v>0.75</x:v>
      </x:c>
      <x:c r="Q176" s="2" t="n">
        <x:v>46</x:v>
      </x:c>
      <x:c r="R176" s="2" t="str">
        <x:v>ISTP</x:v>
      </x:c>
      <x:c r="S176" s="2" t="str">
        <x:v>华东</x:v>
      </x:c>
      <x:c r="T176" s="2" t="str">
        <x:v>行政或办公室岗位</x:v>
      </x:c>
    </x:row>
    <x:row r="177" ht="24" customHeight="1">
      <x:c r="A177" s="2" t="str">
        <x:v>D020_T02_C020_G075</x:v>
      </x:c>
      <x:c r="B177" s="2" t="str">
        <x:v>A0041</x:v>
      </x:c>
      <x:c r="C177" s="2" t="str">
        <x:v>inside</x:v>
      </x:c>
      <x:c r="D177" s="2" t="n">
        <x:v>2</x:v>
      </x:c>
      <x:c r="E177" s="2" t="n">
        <x:v>1</x:v>
      </x:c>
      <x:c r="F177" s="2" t="n">
        <x:v>5</x:v>
      </x:c>
      <x:c r="G177" s="2" t="str">
        <x:v>observed_post_release</x:v>
      </x:c>
      <x:c r="H177" s="2" t="n">
        <x:f>IF(AND(ISNUMBER(F177),F177&gt;=D177),1,0)</x:f>
        <x:v>1</x:v>
      </x:c>
      <x:c r="I177" s="2" t="n">
        <x:f>IF(AND(ISNUMBER(F177),F177&gt;D177),1,0)</x:f>
        <x:v>1</x:v>
      </x:c>
      <x:c r="J177" s="2" t="n">
        <x:f>IF(H177=1,F177-D177,"")</x:f>
        <x:v>3</x:v>
      </x:c>
      <x:c r="K177" s="2" t="n">
        <x:f>IF(H177=1,F177-E177,"")</x:f>
        <x:v>4</x:v>
      </x:c>
      <x:c r="L177" s="2" t="n">
        <x:v>9</x:v>
      </x:c>
      <x:c r="M177" s="2" t="n">
        <x:v>5</x:v>
      </x:c>
      <x:c r="N177" s="20" t="n">
        <x:v>0.2</x:v>
      </x:c>
      <x:c r="O177" s="20" t="n">
        <x:v>0.2</x:v>
      </x:c>
      <x:c r="P177" s="20" t="n">
        <x:v>0.75</x:v>
      </x:c>
      <x:c r="Q177" s="2" t="n">
        <x:v>62</x:v>
      </x:c>
      <x:c r="R177" s="2" t="str">
        <x:v>ISFJ</x:v>
      </x:c>
      <x:c r="S177" s="2" t="str">
        <x:v>西北</x:v>
      </x:c>
      <x:c r="T177" s="2" t="str">
        <x:v>个体经营或自由职业</x:v>
      </x:c>
    </x:row>
    <x:row r="178" ht="24" customHeight="1">
      <x:c r="A178" s="2" t="str">
        <x:v>D020_T02_C020_G075</x:v>
      </x:c>
      <x:c r="B178" s="2" t="str">
        <x:v>A0206</x:v>
      </x:c>
      <x:c r="C178" s="2" t="str">
        <x:v>inside</x:v>
      </x:c>
      <x:c r="D178" s="2" t="n">
        <x:v>2</x:v>
      </x:c>
      <x:c r="E178" s="2" t="n">
        <x:v>1</x:v>
      </x:c>
      <x:c r="F178" s="2" t="n">
        <x:v>2</x:v>
      </x:c>
      <x:c r="G178" s="2" t="str">
        <x:v>observed_post_release</x:v>
      </x:c>
      <x:c r="H178" s="2" t="n">
        <x:f>IF(AND(ISNUMBER(F178),F178&gt;=D178),1,0)</x:f>
        <x:v>1</x:v>
      </x:c>
      <x:c r="I178" s="2" t="n">
        <x:f>IF(AND(ISNUMBER(F178),F178&gt;D178),1,0)</x:f>
        <x:v>0</x:v>
      </x:c>
      <x:c r="J178" s="2" t="n">
        <x:f>IF(H178=1,F178-D178,"")</x:f>
        <x:v>0</x:v>
      </x:c>
      <x:c r="K178" s="2" t="n">
        <x:f>IF(H178=1,F178-E178,"")</x:f>
        <x:v>1</x:v>
      </x:c>
      <x:c r="L178" s="2" t="n">
        <x:v>9</x:v>
      </x:c>
      <x:c r="M178" s="2" t="n">
        <x:v>2</x:v>
      </x:c>
      <x:c r="N178" s="20" t="n">
        <x:v>0.2</x:v>
      </x:c>
      <x:c r="O178" s="20" t="n">
        <x:v>0.2</x:v>
      </x:c>
      <x:c r="P178" s="20" t="n">
        <x:v>0.75</x:v>
      </x:c>
      <x:c r="Q178" s="2" t="n">
        <x:v>21</x:v>
      </x:c>
      <x:c r="R178" s="2" t="str">
        <x:v>ESTP</x:v>
      </x:c>
      <x:c r="S178" s="2" t="str">
        <x:v>西北</x:v>
      </x:c>
      <x:c r="T178" s="2" t="str">
        <x:v>暂未就业或家庭照料</x:v>
      </x:c>
    </x:row>
    <x:row r="179" ht="24" customHeight="1">
      <x:c r="A179" s="2" t="str">
        <x:v>D020_T02_C080_G025</x:v>
      </x:c>
      <x:c r="B179" s="2" t="str">
        <x:v>A0005</x:v>
      </x:c>
      <x:c r="C179" s="2" t="str">
        <x:v>inside</x:v>
      </x:c>
      <x:c r="D179" s="2" t="n">
        <x:v>2</x:v>
      </x:c>
      <x:c r="E179" s="2" t="n">
        <x:v>1</x:v>
      </x:c>
      <x:c r="F179" s="2" t="n">
        <x:v>2</x:v>
      </x:c>
      <x:c r="G179" s="2" t="str">
        <x:v>observed_post_release</x:v>
      </x:c>
      <x:c r="H179" s="2" t="n">
        <x:f>IF(AND(ISNUMBER(F179),F179&gt;=D179),1,0)</x:f>
        <x:v>1</x:v>
      </x:c>
      <x:c r="I179" s="2" t="n">
        <x:f>IF(AND(ISNUMBER(F179),F179&gt;D179),1,0)</x:f>
        <x:v>0</x:v>
      </x:c>
      <x:c r="J179" s="2" t="n">
        <x:f>IF(H179=1,F179-D179,"")</x:f>
        <x:v>0</x:v>
      </x:c>
      <x:c r="K179" s="2" t="n">
        <x:f>IF(H179=1,F179-E179,"")</x:f>
        <x:v>1</x:v>
      </x:c>
      <x:c r="L179" s="2" t="n">
        <x:v>9</x:v>
      </x:c>
      <x:c r="M179" s="2" t="n">
        <x:v>2</x:v>
      </x:c>
      <x:c r="N179" s="20" t="n">
        <x:v>0.2</x:v>
      </x:c>
      <x:c r="O179" s="20" t="n">
        <x:v>0.8</x:v>
      </x:c>
      <x:c r="P179" s="20" t="n">
        <x:v>0.25</x:v>
      </x:c>
      <x:c r="Q179" s="2" t="n">
        <x:v>51</x:v>
      </x:c>
      <x:c r="R179" s="2" t="str">
        <x:v>ISTP</x:v>
      </x:c>
      <x:c r="S179" s="2" t="str">
        <x:v>华南</x:v>
      </x:c>
      <x:c r="T179" s="2" t="str">
        <x:v>生产运输或体力岗位</x:v>
      </x:c>
    </x:row>
    <x:row r="180" ht="24" customHeight="1">
      <x:c r="A180" s="2" t="str">
        <x:v>D020_T02_C080_G025</x:v>
      </x:c>
      <x:c r="B180" s="2" t="str">
        <x:v>A0008</x:v>
      </x:c>
      <x:c r="C180" s="2" t="str">
        <x:v>inside</x:v>
      </x:c>
      <x:c r="D180" s="2" t="n">
        <x:v>2</x:v>
      </x:c>
      <x:c r="E180" s="2" t="n">
        <x:v>1</x:v>
      </x:c>
      <x:c r="F180" s="2" t="n">
        <x:v>4</x:v>
      </x:c>
      <x:c r="G180" s="2" t="str">
        <x:v>observed_post_release</x:v>
      </x:c>
      <x:c r="H180" s="2" t="n">
        <x:f>IF(AND(ISNUMBER(F180),F180&gt;=D180),1,0)</x:f>
        <x:v>1</x:v>
      </x:c>
      <x:c r="I180" s="2" t="n">
        <x:f>IF(AND(ISNUMBER(F180),F180&gt;D180),1,0)</x:f>
        <x:v>1</x:v>
      </x:c>
      <x:c r="J180" s="2" t="n">
        <x:f>IF(H180=1,F180-D180,"")</x:f>
        <x:v>2</x:v>
      </x:c>
      <x:c r="K180" s="2" t="n">
        <x:f>IF(H180=1,F180-E180,"")</x:f>
        <x:v>3</x:v>
      </x:c>
      <x:c r="L180" s="2" t="n">
        <x:v>9</x:v>
      </x:c>
      <x:c r="M180" s="2" t="n">
        <x:v>2</x:v>
      </x:c>
      <x:c r="N180" s="20" t="n">
        <x:v>0.2</x:v>
      </x:c>
      <x:c r="O180" s="20" t="n">
        <x:v>0.8</x:v>
      </x:c>
      <x:c r="P180" s="20" t="n">
        <x:v>0.25</x:v>
      </x:c>
      <x:c r="Q180" s="2" t="n">
        <x:v>36</x:v>
      </x:c>
      <x:c r="R180" s="2" t="str">
        <x:v>ISFP</x:v>
      </x:c>
      <x:c r="S180" s="2" t="str">
        <x:v>华南</x:v>
      </x:c>
      <x:c r="T180" s="2" t="str">
        <x:v>生产运输或体力岗位</x:v>
      </x:c>
    </x:row>
    <x:row r="181" ht="24" customHeight="1">
      <x:c r="A181" s="2" t="str">
        <x:v>D020_T02_C080_G025</x:v>
      </x:c>
      <x:c r="B181" s="2" t="str">
        <x:v>A0011</x:v>
      </x:c>
      <x:c r="C181" s="2" t="str">
        <x:v>inside</x:v>
      </x:c>
      <x:c r="D181" s="2" t="n">
        <x:v>2</x:v>
      </x:c>
      <x:c r="E181" s="2" t="n">
        <x:v>1</x:v>
      </x:c>
      <x:c r="F181" s="2" t="n">
        <x:v>3</x:v>
      </x:c>
      <x:c r="G181" s="2" t="str">
        <x:v>observed_post_release</x:v>
      </x:c>
      <x:c r="H181" s="2" t="n">
        <x:f>IF(AND(ISNUMBER(F181),F181&gt;=D181),1,0)</x:f>
        <x:v>1</x:v>
      </x:c>
      <x:c r="I181" s="2" t="n">
        <x:f>IF(AND(ISNUMBER(F181),F181&gt;D181),1,0)</x:f>
        <x:v>1</x:v>
      </x:c>
      <x:c r="J181" s="2" t="n">
        <x:f>IF(H181=1,F181-D181,"")</x:f>
        <x:v>1</x:v>
      </x:c>
      <x:c r="K181" s="2" t="n">
        <x:f>IF(H181=1,F181-E181,"")</x:f>
        <x:v>2</x:v>
      </x:c>
      <x:c r="L181" s="2" t="n">
        <x:v>9</x:v>
      </x:c>
      <x:c r="M181" s="2" t="n">
        <x:v>3</x:v>
      </x:c>
      <x:c r="N181" s="20" t="n">
        <x:v>0.2</x:v>
      </x:c>
      <x:c r="O181" s="20" t="n">
        <x:v>0.8</x:v>
      </x:c>
      <x:c r="P181" s="20" t="n">
        <x:v>0.25</x:v>
      </x:c>
      <x:c r="Q181" s="2" t="n">
        <x:v>42</x:v>
      </x:c>
      <x:c r="R181" s="2" t="str">
        <x:v>ENFJ</x:v>
      </x:c>
      <x:c r="S181" s="2" t="str">
        <x:v>西南</x:v>
      </x:c>
      <x:c r="T181" s="2" t="str">
        <x:v>行政或办公室岗位</x:v>
      </x:c>
    </x:row>
    <x:row r="182" ht="24" customHeight="1">
      <x:c r="A182" s="2" t="str">
        <x:v>D020_T02_C080_G025</x:v>
      </x:c>
      <x:c r="B182" s="2" t="str">
        <x:v>A0012</x:v>
      </x:c>
      <x:c r="C182" s="2" t="str">
        <x:v>inside</x:v>
      </x:c>
      <x:c r="D182" s="2" t="n">
        <x:v>2</x:v>
      </x:c>
      <x:c r="E182" s="2" t="n">
        <x:v>1</x:v>
      </x:c>
      <x:c r="F182" s="2" t="n">
        <x:v>6</x:v>
      </x:c>
      <x:c r="G182" s="2" t="str">
        <x:v>observed_post_release</x:v>
      </x:c>
      <x:c r="H182" s="2" t="n">
        <x:f>IF(AND(ISNUMBER(F182),F182&gt;=D182),1,0)</x:f>
        <x:v>1</x:v>
      </x:c>
      <x:c r="I182" s="2" t="n">
        <x:f>IF(AND(ISNUMBER(F182),F182&gt;D182),1,0)</x:f>
        <x:v>1</x:v>
      </x:c>
      <x:c r="J182" s="2" t="n">
        <x:f>IF(H182=1,F182-D182,"")</x:f>
        <x:v>4</x:v>
      </x:c>
      <x:c r="K182" s="2" t="n">
        <x:f>IF(H182=1,F182-E182,"")</x:f>
        <x:v>5</x:v>
      </x:c>
      <x:c r="L182" s="2" t="n">
        <x:v>9</x:v>
      </x:c>
      <x:c r="M182" s="2" t="n">
        <x:v>2</x:v>
      </x:c>
      <x:c r="N182" s="20" t="n">
        <x:v>0.2</x:v>
      </x:c>
      <x:c r="O182" s="20" t="n">
        <x:v>0.8</x:v>
      </x:c>
      <x:c r="P182" s="20" t="n">
        <x:v>0.25</x:v>
      </x:c>
      <x:c r="Q182" s="2" t="n">
        <x:v>38</x:v>
      </x:c>
      <x:c r="R182" s="2" t="str">
        <x:v>ESFP</x:v>
      </x:c>
      <x:c r="S182" s="2" t="str">
        <x:v>华中</x:v>
      </x:c>
      <x:c r="T182" s="2" t="str">
        <x:v>行政或办公室岗位</x:v>
      </x:c>
    </x:row>
    <x:row r="183" ht="24" customHeight="1">
      <x:c r="A183" s="2" t="str">
        <x:v>D020_T02_C080_G025</x:v>
      </x:c>
      <x:c r="B183" s="2" t="str">
        <x:v>A0014</x:v>
      </x:c>
      <x:c r="C183" s="2" t="str">
        <x:v>inside</x:v>
      </x:c>
      <x:c r="D183" s="2" t="n">
        <x:v>2</x:v>
      </x:c>
      <x:c r="E183" s="2" t="n">
        <x:v>1</x:v>
      </x:c>
      <x:c r="F183" s="2" t="n">
        <x:v>4</x:v>
      </x:c>
      <x:c r="G183" s="2" t="str">
        <x:v>observed_post_release</x:v>
      </x:c>
      <x:c r="H183" s="2" t="n">
        <x:f>IF(AND(ISNUMBER(F183),F183&gt;=D183),1,0)</x:f>
        <x:v>1</x:v>
      </x:c>
      <x:c r="I183" s="2" t="n">
        <x:f>IF(AND(ISNUMBER(F183),F183&gt;D183),1,0)</x:f>
        <x:v>1</x:v>
      </x:c>
      <x:c r="J183" s="2" t="n">
        <x:f>IF(H183=1,F183-D183,"")</x:f>
        <x:v>2</x:v>
      </x:c>
      <x:c r="K183" s="2" t="n">
        <x:f>IF(H183=1,F183-E183,"")</x:f>
        <x:v>3</x:v>
      </x:c>
      <x:c r="L183" s="2" t="n">
        <x:v>9</x:v>
      </x:c>
      <x:c r="M183" s="2" t="n">
        <x:v>2</x:v>
      </x:c>
      <x:c r="N183" s="20" t="n">
        <x:v>0.2</x:v>
      </x:c>
      <x:c r="O183" s="20" t="n">
        <x:v>0.8</x:v>
      </x:c>
      <x:c r="P183" s="20" t="n">
        <x:v>0.25</x:v>
      </x:c>
      <x:c r="Q183" s="2" t="n">
        <x:v>52</x:v>
      </x:c>
      <x:c r="R183" s="2" t="str">
        <x:v>INFJ</x:v>
      </x:c>
      <x:c r="S183" s="2" t="str">
        <x:v>华东</x:v>
      </x:c>
      <x:c r="T183" s="2" t="str">
        <x:v>生产运输或体力岗位</x:v>
      </x:c>
    </x:row>
    <x:row r="184" ht="24" customHeight="1">
      <x:c r="A184" s="2" t="str">
        <x:v>D020_T02_C080_G025</x:v>
      </x:c>
      <x:c r="B184" s="2" t="str">
        <x:v>A0017</x:v>
      </x:c>
      <x:c r="C184" s="2" t="str">
        <x:v>inside</x:v>
      </x:c>
      <x:c r="D184" s="2" t="n">
        <x:v>2</x:v>
      </x:c>
      <x:c r="E184" s="2" t="n">
        <x:v>1</x:v>
      </x:c>
      <x:c r="F184" s="2" t="n">
        <x:v>7</x:v>
      </x:c>
      <x:c r="G184" s="2" t="str">
        <x:v>observed_post_release</x:v>
      </x:c>
      <x:c r="H184" s="2" t="n">
        <x:f>IF(AND(ISNUMBER(F184),F184&gt;=D184),1,0)</x:f>
        <x:v>1</x:v>
      </x:c>
      <x:c r="I184" s="2" t="n">
        <x:f>IF(AND(ISNUMBER(F184),F184&gt;D184),1,0)</x:f>
        <x:v>1</x:v>
      </x:c>
      <x:c r="J184" s="2" t="n">
        <x:f>IF(H184=1,F184-D184,"")</x:f>
        <x:v>5</x:v>
      </x:c>
      <x:c r="K184" s="2" t="n">
        <x:f>IF(H184=1,F184-E184,"")</x:f>
        <x:v>6</x:v>
      </x:c>
      <x:c r="L184" s="2" t="n">
        <x:v>9</x:v>
      </x:c>
      <x:c r="M184" s="2" t="n">
        <x:v>3</x:v>
      </x:c>
      <x:c r="N184" s="20" t="n">
        <x:v>0.2</x:v>
      </x:c>
      <x:c r="O184" s="20" t="n">
        <x:v>0.8</x:v>
      </x:c>
      <x:c r="P184" s="20" t="n">
        <x:v>0.25</x:v>
      </x:c>
      <x:c r="Q184" s="2" t="n">
        <x:v>30</x:v>
      </x:c>
      <x:c r="R184" s="2" t="str">
        <x:v>ISTJ</x:v>
      </x:c>
      <x:c r="S184" s="2" t="str">
        <x:v>华东</x:v>
      </x:c>
      <x:c r="T184" s="2" t="str">
        <x:v>商业服务岗位</x:v>
      </x:c>
    </x:row>
    <x:row r="185" ht="24" customHeight="1">
      <x:c r="A185" s="2" t="str">
        <x:v>D020_T02_C080_G025</x:v>
      </x:c>
      <x:c r="B185" s="2" t="str">
        <x:v>A0018</x:v>
      </x:c>
      <x:c r="C185" s="2" t="str">
        <x:v>inside</x:v>
      </x:c>
      <x:c r="D185" s="2" t="n">
        <x:v>2</x:v>
      </x:c>
      <x:c r="E185" s="2" t="n">
        <x:v>1</x:v>
      </x:c>
      <x:c r="F185" s="2" t="n">
        <x:v>6</x:v>
      </x:c>
      <x:c r="G185" s="2" t="str">
        <x:v>observed_post_release</x:v>
      </x:c>
      <x:c r="H185" s="2" t="n">
        <x:f>IF(AND(ISNUMBER(F185),F185&gt;=D185),1,0)</x:f>
        <x:v>1</x:v>
      </x:c>
      <x:c r="I185" s="2" t="n">
        <x:f>IF(AND(ISNUMBER(F185),F185&gt;D185),1,0)</x:f>
        <x:v>1</x:v>
      </x:c>
      <x:c r="J185" s="2" t="n">
        <x:f>IF(H185=1,F185-D185,"")</x:f>
        <x:v>4</x:v>
      </x:c>
      <x:c r="K185" s="2" t="n">
        <x:f>IF(H185=1,F185-E185,"")</x:f>
        <x:v>5</x:v>
      </x:c>
      <x:c r="L185" s="2" t="n">
        <x:v>9</x:v>
      </x:c>
      <x:c r="M185" s="2" t="n">
        <x:v>2</x:v>
      </x:c>
      <x:c r="N185" s="20" t="n">
        <x:v>0.2</x:v>
      </x:c>
      <x:c r="O185" s="20" t="n">
        <x:v>0.8</x:v>
      </x:c>
      <x:c r="P185" s="20" t="n">
        <x:v>0.25</x:v>
      </x:c>
      <x:c r="Q185" s="2" t="n">
        <x:v>60</x:v>
      </x:c>
      <x:c r="R185" s="2" t="str">
        <x:v>INTJ</x:v>
      </x:c>
      <x:c r="S185" s="2" t="str">
        <x:v>华南</x:v>
      </x:c>
      <x:c r="T185" s="2" t="str">
        <x:v>专业技术岗位</x:v>
      </x:c>
    </x:row>
    <x:row r="186" ht="24" customHeight="1">
      <x:c r="A186" s="2" t="str">
        <x:v>D020_T02_C080_G025</x:v>
      </x:c>
      <x:c r="B186" s="2" t="str">
        <x:v>A0020</x:v>
      </x:c>
      <x:c r="C186" s="2" t="str">
        <x:v>inside</x:v>
      </x:c>
      <x:c r="D186" s="2" t="n">
        <x:v>2</x:v>
      </x:c>
      <x:c r="E186" s="2" t="n">
        <x:v>1</x:v>
      </x:c>
      <x:c r="F186" s="2" t="n">
        <x:v>2</x:v>
      </x:c>
      <x:c r="G186" s="2" t="str">
        <x:v>observed_post_release</x:v>
      </x:c>
      <x:c r="H186" s="2" t="n">
        <x:f>IF(AND(ISNUMBER(F186),F186&gt;=D186),1,0)</x:f>
        <x:v>1</x:v>
      </x:c>
      <x:c r="I186" s="2" t="n">
        <x:f>IF(AND(ISNUMBER(F186),F186&gt;D186),1,0)</x:f>
        <x:v>0</x:v>
      </x:c>
      <x:c r="J186" s="2" t="n">
        <x:f>IF(H186=1,F186-D186,"")</x:f>
        <x:v>0</x:v>
      </x:c>
      <x:c r="K186" s="2" t="n">
        <x:f>IF(H186=1,F186-E186,"")</x:f>
        <x:v>1</x:v>
      </x:c>
      <x:c r="L186" s="2" t="n">
        <x:v>9</x:v>
      </x:c>
      <x:c r="M186" s="2" t="n">
        <x:v>2</x:v>
      </x:c>
      <x:c r="N186" s="20" t="n">
        <x:v>0.2</x:v>
      </x:c>
      <x:c r="O186" s="20" t="n">
        <x:v>0.8</x:v>
      </x:c>
      <x:c r="P186" s="20" t="n">
        <x:v>0.25</x:v>
      </x:c>
      <x:c r="Q186" s="2" t="n">
        <x:v>42</x:v>
      </x:c>
      <x:c r="R186" s="2" t="str">
        <x:v>ENTJ</x:v>
      </x:c>
      <x:c r="S186" s="2" t="str">
        <x:v>西南</x:v>
      </x:c>
      <x:c r="T186" s="2" t="str">
        <x:v>行政或办公室岗位</x:v>
      </x:c>
    </x:row>
    <x:row r="187" ht="24" customHeight="1">
      <x:c r="A187" s="2" t="str">
        <x:v>D020_T02_C080_G025</x:v>
      </x:c>
      <x:c r="B187" s="2" t="str">
        <x:v>A0025</x:v>
      </x:c>
      <x:c r="C187" s="2" t="str">
        <x:v>inside</x:v>
      </x:c>
      <x:c r="D187" s="2" t="n">
        <x:v>2</x:v>
      </x:c>
      <x:c r="E187" s="2" t="n">
        <x:v>1</x:v>
      </x:c>
      <x:c r="F187" s="2" t="n">
        <x:v>6</x:v>
      </x:c>
      <x:c r="G187" s="2" t="str">
        <x:v>observed_post_release</x:v>
      </x:c>
      <x:c r="H187" s="2" t="n">
        <x:f>IF(AND(ISNUMBER(F187),F187&gt;=D187),1,0)</x:f>
        <x:v>1</x:v>
      </x:c>
      <x:c r="I187" s="2" t="n">
        <x:f>IF(AND(ISNUMBER(F187),F187&gt;D187),1,0)</x:f>
        <x:v>1</x:v>
      </x:c>
      <x:c r="J187" s="2" t="n">
        <x:f>IF(H187=1,F187-D187,"")</x:f>
        <x:v>4</x:v>
      </x:c>
      <x:c r="K187" s="2" t="n">
        <x:f>IF(H187=1,F187-E187,"")</x:f>
        <x:v>5</x:v>
      </x:c>
      <x:c r="L187" s="2" t="n">
        <x:v>9</x:v>
      </x:c>
      <x:c r="M187" s="2" t="n">
        <x:v>2</x:v>
      </x:c>
      <x:c r="N187" s="20" t="n">
        <x:v>0.2</x:v>
      </x:c>
      <x:c r="O187" s="20" t="n">
        <x:v>0.8</x:v>
      </x:c>
      <x:c r="P187" s="20" t="n">
        <x:v>0.25</x:v>
      </x:c>
      <x:c r="Q187" s="2" t="n">
        <x:v>23</x:v>
      </x:c>
      <x:c r="R187" s="2" t="str">
        <x:v>ISTP</x:v>
      </x:c>
      <x:c r="S187" s="2" t="str">
        <x:v>华南</x:v>
      </x:c>
      <x:c r="T187" s="2" t="str">
        <x:v>行政或办公室岗位</x:v>
      </x:c>
    </x:row>
    <x:row r="188" ht="24" customHeight="1">
      <x:c r="A188" s="2" t="str">
        <x:v>D020_T02_C080_G025</x:v>
      </x:c>
      <x:c r="B188" s="2" t="str">
        <x:v>A0032</x:v>
      </x:c>
      <x:c r="C188" s="2" t="str">
        <x:v>inside</x:v>
      </x:c>
      <x:c r="D188" s="2" t="n">
        <x:v>2</x:v>
      </x:c>
      <x:c r="E188" s="2" t="n">
        <x:v>1</x:v>
      </x:c>
      <x:c r="F188" s="2" t="n">
        <x:v>8</x:v>
      </x:c>
      <x:c r="G188" s="2" t="str">
        <x:v>observed_post_release</x:v>
      </x:c>
      <x:c r="H188" s="2" t="n">
        <x:f>IF(AND(ISNUMBER(F188),F188&gt;=D188),1,0)</x:f>
        <x:v>1</x:v>
      </x:c>
      <x:c r="I188" s="2" t="n">
        <x:f>IF(AND(ISNUMBER(F188),F188&gt;D188),1,0)</x:f>
        <x:v>1</x:v>
      </x:c>
      <x:c r="J188" s="2" t="n">
        <x:f>IF(H188=1,F188-D188,"")</x:f>
        <x:v>6</x:v>
      </x:c>
      <x:c r="K188" s="2" t="n">
        <x:f>IF(H188=1,F188-E188,"")</x:f>
        <x:v>7</x:v>
      </x:c>
      <x:c r="L188" s="2" t="n">
        <x:v>9</x:v>
      </x:c>
      <x:c r="M188" s="2" t="n">
        <x:v>2</x:v>
      </x:c>
      <x:c r="N188" s="20" t="n">
        <x:v>0.2</x:v>
      </x:c>
      <x:c r="O188" s="20" t="n">
        <x:v>0.8</x:v>
      </x:c>
      <x:c r="P188" s="20" t="n">
        <x:v>0.25</x:v>
      </x:c>
      <x:c r="Q188" s="2" t="n">
        <x:v>53</x:v>
      </x:c>
      <x:c r="R188" s="2" t="str">
        <x:v>INTP</x:v>
      </x:c>
      <x:c r="S188" s="2" t="str">
        <x:v>华北</x:v>
      </x:c>
      <x:c r="T188" s="2" t="str">
        <x:v>个体经营或自由职业</x:v>
      </x:c>
    </x:row>
    <x:row r="189" ht="24" customHeight="1">
      <x:c r="A189" s="2" t="str">
        <x:v>D020_T02_C080_G025</x:v>
      </x:c>
      <x:c r="B189" s="2" t="str">
        <x:v>A0033</x:v>
      </x:c>
      <x:c r="C189" s="2" t="str">
        <x:v>inside</x:v>
      </x:c>
      <x:c r="D189" s="2" t="n">
        <x:v>2</x:v>
      </x:c>
      <x:c r="E189" s="2" t="n">
        <x:v>1</x:v>
      </x:c>
      <x:c r="F189" s="2" t="n">
        <x:v>3</x:v>
      </x:c>
      <x:c r="G189" s="2" t="str">
        <x:v>observed_post_release</x:v>
      </x:c>
      <x:c r="H189" s="2" t="n">
        <x:f>IF(AND(ISNUMBER(F189),F189&gt;=D189),1,0)</x:f>
        <x:v>1</x:v>
      </x:c>
      <x:c r="I189" s="2" t="n">
        <x:f>IF(AND(ISNUMBER(F189),F189&gt;D189),1,0)</x:f>
        <x:v>1</x:v>
      </x:c>
      <x:c r="J189" s="2" t="n">
        <x:f>IF(H189=1,F189-D189,"")</x:f>
        <x:v>1</x:v>
      </x:c>
      <x:c r="K189" s="2" t="n">
        <x:f>IF(H189=1,F189-E189,"")</x:f>
        <x:v>2</x:v>
      </x:c>
      <x:c r="L189" s="2" t="n">
        <x:v>9</x:v>
      </x:c>
      <x:c r="M189" s="2" t="n">
        <x:v>2</x:v>
      </x:c>
      <x:c r="N189" s="20" t="n">
        <x:v>0.2</x:v>
      </x:c>
      <x:c r="O189" s="20" t="n">
        <x:v>0.8</x:v>
      </x:c>
      <x:c r="P189" s="20" t="n">
        <x:v>0.25</x:v>
      </x:c>
      <x:c r="Q189" s="2" t="n">
        <x:v>55</x:v>
      </x:c>
      <x:c r="R189" s="2" t="str">
        <x:v>ENFP</x:v>
      </x:c>
      <x:c r="S189" s="2" t="str">
        <x:v>华南</x:v>
      </x:c>
      <x:c r="T189" s="2" t="str">
        <x:v>个体经营或自由职业</x:v>
      </x:c>
    </x:row>
    <x:row r="190" ht="24" customHeight="1">
      <x:c r="A190" s="2" t="str">
        <x:v>D020_T02_C080_G025</x:v>
      </x:c>
      <x:c r="B190" s="2" t="str">
        <x:v>A0036</x:v>
      </x:c>
      <x:c r="C190" s="2" t="str">
        <x:v>inside</x:v>
      </x:c>
      <x:c r="D190" s="2" t="n">
        <x:v>2</x:v>
      </x:c>
      <x:c r="E190" s="2" t="n">
        <x:v>1</x:v>
      </x:c>
      <x:c r="F190" s="2"/>
      <x:c r="G190" s="2" t="str">
        <x:v>right_censored</x:v>
      </x:c>
      <x:c r="H190" s="2" t="n">
        <x:f>IF(AND(ISNUMBER(F190),F190&gt;=D190),1,0)</x:f>
        <x:v>0</x:v>
      </x:c>
      <x:c r="I190" s="2" t="n">
        <x:f>IF(AND(ISNUMBER(F190),F190&gt;D190),1,0)</x:f>
        <x:v>0</x:v>
      </x:c>
      <x:c r="J190" s="2" t="str">
        <x:f>IF(H190=1,F190-D190,"")</x:f>
      </x:c>
      <x:c r="K190" s="2" t="str">
        <x:f>IF(H190=1,F190-E190,"")</x:f>
      </x:c>
      <x:c r="L190" s="2" t="n">
        <x:v>9</x:v>
      </x:c>
      <x:c r="M190" s="2" t="n">
        <x:v>2</x:v>
      </x:c>
      <x:c r="N190" s="20" t="n">
        <x:v>0.2</x:v>
      </x:c>
      <x:c r="O190" s="20" t="n">
        <x:v>0.8</x:v>
      </x:c>
      <x:c r="P190" s="20" t="n">
        <x:v>0.25</x:v>
      </x:c>
      <x:c r="Q190" s="2" t="n">
        <x:v>43</x:v>
      </x:c>
      <x:c r="R190" s="2" t="str">
        <x:v>ISFJ</x:v>
      </x:c>
      <x:c r="S190" s="2" t="str">
        <x:v>华东</x:v>
      </x:c>
      <x:c r="T190" s="2" t="str">
        <x:v>生产运输或体力岗位</x:v>
      </x:c>
    </x:row>
    <x:row r="191" ht="24" customHeight="1">
      <x:c r="A191" s="2" t="str">
        <x:v>D020_T02_C080_G025</x:v>
      </x:c>
      <x:c r="B191" s="2" t="str">
        <x:v>A0037</x:v>
      </x:c>
      <x:c r="C191" s="2" t="str">
        <x:v>inside</x:v>
      </x:c>
      <x:c r="D191" s="2" t="n">
        <x:v>2</x:v>
      </x:c>
      <x:c r="E191" s="2" t="n">
        <x:v>1</x:v>
      </x:c>
      <x:c r="F191" s="2" t="n">
        <x:v>2</x:v>
      </x:c>
      <x:c r="G191" s="2" t="str">
        <x:v>observed_post_release</x:v>
      </x:c>
      <x:c r="H191" s="2" t="n">
        <x:f>IF(AND(ISNUMBER(F191),F191&gt;=D191),1,0)</x:f>
        <x:v>1</x:v>
      </x:c>
      <x:c r="I191" s="2" t="n">
        <x:f>IF(AND(ISNUMBER(F191),F191&gt;D191),1,0)</x:f>
        <x:v>0</x:v>
      </x:c>
      <x:c r="J191" s="2" t="n">
        <x:f>IF(H191=1,F191-D191,"")</x:f>
        <x:v>0</x:v>
      </x:c>
      <x:c r="K191" s="2" t="n">
        <x:f>IF(H191=1,F191-E191,"")</x:f>
        <x:v>1</x:v>
      </x:c>
      <x:c r="L191" s="2" t="n">
        <x:v>9</x:v>
      </x:c>
      <x:c r="M191" s="2" t="n">
        <x:v>2</x:v>
      </x:c>
      <x:c r="N191" s="20" t="n">
        <x:v>0.2</x:v>
      </x:c>
      <x:c r="O191" s="20" t="n">
        <x:v>0.8</x:v>
      </x:c>
      <x:c r="P191" s="20" t="n">
        <x:v>0.25</x:v>
      </x:c>
      <x:c r="Q191" s="2" t="n">
        <x:v>24</x:v>
      </x:c>
      <x:c r="R191" s="2" t="str">
        <x:v>ENTP</x:v>
      </x:c>
      <x:c r="S191" s="2" t="str">
        <x:v>华南</x:v>
      </x:c>
      <x:c r="T191" s="2" t="str">
        <x:v>在校学生</x:v>
      </x:c>
    </x:row>
    <x:row r="192" ht="24" customHeight="1">
      <x:c r="A192" s="2" t="str">
        <x:v>D020_T02_C080_G025</x:v>
      </x:c>
      <x:c r="B192" s="2" t="str">
        <x:v>A0040</x:v>
      </x:c>
      <x:c r="C192" s="2" t="str">
        <x:v>inside</x:v>
      </x:c>
      <x:c r="D192" s="2" t="n">
        <x:v>2</x:v>
      </x:c>
      <x:c r="E192" s="2" t="n">
        <x:v>1</x:v>
      </x:c>
      <x:c r="F192" s="2" t="n">
        <x:v>3</x:v>
      </x:c>
      <x:c r="G192" s="2" t="str">
        <x:v>observed_post_release</x:v>
      </x:c>
      <x:c r="H192" s="2" t="n">
        <x:f>IF(AND(ISNUMBER(F192),F192&gt;=D192),1,0)</x:f>
        <x:v>1</x:v>
      </x:c>
      <x:c r="I192" s="2" t="n">
        <x:f>IF(AND(ISNUMBER(F192),F192&gt;D192),1,0)</x:f>
        <x:v>1</x:v>
      </x:c>
      <x:c r="J192" s="2" t="n">
        <x:f>IF(H192=1,F192-D192,"")</x:f>
        <x:v>1</x:v>
      </x:c>
      <x:c r="K192" s="2" t="n">
        <x:f>IF(H192=1,F192-E192,"")</x:f>
        <x:v>2</x:v>
      </x:c>
      <x:c r="L192" s="2" t="n">
        <x:v>9</x:v>
      </x:c>
      <x:c r="M192" s="2" t="n">
        <x:v>2</x:v>
      </x:c>
      <x:c r="N192" s="20" t="n">
        <x:v>0.2</x:v>
      </x:c>
      <x:c r="O192" s="20" t="n">
        <x:v>0.8</x:v>
      </x:c>
      <x:c r="P192" s="20" t="n">
        <x:v>0.25</x:v>
      </x:c>
      <x:c r="Q192" s="2" t="n">
        <x:v>48</x:v>
      </x:c>
      <x:c r="R192" s="2" t="str">
        <x:v>INFP</x:v>
      </x:c>
      <x:c r="S192" s="2" t="str">
        <x:v>西北</x:v>
      </x:c>
      <x:c r="T192" s="2" t="str">
        <x:v>个体经营或自由职业</x:v>
      </x:c>
    </x:row>
    <x:row r="193" ht="24" customHeight="1">
      <x:c r="A193" s="2" t="str">
        <x:v>D020_T02_C080_G025</x:v>
      </x:c>
      <x:c r="B193" s="2" t="str">
        <x:v>A0071</x:v>
      </x:c>
      <x:c r="C193" s="2" t="str">
        <x:v>inside</x:v>
      </x:c>
      <x:c r="D193" s="2" t="n">
        <x:v>2</x:v>
      </x:c>
      <x:c r="E193" s="2" t="n">
        <x:v>1</x:v>
      </x:c>
      <x:c r="F193" s="2" t="n">
        <x:v>4</x:v>
      </x:c>
      <x:c r="G193" s="2" t="str">
        <x:v>observed_post_release</x:v>
      </x:c>
      <x:c r="H193" s="2" t="n">
        <x:f>IF(AND(ISNUMBER(F193),F193&gt;=D193),1,0)</x:f>
        <x:v>1</x:v>
      </x:c>
      <x:c r="I193" s="2" t="n">
        <x:f>IF(AND(ISNUMBER(F193),F193&gt;D193),1,0)</x:f>
        <x:v>1</x:v>
      </x:c>
      <x:c r="J193" s="2" t="n">
        <x:f>IF(H193=1,F193-D193,"")</x:f>
        <x:v>2</x:v>
      </x:c>
      <x:c r="K193" s="2" t="n">
        <x:f>IF(H193=1,F193-E193,"")</x:f>
        <x:v>3</x:v>
      </x:c>
      <x:c r="L193" s="2" t="n">
        <x:v>9</x:v>
      </x:c>
      <x:c r="M193" s="2" t="n">
        <x:v>2</x:v>
      </x:c>
      <x:c r="N193" s="20" t="n">
        <x:v>0.2</x:v>
      </x:c>
      <x:c r="O193" s="20" t="n">
        <x:v>0.8</x:v>
      </x:c>
      <x:c r="P193" s="20" t="n">
        <x:v>0.25</x:v>
      </x:c>
      <x:c r="Q193" s="2" t="n">
        <x:v>33</x:v>
      </x:c>
      <x:c r="R193" s="2" t="str">
        <x:v>ISTJ</x:v>
      </x:c>
      <x:c r="S193" s="2" t="str">
        <x:v>华东</x:v>
      </x:c>
      <x:c r="T193" s="2" t="str">
        <x:v>商业服务岗位</x:v>
      </x:c>
    </x:row>
    <x:row r="194" ht="24" customHeight="1">
      <x:c r="A194" s="2" t="str">
        <x:v>D020_T02_C080_G025</x:v>
      </x:c>
      <x:c r="B194" s="2" t="str">
        <x:v>A0206</x:v>
      </x:c>
      <x:c r="C194" s="2" t="str">
        <x:v>inside</x:v>
      </x:c>
      <x:c r="D194" s="2" t="n">
        <x:v>2</x:v>
      </x:c>
      <x:c r="E194" s="2" t="n">
        <x:v>1</x:v>
      </x:c>
      <x:c r="F194" s="2" t="n">
        <x:v>2</x:v>
      </x:c>
      <x:c r="G194" s="2" t="str">
        <x:v>observed_post_release</x:v>
      </x:c>
      <x:c r="H194" s="2" t="n">
        <x:f>IF(AND(ISNUMBER(F194),F194&gt;=D194),1,0)</x:f>
        <x:v>1</x:v>
      </x:c>
      <x:c r="I194" s="2" t="n">
        <x:f>IF(AND(ISNUMBER(F194),F194&gt;D194),1,0)</x:f>
        <x:v>0</x:v>
      </x:c>
      <x:c r="J194" s="2" t="n">
        <x:f>IF(H194=1,F194-D194,"")</x:f>
        <x:v>0</x:v>
      </x:c>
      <x:c r="K194" s="2" t="n">
        <x:f>IF(H194=1,F194-E194,"")</x:f>
        <x:v>1</x:v>
      </x:c>
      <x:c r="L194" s="2" t="n">
        <x:v>9</x:v>
      </x:c>
      <x:c r="M194" s="2" t="n">
        <x:v>2</x:v>
      </x:c>
      <x:c r="N194" s="20" t="n">
        <x:v>0.2</x:v>
      </x:c>
      <x:c r="O194" s="20" t="n">
        <x:v>0.8</x:v>
      </x:c>
      <x:c r="P194" s="20" t="n">
        <x:v>0.25</x:v>
      </x:c>
      <x:c r="Q194" s="2" t="n">
        <x:v>21</x:v>
      </x:c>
      <x:c r="R194" s="2" t="str">
        <x:v>ESTP</x:v>
      </x:c>
      <x:c r="S194" s="2" t="str">
        <x:v>西北</x:v>
      </x:c>
      <x:c r="T194" s="2" t="str">
        <x:v>暂未就业或家庭照料</x:v>
      </x:c>
    </x:row>
    <x:row r="195" ht="24" customHeight="1">
      <x:c r="A195" s="2" t="str">
        <x:v>D020_T02_C080_G050</x:v>
      </x:c>
      <x:c r="B195" s="2" t="str">
        <x:v>A0005</x:v>
      </x:c>
      <x:c r="C195" s="2" t="str">
        <x:v>inside</x:v>
      </x:c>
      <x:c r="D195" s="2" t="n">
        <x:v>2</x:v>
      </x:c>
      <x:c r="E195" s="2" t="n">
        <x:v>1</x:v>
      </x:c>
      <x:c r="F195" s="2" t="n">
        <x:v>2</x:v>
      </x:c>
      <x:c r="G195" s="2" t="str">
        <x:v>observed_post_release</x:v>
      </x:c>
      <x:c r="H195" s="2" t="n">
        <x:f>IF(AND(ISNUMBER(F195),F195&gt;=D195),1,0)</x:f>
        <x:v>1</x:v>
      </x:c>
      <x:c r="I195" s="2" t="n">
        <x:f>IF(AND(ISNUMBER(F195),F195&gt;D195),1,0)</x:f>
        <x:v>0</x:v>
      </x:c>
      <x:c r="J195" s="2" t="n">
        <x:f>IF(H195=1,F195-D195,"")</x:f>
        <x:v>0</x:v>
      </x:c>
      <x:c r="K195" s="2" t="n">
        <x:f>IF(H195=1,F195-E195,"")</x:f>
        <x:v>1</x:v>
      </x:c>
      <x:c r="L195" s="2" t="n">
        <x:v>9</x:v>
      </x:c>
      <x:c r="M195" s="2" t="n">
        <x:v>2</x:v>
      </x:c>
      <x:c r="N195" s="20" t="n">
        <x:v>0.2</x:v>
      </x:c>
      <x:c r="O195" s="20" t="n">
        <x:v>0.8</x:v>
      </x:c>
      <x:c r="P195" s="20" t="n">
        <x:v>0.5</x:v>
      </x:c>
      <x:c r="Q195" s="2" t="n">
        <x:v>51</x:v>
      </x:c>
      <x:c r="R195" s="2" t="str">
        <x:v>ISTP</x:v>
      </x:c>
      <x:c r="S195" s="2" t="str">
        <x:v>华南</x:v>
      </x:c>
      <x:c r="T195" s="2" t="str">
        <x:v>生产运输或体力岗位</x:v>
      </x:c>
    </x:row>
    <x:row r="196" ht="24" customHeight="1">
      <x:c r="A196" s="2" t="str">
        <x:v>D020_T02_C080_G050</x:v>
      </x:c>
      <x:c r="B196" s="2" t="str">
        <x:v>A0011</x:v>
      </x:c>
      <x:c r="C196" s="2" t="str">
        <x:v>inside</x:v>
      </x:c>
      <x:c r="D196" s="2" t="n">
        <x:v>2</x:v>
      </x:c>
      <x:c r="E196" s="2" t="n">
        <x:v>1</x:v>
      </x:c>
      <x:c r="F196" s="2" t="n">
        <x:v>3</x:v>
      </x:c>
      <x:c r="G196" s="2" t="str">
        <x:v>observed_post_release</x:v>
      </x:c>
      <x:c r="H196" s="2" t="n">
        <x:f>IF(AND(ISNUMBER(F196),F196&gt;=D196),1,0)</x:f>
        <x:v>1</x:v>
      </x:c>
      <x:c r="I196" s="2" t="n">
        <x:f>IF(AND(ISNUMBER(F196),F196&gt;D196),1,0)</x:f>
        <x:v>1</x:v>
      </x:c>
      <x:c r="J196" s="2" t="n">
        <x:f>IF(H196=1,F196-D196,"")</x:f>
        <x:v>1</x:v>
      </x:c>
      <x:c r="K196" s="2" t="n">
        <x:f>IF(H196=1,F196-E196,"")</x:f>
        <x:v>2</x:v>
      </x:c>
      <x:c r="L196" s="2" t="n">
        <x:v>9</x:v>
      </x:c>
      <x:c r="M196" s="2" t="n">
        <x:v>3</x:v>
      </x:c>
      <x:c r="N196" s="20" t="n">
        <x:v>0.2</x:v>
      </x:c>
      <x:c r="O196" s="20" t="n">
        <x:v>0.8</x:v>
      </x:c>
      <x:c r="P196" s="20" t="n">
        <x:v>0.5</x:v>
      </x:c>
      <x:c r="Q196" s="2" t="n">
        <x:v>42</x:v>
      </x:c>
      <x:c r="R196" s="2" t="str">
        <x:v>ENFJ</x:v>
      </x:c>
      <x:c r="S196" s="2" t="str">
        <x:v>西南</x:v>
      </x:c>
      <x:c r="T196" s="2" t="str">
        <x:v>行政或办公室岗位</x:v>
      </x:c>
    </x:row>
    <x:row r="197" ht="24" customHeight="1">
      <x:c r="A197" s="2" t="str">
        <x:v>D020_T02_C080_G050</x:v>
      </x:c>
      <x:c r="B197" s="2" t="str">
        <x:v>A0012</x:v>
      </x:c>
      <x:c r="C197" s="2" t="str">
        <x:v>inside</x:v>
      </x:c>
      <x:c r="D197" s="2" t="n">
        <x:v>2</x:v>
      </x:c>
      <x:c r="E197" s="2" t="n">
        <x:v>1</x:v>
      </x:c>
      <x:c r="F197" s="2"/>
      <x:c r="G197" s="2" t="str">
        <x:v>right_censored</x:v>
      </x:c>
      <x:c r="H197" s="2" t="n">
        <x:f>IF(AND(ISNUMBER(F197),F197&gt;=D197),1,0)</x:f>
        <x:v>0</x:v>
      </x:c>
      <x:c r="I197" s="2" t="n">
        <x:f>IF(AND(ISNUMBER(F197),F197&gt;D197),1,0)</x:f>
        <x:v>0</x:v>
      </x:c>
      <x:c r="J197" s="2" t="str">
        <x:f>IF(H197=1,F197-D197,"")</x:f>
      </x:c>
      <x:c r="K197" s="2" t="str">
        <x:f>IF(H197=1,F197-E197,"")</x:f>
      </x:c>
      <x:c r="L197" s="2" t="n">
        <x:v>9</x:v>
      </x:c>
      <x:c r="M197" s="2" t="n">
        <x:v>2</x:v>
      </x:c>
      <x:c r="N197" s="20" t="n">
        <x:v>0.2</x:v>
      </x:c>
      <x:c r="O197" s="20" t="n">
        <x:v>0.8</x:v>
      </x:c>
      <x:c r="P197" s="20" t="n">
        <x:v>0.5</x:v>
      </x:c>
      <x:c r="Q197" s="2" t="n">
        <x:v>38</x:v>
      </x:c>
      <x:c r="R197" s="2" t="str">
        <x:v>ESFP</x:v>
      </x:c>
      <x:c r="S197" s="2" t="str">
        <x:v>华中</x:v>
      </x:c>
      <x:c r="T197" s="2" t="str">
        <x:v>行政或办公室岗位</x:v>
      </x:c>
    </x:row>
    <x:row r="198" ht="24" customHeight="1">
      <x:c r="A198" s="2" t="str">
        <x:v>D020_T02_C080_G050</x:v>
      </x:c>
      <x:c r="B198" s="2" t="str">
        <x:v>A0017</x:v>
      </x:c>
      <x:c r="C198" s="2" t="str">
        <x:v>inside</x:v>
      </x:c>
      <x:c r="D198" s="2" t="n">
        <x:v>2</x:v>
      </x:c>
      <x:c r="E198" s="2" t="n">
        <x:v>1</x:v>
      </x:c>
      <x:c r="F198" s="2" t="n">
        <x:v>4</x:v>
      </x:c>
      <x:c r="G198" s="2" t="str">
        <x:v>observed_post_release</x:v>
      </x:c>
      <x:c r="H198" s="2" t="n">
        <x:f>IF(AND(ISNUMBER(F198),F198&gt;=D198),1,0)</x:f>
        <x:v>1</x:v>
      </x:c>
      <x:c r="I198" s="2" t="n">
        <x:f>IF(AND(ISNUMBER(F198),F198&gt;D198),1,0)</x:f>
        <x:v>1</x:v>
      </x:c>
      <x:c r="J198" s="2" t="n">
        <x:f>IF(H198=1,F198-D198,"")</x:f>
        <x:v>2</x:v>
      </x:c>
      <x:c r="K198" s="2" t="n">
        <x:f>IF(H198=1,F198-E198,"")</x:f>
        <x:v>3</x:v>
      </x:c>
      <x:c r="L198" s="2" t="n">
        <x:v>9</x:v>
      </x:c>
      <x:c r="M198" s="2" t="n">
        <x:v>4</x:v>
      </x:c>
      <x:c r="N198" s="20" t="n">
        <x:v>0.2</x:v>
      </x:c>
      <x:c r="O198" s="20" t="n">
        <x:v>0.8</x:v>
      </x:c>
      <x:c r="P198" s="20" t="n">
        <x:v>0.5</x:v>
      </x:c>
      <x:c r="Q198" s="2" t="n">
        <x:v>30</x:v>
      </x:c>
      <x:c r="R198" s="2" t="str">
        <x:v>ISTJ</x:v>
      </x:c>
      <x:c r="S198" s="2" t="str">
        <x:v>华东</x:v>
      </x:c>
      <x:c r="T198" s="2" t="str">
        <x:v>商业服务岗位</x:v>
      </x:c>
    </x:row>
    <x:row r="199" ht="24" customHeight="1">
      <x:c r="A199" s="2" t="str">
        <x:v>D020_T02_C080_G050</x:v>
      </x:c>
      <x:c r="B199" s="2" t="str">
        <x:v>A0018</x:v>
      </x:c>
      <x:c r="C199" s="2" t="str">
        <x:v>inside</x:v>
      </x:c>
      <x:c r="D199" s="2" t="n">
        <x:v>2</x:v>
      </x:c>
      <x:c r="E199" s="2" t="n">
        <x:v>1</x:v>
      </x:c>
      <x:c r="F199" s="2" t="n">
        <x:v>2</x:v>
      </x:c>
      <x:c r="G199" s="2" t="str">
        <x:v>observed_post_release</x:v>
      </x:c>
      <x:c r="H199" s="2" t="n">
        <x:f>IF(AND(ISNUMBER(F199),F199&gt;=D199),1,0)</x:f>
        <x:v>1</x:v>
      </x:c>
      <x:c r="I199" s="2" t="n">
        <x:f>IF(AND(ISNUMBER(F199),F199&gt;D199),1,0)</x:f>
        <x:v>0</x:v>
      </x:c>
      <x:c r="J199" s="2" t="n">
        <x:f>IF(H199=1,F199-D199,"")</x:f>
        <x:v>0</x:v>
      </x:c>
      <x:c r="K199" s="2" t="n">
        <x:f>IF(H199=1,F199-E199,"")</x:f>
        <x:v>1</x:v>
      </x:c>
      <x:c r="L199" s="2" t="n">
        <x:v>9</x:v>
      </x:c>
      <x:c r="M199" s="2" t="n">
        <x:v>2</x:v>
      </x:c>
      <x:c r="N199" s="20" t="n">
        <x:v>0.2</x:v>
      </x:c>
      <x:c r="O199" s="20" t="n">
        <x:v>0.8</x:v>
      </x:c>
      <x:c r="P199" s="20" t="n">
        <x:v>0.5</x:v>
      </x:c>
      <x:c r="Q199" s="2" t="n">
        <x:v>60</x:v>
      </x:c>
      <x:c r="R199" s="2" t="str">
        <x:v>INTJ</x:v>
      </x:c>
      <x:c r="S199" s="2" t="str">
        <x:v>华南</x:v>
      </x:c>
      <x:c r="T199" s="2" t="str">
        <x:v>专业技术岗位</x:v>
      </x:c>
    </x:row>
    <x:row r="200" ht="24" customHeight="1">
      <x:c r="A200" s="2" t="str">
        <x:v>D020_T02_C080_G050</x:v>
      </x:c>
      <x:c r="B200" s="2" t="str">
        <x:v>A0027</x:v>
      </x:c>
      <x:c r="C200" s="2" t="str">
        <x:v>inside</x:v>
      </x:c>
      <x:c r="D200" s="2" t="n">
        <x:v>2</x:v>
      </x:c>
      <x:c r="E200" s="2" t="n">
        <x:v>1</x:v>
      </x:c>
      <x:c r="F200" s="2" t="n">
        <x:v>2</x:v>
      </x:c>
      <x:c r="G200" s="2" t="str">
        <x:v>observed_post_release</x:v>
      </x:c>
      <x:c r="H200" s="2" t="n">
        <x:f>IF(AND(ISNUMBER(F200),F200&gt;=D200),1,0)</x:f>
        <x:v>1</x:v>
      </x:c>
      <x:c r="I200" s="2" t="n">
        <x:f>IF(AND(ISNUMBER(F200),F200&gt;D200),1,0)</x:f>
        <x:v>0</x:v>
      </x:c>
      <x:c r="J200" s="2" t="n">
        <x:f>IF(H200=1,F200-D200,"")</x:f>
        <x:v>0</x:v>
      </x:c>
      <x:c r="K200" s="2" t="n">
        <x:f>IF(H200=1,F200-E200,"")</x:f>
        <x:v>1</x:v>
      </x:c>
      <x:c r="L200" s="2" t="n">
        <x:v>9</x:v>
      </x:c>
      <x:c r="M200" s="2" t="n">
        <x:v>2</x:v>
      </x:c>
      <x:c r="N200" s="20" t="n">
        <x:v>0.2</x:v>
      </x:c>
      <x:c r="O200" s="20" t="n">
        <x:v>0.8</x:v>
      </x:c>
      <x:c r="P200" s="20" t="n">
        <x:v>0.5</x:v>
      </x:c>
      <x:c r="Q200" s="2" t="n">
        <x:v>25</x:v>
      </x:c>
      <x:c r="R200" s="2" t="str">
        <x:v>ESFP</x:v>
      </x:c>
      <x:c r="S200" s="2" t="str">
        <x:v>西北</x:v>
      </x:c>
      <x:c r="T200" s="2" t="str">
        <x:v>暂未就业或家庭照料</x:v>
      </x:c>
    </x:row>
    <x:row r="201" ht="24" customHeight="1">
      <x:c r="A201" s="2" t="str">
        <x:v>D020_T02_C080_G050</x:v>
      </x:c>
      <x:c r="B201" s="2" t="str">
        <x:v>A0030</x:v>
      </x:c>
      <x:c r="C201" s="2" t="str">
        <x:v>inside</x:v>
      </x:c>
      <x:c r="D201" s="2" t="n">
        <x:v>2</x:v>
      </x:c>
      <x:c r="E201" s="2" t="n">
        <x:v>1</x:v>
      </x:c>
      <x:c r="F201" s="2" t="n">
        <x:v>4</x:v>
      </x:c>
      <x:c r="G201" s="2" t="str">
        <x:v>observed_post_release</x:v>
      </x:c>
      <x:c r="H201" s="2" t="n">
        <x:f>IF(AND(ISNUMBER(F201),F201&gt;=D201),1,0)</x:f>
        <x:v>1</x:v>
      </x:c>
      <x:c r="I201" s="2" t="n">
        <x:f>IF(AND(ISNUMBER(F201),F201&gt;D201),1,0)</x:f>
        <x:v>1</x:v>
      </x:c>
      <x:c r="J201" s="2" t="n">
        <x:f>IF(H201=1,F201-D201,"")</x:f>
        <x:v>2</x:v>
      </x:c>
      <x:c r="K201" s="2" t="n">
        <x:f>IF(H201=1,F201-E201,"")</x:f>
        <x:v>3</x:v>
      </x:c>
      <x:c r="L201" s="2" t="n">
        <x:v>9</x:v>
      </x:c>
      <x:c r="M201" s="2" t="n">
        <x:v>2</x:v>
      </x:c>
      <x:c r="N201" s="20" t="n">
        <x:v>0.2</x:v>
      </x:c>
      <x:c r="O201" s="20" t="n">
        <x:v>0.8</x:v>
      </x:c>
      <x:c r="P201" s="20" t="n">
        <x:v>0.5</x:v>
      </x:c>
      <x:c r="Q201" s="2" t="n">
        <x:v>23</x:v>
      </x:c>
      <x:c r="R201" s="2" t="str">
        <x:v>ISFP</x:v>
      </x:c>
      <x:c r="S201" s="2" t="str">
        <x:v>华东</x:v>
      </x:c>
      <x:c r="T201" s="2" t="str">
        <x:v>在校学生</x:v>
      </x:c>
    </x:row>
    <x:row r="202" ht="24" customHeight="1">
      <x:c r="A202" s="2" t="str">
        <x:v>D020_T02_C080_G050</x:v>
      </x:c>
      <x:c r="B202" s="2" t="str">
        <x:v>A0032</x:v>
      </x:c>
      <x:c r="C202" s="2" t="str">
        <x:v>inside</x:v>
      </x:c>
      <x:c r="D202" s="2" t="n">
        <x:v>2</x:v>
      </x:c>
      <x:c r="E202" s="2" t="n">
        <x:v>1</x:v>
      </x:c>
      <x:c r="F202" s="2" t="n">
        <x:v>2</x:v>
      </x:c>
      <x:c r="G202" s="2" t="str">
        <x:v>observed_post_release</x:v>
      </x:c>
      <x:c r="H202" s="2" t="n">
        <x:f>IF(AND(ISNUMBER(F202),F202&gt;=D202),1,0)</x:f>
        <x:v>1</x:v>
      </x:c>
      <x:c r="I202" s="2" t="n">
        <x:f>IF(AND(ISNUMBER(F202),F202&gt;D202),1,0)</x:f>
        <x:v>0</x:v>
      </x:c>
      <x:c r="J202" s="2" t="n">
        <x:f>IF(H202=1,F202-D202,"")</x:f>
        <x:v>0</x:v>
      </x:c>
      <x:c r="K202" s="2" t="n">
        <x:f>IF(H202=1,F202-E202,"")</x:f>
        <x:v>1</x:v>
      </x:c>
      <x:c r="L202" s="2" t="n">
        <x:v>9</x:v>
      </x:c>
      <x:c r="M202" s="2" t="n">
        <x:v>2</x:v>
      </x:c>
      <x:c r="N202" s="20" t="n">
        <x:v>0.2</x:v>
      </x:c>
      <x:c r="O202" s="20" t="n">
        <x:v>0.8</x:v>
      </x:c>
      <x:c r="P202" s="20" t="n">
        <x:v>0.5</x:v>
      </x:c>
      <x:c r="Q202" s="2" t="n">
        <x:v>53</x:v>
      </x:c>
      <x:c r="R202" s="2" t="str">
        <x:v>INTP</x:v>
      </x:c>
      <x:c r="S202" s="2" t="str">
        <x:v>华北</x:v>
      </x:c>
      <x:c r="T202" s="2" t="str">
        <x:v>个体经营或自由职业</x:v>
      </x:c>
    </x:row>
    <x:row r="203" ht="24" customHeight="1">
      <x:c r="A203" s="2" t="str">
        <x:v>D020_T02_C080_G050</x:v>
      </x:c>
      <x:c r="B203" s="2" t="str">
        <x:v>A0033</x:v>
      </x:c>
      <x:c r="C203" s="2" t="str">
        <x:v>inside</x:v>
      </x:c>
      <x:c r="D203" s="2" t="n">
        <x:v>2</x:v>
      </x:c>
      <x:c r="E203" s="2" t="n">
        <x:v>1</x:v>
      </x:c>
      <x:c r="F203" s="2" t="n">
        <x:v>2</x:v>
      </x:c>
      <x:c r="G203" s="2" t="str">
        <x:v>observed_post_release</x:v>
      </x:c>
      <x:c r="H203" s="2" t="n">
        <x:f>IF(AND(ISNUMBER(F203),F203&gt;=D203),1,0)</x:f>
        <x:v>1</x:v>
      </x:c>
      <x:c r="I203" s="2" t="n">
        <x:f>IF(AND(ISNUMBER(F203),F203&gt;D203),1,0)</x:f>
        <x:v>0</x:v>
      </x:c>
      <x:c r="J203" s="2" t="n">
        <x:f>IF(H203=1,F203-D203,"")</x:f>
        <x:v>0</x:v>
      </x:c>
      <x:c r="K203" s="2" t="n">
        <x:f>IF(H203=1,F203-E203,"")</x:f>
        <x:v>1</x:v>
      </x:c>
      <x:c r="L203" s="2" t="n">
        <x:v>9</x:v>
      </x:c>
      <x:c r="M203" s="2" t="n">
        <x:v>2</x:v>
      </x:c>
      <x:c r="N203" s="20" t="n">
        <x:v>0.2</x:v>
      </x:c>
      <x:c r="O203" s="20" t="n">
        <x:v>0.8</x:v>
      </x:c>
      <x:c r="P203" s="20" t="n">
        <x:v>0.5</x:v>
      </x:c>
      <x:c r="Q203" s="2" t="n">
        <x:v>55</x:v>
      </x:c>
      <x:c r="R203" s="2" t="str">
        <x:v>ENFP</x:v>
      </x:c>
      <x:c r="S203" s="2" t="str">
        <x:v>华南</x:v>
      </x:c>
      <x:c r="T203" s="2" t="str">
        <x:v>个体经营或自由职业</x:v>
      </x:c>
    </x:row>
    <x:row r="204" ht="24" customHeight="1">
      <x:c r="A204" s="2" t="str">
        <x:v>D020_T02_C080_G050</x:v>
      </x:c>
      <x:c r="B204" s="2" t="str">
        <x:v>A0034</x:v>
      </x:c>
      <x:c r="C204" s="2" t="str">
        <x:v>inside</x:v>
      </x:c>
      <x:c r="D204" s="2" t="n">
        <x:v>2</x:v>
      </x:c>
      <x:c r="E204" s="2" t="n">
        <x:v>1</x:v>
      </x:c>
      <x:c r="F204" s="2" t="n">
        <x:v>2</x:v>
      </x:c>
      <x:c r="G204" s="2" t="str">
        <x:v>observed_post_release</x:v>
      </x:c>
      <x:c r="H204" s="2" t="n">
        <x:f>IF(AND(ISNUMBER(F204),F204&gt;=D204),1,0)</x:f>
        <x:v>1</x:v>
      </x:c>
      <x:c r="I204" s="2" t="n">
        <x:f>IF(AND(ISNUMBER(F204),F204&gt;D204),1,0)</x:f>
        <x:v>0</x:v>
      </x:c>
      <x:c r="J204" s="2" t="n">
        <x:f>IF(H204=1,F204-D204,"")</x:f>
        <x:v>0</x:v>
      </x:c>
      <x:c r="K204" s="2" t="n">
        <x:f>IF(H204=1,F204-E204,"")</x:f>
        <x:v>1</x:v>
      </x:c>
      <x:c r="L204" s="2" t="n">
        <x:v>9</x:v>
      </x:c>
      <x:c r="M204" s="2" t="n">
        <x:v>2</x:v>
      </x:c>
      <x:c r="N204" s="20" t="n">
        <x:v>0.2</x:v>
      </x:c>
      <x:c r="O204" s="20" t="n">
        <x:v>0.8</x:v>
      </x:c>
      <x:c r="P204" s="20" t="n">
        <x:v>0.5</x:v>
      </x:c>
      <x:c r="Q204" s="2" t="n">
        <x:v>36</x:v>
      </x:c>
      <x:c r="R204" s="2" t="str">
        <x:v>INTP</x:v>
      </x:c>
      <x:c r="S204" s="2" t="str">
        <x:v>华南</x:v>
      </x:c>
      <x:c r="T204" s="2" t="str">
        <x:v>专业技术岗位</x:v>
      </x:c>
    </x:row>
    <x:row r="205" ht="24" customHeight="1">
      <x:c r="A205" s="2" t="str">
        <x:v>D020_T02_C080_G050</x:v>
      </x:c>
      <x:c r="B205" s="2" t="str">
        <x:v>A0035</x:v>
      </x:c>
      <x:c r="C205" s="2" t="str">
        <x:v>inside</x:v>
      </x:c>
      <x:c r="D205" s="2" t="n">
        <x:v>2</x:v>
      </x:c>
      <x:c r="E205" s="2" t="n">
        <x:v>1</x:v>
      </x:c>
      <x:c r="F205" s="2" t="n">
        <x:v>2</x:v>
      </x:c>
      <x:c r="G205" s="2" t="str">
        <x:v>observed_post_release</x:v>
      </x:c>
      <x:c r="H205" s="2" t="n">
        <x:f>IF(AND(ISNUMBER(F205),F205&gt;=D205),1,0)</x:f>
        <x:v>1</x:v>
      </x:c>
      <x:c r="I205" s="2" t="n">
        <x:f>IF(AND(ISNUMBER(F205),F205&gt;D205),1,0)</x:f>
        <x:v>0</x:v>
      </x:c>
      <x:c r="J205" s="2" t="n">
        <x:f>IF(H205=1,F205-D205,"")</x:f>
        <x:v>0</x:v>
      </x:c>
      <x:c r="K205" s="2" t="n">
        <x:f>IF(H205=1,F205-E205,"")</x:f>
        <x:v>1</x:v>
      </x:c>
      <x:c r="L205" s="2" t="n">
        <x:v>9</x:v>
      </x:c>
      <x:c r="M205" s="2" t="n">
        <x:v>2</x:v>
      </x:c>
      <x:c r="N205" s="20" t="n">
        <x:v>0.2</x:v>
      </x:c>
      <x:c r="O205" s="20" t="n">
        <x:v>0.8</x:v>
      </x:c>
      <x:c r="P205" s="20" t="n">
        <x:v>0.5</x:v>
      </x:c>
      <x:c r="Q205" s="2" t="n">
        <x:v>42</x:v>
      </x:c>
      <x:c r="R205" s="2" t="str">
        <x:v>ISFJ</x:v>
      </x:c>
      <x:c r="S205" s="2" t="str">
        <x:v>华南</x:v>
      </x:c>
      <x:c r="T205" s="2" t="str">
        <x:v>专业技术岗位</x:v>
      </x:c>
    </x:row>
    <x:row r="206" ht="24" customHeight="1">
      <x:c r="A206" s="2" t="str">
        <x:v>D020_T02_C080_G050</x:v>
      </x:c>
      <x:c r="B206" s="2" t="str">
        <x:v>A0036</x:v>
      </x:c>
      <x:c r="C206" s="2" t="str">
        <x:v>inside</x:v>
      </x:c>
      <x:c r="D206" s="2" t="n">
        <x:v>2</x:v>
      </x:c>
      <x:c r="E206" s="2" t="n">
        <x:v>1</x:v>
      </x:c>
      <x:c r="F206" s="2" t="n">
        <x:v>3</x:v>
      </x:c>
      <x:c r="G206" s="2" t="str">
        <x:v>observed_post_release</x:v>
      </x:c>
      <x:c r="H206" s="2" t="n">
        <x:f>IF(AND(ISNUMBER(F206),F206&gt;=D206),1,0)</x:f>
        <x:v>1</x:v>
      </x:c>
      <x:c r="I206" s="2" t="n">
        <x:f>IF(AND(ISNUMBER(F206),F206&gt;D206),1,0)</x:f>
        <x:v>1</x:v>
      </x:c>
      <x:c r="J206" s="2" t="n">
        <x:f>IF(H206=1,F206-D206,"")</x:f>
        <x:v>1</x:v>
      </x:c>
      <x:c r="K206" s="2" t="n">
        <x:f>IF(H206=1,F206-E206,"")</x:f>
        <x:v>2</x:v>
      </x:c>
      <x:c r="L206" s="2" t="n">
        <x:v>9</x:v>
      </x:c>
      <x:c r="M206" s="2" t="n">
        <x:v>2</x:v>
      </x:c>
      <x:c r="N206" s="20" t="n">
        <x:v>0.2</x:v>
      </x:c>
      <x:c r="O206" s="20" t="n">
        <x:v>0.8</x:v>
      </x:c>
      <x:c r="P206" s="20" t="n">
        <x:v>0.5</x:v>
      </x:c>
      <x:c r="Q206" s="2" t="n">
        <x:v>43</x:v>
      </x:c>
      <x:c r="R206" s="2" t="str">
        <x:v>ISFJ</x:v>
      </x:c>
      <x:c r="S206" s="2" t="str">
        <x:v>华东</x:v>
      </x:c>
      <x:c r="T206" s="2" t="str">
        <x:v>生产运输或体力岗位</x:v>
      </x:c>
    </x:row>
    <x:row r="207" ht="24" customHeight="1">
      <x:c r="A207" s="2" t="str">
        <x:v>D020_T02_C080_G050</x:v>
      </x:c>
      <x:c r="B207" s="2" t="str">
        <x:v>A0071</x:v>
      </x:c>
      <x:c r="C207" s="2" t="str">
        <x:v>inside</x:v>
      </x:c>
      <x:c r="D207" s="2" t="n">
        <x:v>2</x:v>
      </x:c>
      <x:c r="E207" s="2" t="n">
        <x:v>1</x:v>
      </x:c>
      <x:c r="F207" s="2" t="n">
        <x:v>3</x:v>
      </x:c>
      <x:c r="G207" s="2" t="str">
        <x:v>observed_post_release</x:v>
      </x:c>
      <x:c r="H207" s="2" t="n">
        <x:f>IF(AND(ISNUMBER(F207),F207&gt;=D207),1,0)</x:f>
        <x:v>1</x:v>
      </x:c>
      <x:c r="I207" s="2" t="n">
        <x:f>IF(AND(ISNUMBER(F207),F207&gt;D207),1,0)</x:f>
        <x:v>1</x:v>
      </x:c>
      <x:c r="J207" s="2" t="n">
        <x:f>IF(H207=1,F207-D207,"")</x:f>
        <x:v>1</x:v>
      </x:c>
      <x:c r="K207" s="2" t="n">
        <x:f>IF(H207=1,F207-E207,"")</x:f>
        <x:v>2</x:v>
      </x:c>
      <x:c r="L207" s="2" t="n">
        <x:v>9</x:v>
      </x:c>
      <x:c r="M207" s="2" t="n">
        <x:v>2</x:v>
      </x:c>
      <x:c r="N207" s="20" t="n">
        <x:v>0.2</x:v>
      </x:c>
      <x:c r="O207" s="20" t="n">
        <x:v>0.8</x:v>
      </x:c>
      <x:c r="P207" s="20" t="n">
        <x:v>0.5</x:v>
      </x:c>
      <x:c r="Q207" s="2" t="n">
        <x:v>33</x:v>
      </x:c>
      <x:c r="R207" s="2" t="str">
        <x:v>ISTJ</x:v>
      </x:c>
      <x:c r="S207" s="2" t="str">
        <x:v>华东</x:v>
      </x:c>
      <x:c r="T207" s="2" t="str">
        <x:v>商业服务岗位</x:v>
      </x:c>
    </x:row>
    <x:row r="208" ht="24" customHeight="1">
      <x:c r="A208" s="2" t="str">
        <x:v>D020_T02_C080_G050</x:v>
      </x:c>
      <x:c r="B208" s="2" t="str">
        <x:v>A0206</x:v>
      </x:c>
      <x:c r="C208" s="2" t="str">
        <x:v>inside</x:v>
      </x:c>
      <x:c r="D208" s="2" t="n">
        <x:v>2</x:v>
      </x:c>
      <x:c r="E208" s="2" t="n">
        <x:v>1</x:v>
      </x:c>
      <x:c r="F208" s="2" t="n">
        <x:v>2</x:v>
      </x:c>
      <x:c r="G208" s="2" t="str">
        <x:v>observed_post_release</x:v>
      </x:c>
      <x:c r="H208" s="2" t="n">
        <x:f>IF(AND(ISNUMBER(F208),F208&gt;=D208),1,0)</x:f>
        <x:v>1</x:v>
      </x:c>
      <x:c r="I208" s="2" t="n">
        <x:f>IF(AND(ISNUMBER(F208),F208&gt;D208),1,0)</x:f>
        <x:v>0</x:v>
      </x:c>
      <x:c r="J208" s="2" t="n">
        <x:f>IF(H208=1,F208-D208,"")</x:f>
        <x:v>0</x:v>
      </x:c>
      <x:c r="K208" s="2" t="n">
        <x:f>IF(H208=1,F208-E208,"")</x:f>
        <x:v>1</x:v>
      </x:c>
      <x:c r="L208" s="2" t="n">
        <x:v>9</x:v>
      </x:c>
      <x:c r="M208" s="2" t="n">
        <x:v>2</x:v>
      </x:c>
      <x:c r="N208" s="20" t="n">
        <x:v>0.2</x:v>
      </x:c>
      <x:c r="O208" s="20" t="n">
        <x:v>0.8</x:v>
      </x:c>
      <x:c r="P208" s="20" t="n">
        <x:v>0.5</x:v>
      </x:c>
      <x:c r="Q208" s="2" t="n">
        <x:v>21</x:v>
      </x:c>
      <x:c r="R208" s="2" t="str">
        <x:v>ESTP</x:v>
      </x:c>
      <x:c r="S208" s="2" t="str">
        <x:v>西北</x:v>
      </x:c>
      <x:c r="T208" s="2" t="str">
        <x:v>暂未就业或家庭照料</x:v>
      </x:c>
    </x:row>
    <x:row r="209" ht="24" customHeight="1">
      <x:c r="A209" s="2" t="str">
        <x:v>D020_T02_C080_G075</x:v>
      </x:c>
      <x:c r="B209" s="2" t="str">
        <x:v>A0011</x:v>
      </x:c>
      <x:c r="C209" s="2" t="str">
        <x:v>inside</x:v>
      </x:c>
      <x:c r="D209" s="2" t="n">
        <x:v>2</x:v>
      </x:c>
      <x:c r="E209" s="2" t="n">
        <x:v>1</x:v>
      </x:c>
      <x:c r="F209" s="2" t="n">
        <x:v>3</x:v>
      </x:c>
      <x:c r="G209" s="2" t="str">
        <x:v>observed_post_release</x:v>
      </x:c>
      <x:c r="H209" s="2" t="n">
        <x:f>IF(AND(ISNUMBER(F209),F209&gt;=D209),1,0)</x:f>
        <x:v>1</x:v>
      </x:c>
      <x:c r="I209" s="2" t="n">
        <x:f>IF(AND(ISNUMBER(F209),F209&gt;D209),1,0)</x:f>
        <x:v>1</x:v>
      </x:c>
      <x:c r="J209" s="2" t="n">
        <x:f>IF(H209=1,F209-D209,"")</x:f>
        <x:v>1</x:v>
      </x:c>
      <x:c r="K209" s="2" t="n">
        <x:f>IF(H209=1,F209-E209,"")</x:f>
        <x:v>2</x:v>
      </x:c>
      <x:c r="L209" s="2" t="n">
        <x:v>9</x:v>
      </x:c>
      <x:c r="M209" s="2" t="n">
        <x:v>3</x:v>
      </x:c>
      <x:c r="N209" s="20" t="n">
        <x:v>0.2</x:v>
      </x:c>
      <x:c r="O209" s="20" t="n">
        <x:v>0.8</x:v>
      </x:c>
      <x:c r="P209" s="20" t="n">
        <x:v>0.75</x:v>
      </x:c>
      <x:c r="Q209" s="2" t="n">
        <x:v>42</x:v>
      </x:c>
      <x:c r="R209" s="2" t="str">
        <x:v>ENFJ</x:v>
      </x:c>
      <x:c r="S209" s="2" t="str">
        <x:v>西南</x:v>
      </x:c>
      <x:c r="T209" s="2" t="str">
        <x:v>行政或办公室岗位</x:v>
      </x:c>
    </x:row>
    <x:row r="210" ht="24" customHeight="1">
      <x:c r="A210" s="2" t="str">
        <x:v>D020_T02_C080_G075</x:v>
      </x:c>
      <x:c r="B210" s="2" t="str">
        <x:v>A0012</x:v>
      </x:c>
      <x:c r="C210" s="2" t="str">
        <x:v>inside</x:v>
      </x:c>
      <x:c r="D210" s="2" t="n">
        <x:v>2</x:v>
      </x:c>
      <x:c r="E210" s="2" t="n">
        <x:v>1</x:v>
      </x:c>
      <x:c r="F210" s="2" t="n">
        <x:v>3</x:v>
      </x:c>
      <x:c r="G210" s="2" t="str">
        <x:v>observed_post_release</x:v>
      </x:c>
      <x:c r="H210" s="2" t="n">
        <x:f>IF(AND(ISNUMBER(F210),F210&gt;=D210),1,0)</x:f>
        <x:v>1</x:v>
      </x:c>
      <x:c r="I210" s="2" t="n">
        <x:f>IF(AND(ISNUMBER(F210),F210&gt;D210),1,0)</x:f>
        <x:v>1</x:v>
      </x:c>
      <x:c r="J210" s="2" t="n">
        <x:f>IF(H210=1,F210-D210,"")</x:f>
        <x:v>1</x:v>
      </x:c>
      <x:c r="K210" s="2" t="n">
        <x:f>IF(H210=1,F210-E210,"")</x:f>
        <x:v>2</x:v>
      </x:c>
      <x:c r="L210" s="2" t="n">
        <x:v>9</x:v>
      </x:c>
      <x:c r="M210" s="2" t="n">
        <x:v>2</x:v>
      </x:c>
      <x:c r="N210" s="20" t="n">
        <x:v>0.2</x:v>
      </x:c>
      <x:c r="O210" s="20" t="n">
        <x:v>0.8</x:v>
      </x:c>
      <x:c r="P210" s="20" t="n">
        <x:v>0.75</x:v>
      </x:c>
      <x:c r="Q210" s="2" t="n">
        <x:v>38</x:v>
      </x:c>
      <x:c r="R210" s="2" t="str">
        <x:v>ESFP</x:v>
      </x:c>
      <x:c r="S210" s="2" t="str">
        <x:v>华中</x:v>
      </x:c>
      <x:c r="T210" s="2" t="str">
        <x:v>行政或办公室岗位</x:v>
      </x:c>
    </x:row>
    <x:row r="211" ht="24" customHeight="1">
      <x:c r="A211" s="2" t="str">
        <x:v>D020_T02_C080_G075</x:v>
      </x:c>
      <x:c r="B211" s="2" t="str">
        <x:v>A0017</x:v>
      </x:c>
      <x:c r="C211" s="2" t="str">
        <x:v>inside</x:v>
      </x:c>
      <x:c r="D211" s="2" t="n">
        <x:v>2</x:v>
      </x:c>
      <x:c r="E211" s="2" t="n">
        <x:v>1</x:v>
      </x:c>
      <x:c r="F211" s="2" t="n">
        <x:v>4</x:v>
      </x:c>
      <x:c r="G211" s="2" t="str">
        <x:v>observed_post_release</x:v>
      </x:c>
      <x:c r="H211" s="2" t="n">
        <x:f>IF(AND(ISNUMBER(F211),F211&gt;=D211),1,0)</x:f>
        <x:v>1</x:v>
      </x:c>
      <x:c r="I211" s="2" t="n">
        <x:f>IF(AND(ISNUMBER(F211),F211&gt;D211),1,0)</x:f>
        <x:v>1</x:v>
      </x:c>
      <x:c r="J211" s="2" t="n">
        <x:f>IF(H211=1,F211-D211,"")</x:f>
        <x:v>2</x:v>
      </x:c>
      <x:c r="K211" s="2" t="n">
        <x:f>IF(H211=1,F211-E211,"")</x:f>
        <x:v>3</x:v>
      </x:c>
      <x:c r="L211" s="2" t="n">
        <x:v>9</x:v>
      </x:c>
      <x:c r="M211" s="2" t="n">
        <x:v>4</x:v>
      </x:c>
      <x:c r="N211" s="20" t="n">
        <x:v>0.2</x:v>
      </x:c>
      <x:c r="O211" s="20" t="n">
        <x:v>0.8</x:v>
      </x:c>
      <x:c r="P211" s="20" t="n">
        <x:v>0.75</x:v>
      </x:c>
      <x:c r="Q211" s="2" t="n">
        <x:v>30</x:v>
      </x:c>
      <x:c r="R211" s="2" t="str">
        <x:v>ISTJ</x:v>
      </x:c>
      <x:c r="S211" s="2" t="str">
        <x:v>华东</x:v>
      </x:c>
      <x:c r="T211" s="2" t="str">
        <x:v>商业服务岗位</x:v>
      </x:c>
    </x:row>
    <x:row r="212" ht="24" customHeight="1">
      <x:c r="A212" s="2" t="str">
        <x:v>D020_T02_C080_G075</x:v>
      </x:c>
      <x:c r="B212" s="2" t="str">
        <x:v>A0019</x:v>
      </x:c>
      <x:c r="C212" s="2" t="str">
        <x:v>inside</x:v>
      </x:c>
      <x:c r="D212" s="2" t="n">
        <x:v>2</x:v>
      </x:c>
      <x:c r="E212" s="2" t="n">
        <x:v>1</x:v>
      </x:c>
      <x:c r="F212" s="2" t="n">
        <x:v>2</x:v>
      </x:c>
      <x:c r="G212" s="2" t="str">
        <x:v>observed_post_release</x:v>
      </x:c>
      <x:c r="H212" s="2" t="n">
        <x:f>IF(AND(ISNUMBER(F212),F212&gt;=D212),1,0)</x:f>
        <x:v>1</x:v>
      </x:c>
      <x:c r="I212" s="2" t="n">
        <x:f>IF(AND(ISNUMBER(F212),F212&gt;D212),1,0)</x:f>
        <x:v>0</x:v>
      </x:c>
      <x:c r="J212" s="2" t="n">
        <x:f>IF(H212=1,F212-D212,"")</x:f>
        <x:v>0</x:v>
      </x:c>
      <x:c r="K212" s="2" t="n">
        <x:f>IF(H212=1,F212-E212,"")</x:f>
        <x:v>1</x:v>
      </x:c>
      <x:c r="L212" s="2" t="n">
        <x:v>9</x:v>
      </x:c>
      <x:c r="M212" s="2" t="n">
        <x:v>2</x:v>
      </x:c>
      <x:c r="N212" s="20" t="n">
        <x:v>0.2</x:v>
      </x:c>
      <x:c r="O212" s="20" t="n">
        <x:v>0.8</x:v>
      </x:c>
      <x:c r="P212" s="20" t="n">
        <x:v>0.75</x:v>
      </x:c>
      <x:c r="Q212" s="2" t="n">
        <x:v>19</x:v>
      </x:c>
      <x:c r="R212" s="2" t="str">
        <x:v>INTJ</x:v>
      </x:c>
      <x:c r="S212" s="2" t="str">
        <x:v>西南</x:v>
      </x:c>
      <x:c r="T212" s="2" t="str">
        <x:v>行政或办公室岗位</x:v>
      </x:c>
    </x:row>
    <x:row r="213" ht="24" customHeight="1">
      <x:c r="A213" s="2" t="str">
        <x:v>D020_T02_C080_G075</x:v>
      </x:c>
      <x:c r="B213" s="2" t="str">
        <x:v>A0025</x:v>
      </x:c>
      <x:c r="C213" s="2" t="str">
        <x:v>inside</x:v>
      </x:c>
      <x:c r="D213" s="2" t="n">
        <x:v>2</x:v>
      </x:c>
      <x:c r="E213" s="2" t="n">
        <x:v>1</x:v>
      </x:c>
      <x:c r="F213" s="2" t="n">
        <x:v>2</x:v>
      </x:c>
      <x:c r="G213" s="2" t="str">
        <x:v>observed_post_release</x:v>
      </x:c>
      <x:c r="H213" s="2" t="n">
        <x:f>IF(AND(ISNUMBER(F213),F213&gt;=D213),1,0)</x:f>
        <x:v>1</x:v>
      </x:c>
      <x:c r="I213" s="2" t="n">
        <x:f>IF(AND(ISNUMBER(F213),F213&gt;D213),1,0)</x:f>
        <x:v>0</x:v>
      </x:c>
      <x:c r="J213" s="2" t="n">
        <x:f>IF(H213=1,F213-D213,"")</x:f>
        <x:v>0</x:v>
      </x:c>
      <x:c r="K213" s="2" t="n">
        <x:f>IF(H213=1,F213-E213,"")</x:f>
        <x:v>1</x:v>
      </x:c>
      <x:c r="L213" s="2" t="n">
        <x:v>9</x:v>
      </x:c>
      <x:c r="M213" s="2" t="n">
        <x:v>2</x:v>
      </x:c>
      <x:c r="N213" s="20" t="n">
        <x:v>0.2</x:v>
      </x:c>
      <x:c r="O213" s="20" t="n">
        <x:v>0.8</x:v>
      </x:c>
      <x:c r="P213" s="20" t="n">
        <x:v>0.75</x:v>
      </x:c>
      <x:c r="Q213" s="2" t="n">
        <x:v>23</x:v>
      </x:c>
      <x:c r="R213" s="2" t="str">
        <x:v>ISTP</x:v>
      </x:c>
      <x:c r="S213" s="2" t="str">
        <x:v>华南</x:v>
      </x:c>
      <x:c r="T213" s="2" t="str">
        <x:v>行政或办公室岗位</x:v>
      </x:c>
    </x:row>
    <x:row r="214" ht="24" customHeight="1">
      <x:c r="A214" s="2" t="str">
        <x:v>D020_T02_C080_G075</x:v>
      </x:c>
      <x:c r="B214" s="2" t="str">
        <x:v>A0033</x:v>
      </x:c>
      <x:c r="C214" s="2" t="str">
        <x:v>inside</x:v>
      </x:c>
      <x:c r="D214" s="2" t="n">
        <x:v>2</x:v>
      </x:c>
      <x:c r="E214" s="2" t="n">
        <x:v>1</x:v>
      </x:c>
      <x:c r="F214" s="2" t="n">
        <x:v>2</x:v>
      </x:c>
      <x:c r="G214" s="2" t="str">
        <x:v>observed_post_release</x:v>
      </x:c>
      <x:c r="H214" s="2" t="n">
        <x:f>IF(AND(ISNUMBER(F214),F214&gt;=D214),1,0)</x:f>
        <x:v>1</x:v>
      </x:c>
      <x:c r="I214" s="2" t="n">
        <x:f>IF(AND(ISNUMBER(F214),F214&gt;D214),1,0)</x:f>
        <x:v>0</x:v>
      </x:c>
      <x:c r="J214" s="2" t="n">
        <x:f>IF(H214=1,F214-D214,"")</x:f>
        <x:v>0</x:v>
      </x:c>
      <x:c r="K214" s="2" t="n">
        <x:f>IF(H214=1,F214-E214,"")</x:f>
        <x:v>1</x:v>
      </x:c>
      <x:c r="L214" s="2" t="n">
        <x:v>9</x:v>
      </x:c>
      <x:c r="M214" s="2" t="n">
        <x:v>2</x:v>
      </x:c>
      <x:c r="N214" s="20" t="n">
        <x:v>0.2</x:v>
      </x:c>
      <x:c r="O214" s="20" t="n">
        <x:v>0.8</x:v>
      </x:c>
      <x:c r="P214" s="20" t="n">
        <x:v>0.75</x:v>
      </x:c>
      <x:c r="Q214" s="2" t="n">
        <x:v>55</x:v>
      </x:c>
      <x:c r="R214" s="2" t="str">
        <x:v>ENFP</x:v>
      </x:c>
      <x:c r="S214" s="2" t="str">
        <x:v>华南</x:v>
      </x:c>
      <x:c r="T214" s="2" t="str">
        <x:v>个体经营或自由职业</x:v>
      </x:c>
    </x:row>
    <x:row r="215" ht="24" customHeight="1">
      <x:c r="A215" s="2" t="str">
        <x:v>D020_T02_C080_G075</x:v>
      </x:c>
      <x:c r="B215" s="2" t="str">
        <x:v>A0036</x:v>
      </x:c>
      <x:c r="C215" s="2" t="str">
        <x:v>inside</x:v>
      </x:c>
      <x:c r="D215" s="2" t="n">
        <x:v>2</x:v>
      </x:c>
      <x:c r="E215" s="2" t="n">
        <x:v>1</x:v>
      </x:c>
      <x:c r="F215" s="2" t="n">
        <x:v>2</x:v>
      </x:c>
      <x:c r="G215" s="2" t="str">
        <x:v>observed_post_release</x:v>
      </x:c>
      <x:c r="H215" s="2" t="n">
        <x:f>IF(AND(ISNUMBER(F215),F215&gt;=D215),1,0)</x:f>
        <x:v>1</x:v>
      </x:c>
      <x:c r="I215" s="2" t="n">
        <x:f>IF(AND(ISNUMBER(F215),F215&gt;D215),1,0)</x:f>
        <x:v>0</x:v>
      </x:c>
      <x:c r="J215" s="2" t="n">
        <x:f>IF(H215=1,F215-D215,"")</x:f>
        <x:v>0</x:v>
      </x:c>
      <x:c r="K215" s="2" t="n">
        <x:f>IF(H215=1,F215-E215,"")</x:f>
        <x:v>1</x:v>
      </x:c>
      <x:c r="L215" s="2" t="n">
        <x:v>9</x:v>
      </x:c>
      <x:c r="M215" s="2" t="n">
        <x:v>2</x:v>
      </x:c>
      <x:c r="N215" s="20" t="n">
        <x:v>0.2</x:v>
      </x:c>
      <x:c r="O215" s="20" t="n">
        <x:v>0.8</x:v>
      </x:c>
      <x:c r="P215" s="20" t="n">
        <x:v>0.75</x:v>
      </x:c>
      <x:c r="Q215" s="2" t="n">
        <x:v>43</x:v>
      </x:c>
      <x:c r="R215" s="2" t="str">
        <x:v>ISFJ</x:v>
      </x:c>
      <x:c r="S215" s="2" t="str">
        <x:v>华东</x:v>
      </x:c>
      <x:c r="T215" s="2" t="str">
        <x:v>生产运输或体力岗位</x:v>
      </x:c>
    </x:row>
    <x:row r="216" ht="24" customHeight="1">
      <x:c r="A216" s="2" t="str">
        <x:v>D020_T02_C080_G075</x:v>
      </x:c>
      <x:c r="B216" s="2" t="str">
        <x:v>A0041</x:v>
      </x:c>
      <x:c r="C216" s="2" t="str">
        <x:v>inside</x:v>
      </x:c>
      <x:c r="D216" s="2" t="n">
        <x:v>2</x:v>
      </x:c>
      <x:c r="E216" s="2" t="n">
        <x:v>1</x:v>
      </x:c>
      <x:c r="F216" s="2" t="n">
        <x:v>2</x:v>
      </x:c>
      <x:c r="G216" s="2" t="str">
        <x:v>observed_post_release</x:v>
      </x:c>
      <x:c r="H216" s="2" t="n">
        <x:f>IF(AND(ISNUMBER(F216),F216&gt;=D216),1,0)</x:f>
        <x:v>1</x:v>
      </x:c>
      <x:c r="I216" s="2" t="n">
        <x:f>IF(AND(ISNUMBER(F216),F216&gt;D216),1,0)</x:f>
        <x:v>0</x:v>
      </x:c>
      <x:c r="J216" s="2" t="n">
        <x:f>IF(H216=1,F216-D216,"")</x:f>
        <x:v>0</x:v>
      </x:c>
      <x:c r="K216" s="2" t="n">
        <x:f>IF(H216=1,F216-E216,"")</x:f>
        <x:v>1</x:v>
      </x:c>
      <x:c r="L216" s="2" t="n">
        <x:v>9</x:v>
      </x:c>
      <x:c r="M216" s="2" t="n">
        <x:v>2</x:v>
      </x:c>
      <x:c r="N216" s="20" t="n">
        <x:v>0.2</x:v>
      </x:c>
      <x:c r="O216" s="20" t="n">
        <x:v>0.8</x:v>
      </x:c>
      <x:c r="P216" s="20" t="n">
        <x:v>0.75</x:v>
      </x:c>
      <x:c r="Q216" s="2" t="n">
        <x:v>62</x:v>
      </x:c>
      <x:c r="R216" s="2" t="str">
        <x:v>ISFJ</x:v>
      </x:c>
      <x:c r="S216" s="2" t="str">
        <x:v>西北</x:v>
      </x:c>
      <x:c r="T216" s="2" t="str">
        <x:v>个体经营或自由职业</x:v>
      </x:c>
    </x:row>
    <x:row r="217" ht="24" customHeight="1">
      <x:c r="A217" s="2" t="str">
        <x:v>D020_T02_C080_G075</x:v>
      </x:c>
      <x:c r="B217" s="2" t="str">
        <x:v>A0043</x:v>
      </x:c>
      <x:c r="C217" s="2" t="str">
        <x:v>inside</x:v>
      </x:c>
      <x:c r="D217" s="2" t="n">
        <x:v>2</x:v>
      </x:c>
      <x:c r="E217" s="2" t="n">
        <x:v>1</x:v>
      </x:c>
      <x:c r="F217" s="2" t="n">
        <x:v>2</x:v>
      </x:c>
      <x:c r="G217" s="2" t="str">
        <x:v>observed_post_release</x:v>
      </x:c>
      <x:c r="H217" s="2" t="n">
        <x:f>IF(AND(ISNUMBER(F217),F217&gt;=D217),1,0)</x:f>
        <x:v>1</x:v>
      </x:c>
      <x:c r="I217" s="2" t="n">
        <x:f>IF(AND(ISNUMBER(F217),F217&gt;D217),1,0)</x:f>
        <x:v>0</x:v>
      </x:c>
      <x:c r="J217" s="2" t="n">
        <x:f>IF(H217=1,F217-D217,"")</x:f>
        <x:v>0</x:v>
      </x:c>
      <x:c r="K217" s="2" t="n">
        <x:f>IF(H217=1,F217-E217,"")</x:f>
        <x:v>1</x:v>
      </x:c>
      <x:c r="L217" s="2" t="n">
        <x:v>9</x:v>
      </x:c>
      <x:c r="M217" s="2" t="n">
        <x:v>2</x:v>
      </x:c>
      <x:c r="N217" s="20" t="n">
        <x:v>0.2</x:v>
      </x:c>
      <x:c r="O217" s="20" t="n">
        <x:v>0.8</x:v>
      </x:c>
      <x:c r="P217" s="20" t="n">
        <x:v>0.75</x:v>
      </x:c>
      <x:c r="Q217" s="2" t="n">
        <x:v>35</x:v>
      </x:c>
      <x:c r="R217" s="2" t="str">
        <x:v>ESFJ</x:v>
      </x:c>
      <x:c r="S217" s="2" t="str">
        <x:v>西北</x:v>
      </x:c>
      <x:c r="T217" s="2" t="str">
        <x:v>暂未就业或家庭照料</x:v>
      </x:c>
    </x:row>
    <x:row r="218" ht="24" customHeight="1">
      <x:c r="A218" s="2" t="str">
        <x:v>D020_T02_C080_G075</x:v>
      </x:c>
      <x:c r="B218" s="2" t="str">
        <x:v>A0206</x:v>
      </x:c>
      <x:c r="C218" s="2" t="str">
        <x:v>inside</x:v>
      </x:c>
      <x:c r="D218" s="2" t="n">
        <x:v>2</x:v>
      </x:c>
      <x:c r="E218" s="2" t="n">
        <x:v>1</x:v>
      </x:c>
      <x:c r="F218" s="2" t="n">
        <x:v>2</x:v>
      </x:c>
      <x:c r="G218" s="2" t="str">
        <x:v>observed_post_release</x:v>
      </x:c>
      <x:c r="H218" s="2" t="n">
        <x:f>IF(AND(ISNUMBER(F218),F218&gt;=D218),1,0)</x:f>
        <x:v>1</x:v>
      </x:c>
      <x:c r="I218" s="2" t="n">
        <x:f>IF(AND(ISNUMBER(F218),F218&gt;D218),1,0)</x:f>
        <x:v>0</x:v>
      </x:c>
      <x:c r="J218" s="2" t="n">
        <x:f>IF(H218=1,F218-D218,"")</x:f>
        <x:v>0</x:v>
      </x:c>
      <x:c r="K218" s="2" t="n">
        <x:f>IF(H218=1,F218-E218,"")</x:f>
        <x:v>1</x:v>
      </x:c>
      <x:c r="L218" s="2" t="n">
        <x:v>9</x:v>
      </x:c>
      <x:c r="M218" s="2" t="n">
        <x:v>2</x:v>
      </x:c>
      <x:c r="N218" s="20" t="n">
        <x:v>0.2</x:v>
      </x:c>
      <x:c r="O218" s="20" t="n">
        <x:v>0.8</x:v>
      </x:c>
      <x:c r="P218" s="20" t="n">
        <x:v>0.75</x:v>
      </x:c>
      <x:c r="Q218" s="2" t="n">
        <x:v>21</x:v>
      </x:c>
      <x:c r="R218" s="2" t="str">
        <x:v>ESTP</x:v>
      </x:c>
      <x:c r="S218" s="2" t="str">
        <x:v>西北</x:v>
      </x:c>
      <x:c r="T218" s="2" t="str">
        <x:v>暂未就业或家庭照料</x:v>
      </x:c>
    </x:row>
    <x:row r="219" ht="24" customHeight="1">
      <x:c r="A219" s="2" t="str">
        <x:v>D020_T04_C020_G025</x:v>
      </x:c>
      <x:c r="B219" s="2" t="str">
        <x:v>A0005</x:v>
      </x:c>
      <x:c r="C219" s="2" t="str">
        <x:v>inside</x:v>
      </x:c>
      <x:c r="D219" s="2" t="n">
        <x:v>4</x:v>
      </x:c>
      <x:c r="E219" s="2" t="n">
        <x:v>1</x:v>
      </x:c>
      <x:c r="F219" s="2"/>
      <x:c r="G219" s="2" t="str">
        <x:v>right_censored</x:v>
      </x:c>
      <x:c r="H219" s="2" t="n">
        <x:f>IF(AND(ISNUMBER(F219),F219&gt;=D219),1,0)</x:f>
        <x:v>0</x:v>
      </x:c>
      <x:c r="I219" s="2" t="n">
        <x:f>IF(AND(ISNUMBER(F219),F219&gt;D219),1,0)</x:f>
        <x:v>0</x:v>
      </x:c>
      <x:c r="J219" s="2" t="str">
        <x:f>IF(H219=1,F219-D219,"")</x:f>
      </x:c>
      <x:c r="K219" s="2" t="str">
        <x:f>IF(H219=1,F219-E219,"")</x:f>
      </x:c>
      <x:c r="L219" s="2" t="n">
        <x:v>9</x:v>
      </x:c>
      <x:c r="M219" s="2"/>
      <x:c r="N219" s="20" t="n">
        <x:v>0.2</x:v>
      </x:c>
      <x:c r="O219" s="20" t="n">
        <x:v>0.2</x:v>
      </x:c>
      <x:c r="P219" s="20" t="n">
        <x:v>0.25</x:v>
      </x:c>
      <x:c r="Q219" s="2" t="n">
        <x:v>51</x:v>
      </x:c>
      <x:c r="R219" s="2" t="str">
        <x:v>ISTP</x:v>
      </x:c>
      <x:c r="S219" s="2" t="str">
        <x:v>华南</x:v>
      </x:c>
      <x:c r="T219" s="2" t="str">
        <x:v>生产运输或体力岗位</x:v>
      </x:c>
    </x:row>
    <x:row r="220" ht="24" customHeight="1">
      <x:c r="A220" s="2" t="str">
        <x:v>D020_T04_C020_G025</x:v>
      </x:c>
      <x:c r="B220" s="2" t="str">
        <x:v>A0011</x:v>
      </x:c>
      <x:c r="C220" s="2" t="str">
        <x:v>inside</x:v>
      </x:c>
      <x:c r="D220" s="2" t="n">
        <x:v>4</x:v>
      </x:c>
      <x:c r="E220" s="2" t="n">
        <x:v>1</x:v>
      </x:c>
      <x:c r="F220" s="2" t="n">
        <x:v>7</x:v>
      </x:c>
      <x:c r="G220" s="2" t="str">
        <x:v>observed_post_release</x:v>
      </x:c>
      <x:c r="H220" s="2" t="n">
        <x:f>IF(AND(ISNUMBER(F220),F220&gt;=D220),1,0)</x:f>
        <x:v>1</x:v>
      </x:c>
      <x:c r="I220" s="2" t="n">
        <x:f>IF(AND(ISNUMBER(F220),F220&gt;D220),1,0)</x:f>
        <x:v>1</x:v>
      </x:c>
      <x:c r="J220" s="2" t="n">
        <x:f>IF(H220=1,F220-D220,"")</x:f>
        <x:v>3</x:v>
      </x:c>
      <x:c r="K220" s="2" t="n">
        <x:f>IF(H220=1,F220-E220,"")</x:f>
        <x:v>6</x:v>
      </x:c>
      <x:c r="L220" s="2" t="n">
        <x:v>9</x:v>
      </x:c>
      <x:c r="M220" s="2" t="n">
        <x:v>4</x:v>
      </x:c>
      <x:c r="N220" s="20" t="n">
        <x:v>0.2</x:v>
      </x:c>
      <x:c r="O220" s="20" t="n">
        <x:v>0.2</x:v>
      </x:c>
      <x:c r="P220" s="20" t="n">
        <x:v>0.25</x:v>
      </x:c>
      <x:c r="Q220" s="2" t="n">
        <x:v>42</x:v>
      </x:c>
      <x:c r="R220" s="2" t="str">
        <x:v>ENFJ</x:v>
      </x:c>
      <x:c r="S220" s="2" t="str">
        <x:v>西南</x:v>
      </x:c>
      <x:c r="T220" s="2" t="str">
        <x:v>行政或办公室岗位</x:v>
      </x:c>
    </x:row>
    <x:row r="221" ht="24" customHeight="1">
      <x:c r="A221" s="2" t="str">
        <x:v>D020_T04_C020_G025</x:v>
      </x:c>
      <x:c r="B221" s="2" t="str">
        <x:v>A0012</x:v>
      </x:c>
      <x:c r="C221" s="2" t="str">
        <x:v>inside</x:v>
      </x:c>
      <x:c r="D221" s="2" t="n">
        <x:v>4</x:v>
      </x:c>
      <x:c r="E221" s="2" t="n">
        <x:v>1</x:v>
      </x:c>
      <x:c r="F221" s="2"/>
      <x:c r="G221" s="2" t="str">
        <x:v>right_censored</x:v>
      </x:c>
      <x:c r="H221" s="2" t="n">
        <x:f>IF(AND(ISNUMBER(F221),F221&gt;=D221),1,0)</x:f>
        <x:v>0</x:v>
      </x:c>
      <x:c r="I221" s="2" t="n">
        <x:f>IF(AND(ISNUMBER(F221),F221&gt;D221),1,0)</x:f>
        <x:v>0</x:v>
      </x:c>
      <x:c r="J221" s="2" t="str">
        <x:f>IF(H221=1,F221-D221,"")</x:f>
      </x:c>
      <x:c r="K221" s="2" t="str">
        <x:f>IF(H221=1,F221-E221,"")</x:f>
      </x:c>
      <x:c r="L221" s="2" t="n">
        <x:v>9</x:v>
      </x:c>
      <x:c r="M221" s="2"/>
      <x:c r="N221" s="20" t="n">
        <x:v>0.2</x:v>
      </x:c>
      <x:c r="O221" s="20" t="n">
        <x:v>0.2</x:v>
      </x:c>
      <x:c r="P221" s="20" t="n">
        <x:v>0.25</x:v>
      </x:c>
      <x:c r="Q221" s="2" t="n">
        <x:v>38</x:v>
      </x:c>
      <x:c r="R221" s="2" t="str">
        <x:v>ESFP</x:v>
      </x:c>
      <x:c r="S221" s="2" t="str">
        <x:v>华中</x:v>
      </x:c>
      <x:c r="T221" s="2" t="str">
        <x:v>行政或办公室岗位</x:v>
      </x:c>
    </x:row>
    <x:row r="222" ht="24" customHeight="1">
      <x:c r="A222" s="2" t="str">
        <x:v>D020_T04_C020_G025</x:v>
      </x:c>
      <x:c r="B222" s="2" t="str">
        <x:v>A0014</x:v>
      </x:c>
      <x:c r="C222" s="2" t="str">
        <x:v>inside</x:v>
      </x:c>
      <x:c r="D222" s="2" t="n">
        <x:v>4</x:v>
      </x:c>
      <x:c r="E222" s="2" t="n">
        <x:v>1</x:v>
      </x:c>
      <x:c r="F222" s="2" t="n">
        <x:v>4</x:v>
      </x:c>
      <x:c r="G222" s="2" t="str">
        <x:v>observed_post_release</x:v>
      </x:c>
      <x:c r="H222" s="2" t="n">
        <x:f>IF(AND(ISNUMBER(F222),F222&gt;=D222),1,0)</x:f>
        <x:v>1</x:v>
      </x:c>
      <x:c r="I222" s="2" t="n">
        <x:f>IF(AND(ISNUMBER(F222),F222&gt;D222),1,0)</x:f>
        <x:v>0</x:v>
      </x:c>
      <x:c r="J222" s="2" t="n">
        <x:f>IF(H222=1,F222-D222,"")</x:f>
        <x:v>0</x:v>
      </x:c>
      <x:c r="K222" s="2" t="n">
        <x:f>IF(H222=1,F222-E222,"")</x:f>
        <x:v>3</x:v>
      </x:c>
      <x:c r="L222" s="2" t="n">
        <x:v>9</x:v>
      </x:c>
      <x:c r="M222" s="2" t="n">
        <x:v>4</x:v>
      </x:c>
      <x:c r="N222" s="20" t="n">
        <x:v>0.2</x:v>
      </x:c>
      <x:c r="O222" s="20" t="n">
        <x:v>0.2</x:v>
      </x:c>
      <x:c r="P222" s="20" t="n">
        <x:v>0.25</x:v>
      </x:c>
      <x:c r="Q222" s="2" t="n">
        <x:v>52</x:v>
      </x:c>
      <x:c r="R222" s="2" t="str">
        <x:v>INFJ</x:v>
      </x:c>
      <x:c r="S222" s="2" t="str">
        <x:v>华东</x:v>
      </x:c>
      <x:c r="T222" s="2" t="str">
        <x:v>生产运输或体力岗位</x:v>
      </x:c>
    </x:row>
    <x:row r="223" ht="24" customHeight="1">
      <x:c r="A223" s="2" t="str">
        <x:v>D020_T04_C020_G025</x:v>
      </x:c>
      <x:c r="B223" s="2" t="str">
        <x:v>A0017</x:v>
      </x:c>
      <x:c r="C223" s="2" t="str">
        <x:v>inside</x:v>
      </x:c>
      <x:c r="D223" s="2" t="n">
        <x:v>4</x:v>
      </x:c>
      <x:c r="E223" s="2" t="n">
        <x:v>1</x:v>
      </x:c>
      <x:c r="F223" s="2"/>
      <x:c r="G223" s="2" t="str">
        <x:v>right_censored</x:v>
      </x:c>
      <x:c r="H223" s="2" t="n">
        <x:f>IF(AND(ISNUMBER(F223),F223&gt;=D223),1,0)</x:f>
        <x:v>0</x:v>
      </x:c>
      <x:c r="I223" s="2" t="n">
        <x:f>IF(AND(ISNUMBER(F223),F223&gt;D223),1,0)</x:f>
        <x:v>0</x:v>
      </x:c>
      <x:c r="J223" s="2" t="str">
        <x:f>IF(H223=1,F223-D223,"")</x:f>
      </x:c>
      <x:c r="K223" s="2" t="str">
        <x:f>IF(H223=1,F223-E223,"")</x:f>
      </x:c>
      <x:c r="L223" s="2" t="n">
        <x:v>9</x:v>
      </x:c>
      <x:c r="M223" s="2"/>
      <x:c r="N223" s="20" t="n">
        <x:v>0.2</x:v>
      </x:c>
      <x:c r="O223" s="20" t="n">
        <x:v>0.2</x:v>
      </x:c>
      <x:c r="P223" s="20" t="n">
        <x:v>0.25</x:v>
      </x:c>
      <x:c r="Q223" s="2" t="n">
        <x:v>30</x:v>
      </x:c>
      <x:c r="R223" s="2" t="str">
        <x:v>ISTJ</x:v>
      </x:c>
      <x:c r="S223" s="2" t="str">
        <x:v>华东</x:v>
      </x:c>
      <x:c r="T223" s="2" t="str">
        <x:v>商业服务岗位</x:v>
      </x:c>
    </x:row>
    <x:row r="224" ht="24" customHeight="1">
      <x:c r="A224" s="2" t="str">
        <x:v>D020_T04_C020_G025</x:v>
      </x:c>
      <x:c r="B224" s="2" t="str">
        <x:v>A0018</x:v>
      </x:c>
      <x:c r="C224" s="2" t="str">
        <x:v>inside</x:v>
      </x:c>
      <x:c r="D224" s="2" t="n">
        <x:v>4</x:v>
      </x:c>
      <x:c r="E224" s="2" t="n">
        <x:v>1</x:v>
      </x:c>
      <x:c r="F224" s="2"/>
      <x:c r="G224" s="2" t="str">
        <x:v>right_censored</x:v>
      </x:c>
      <x:c r="H224" s="2" t="n">
        <x:f>IF(AND(ISNUMBER(F224),F224&gt;=D224),1,0)</x:f>
        <x:v>0</x:v>
      </x:c>
      <x:c r="I224" s="2" t="n">
        <x:f>IF(AND(ISNUMBER(F224),F224&gt;D224),1,0)</x:f>
        <x:v>0</x:v>
      </x:c>
      <x:c r="J224" s="2" t="str">
        <x:f>IF(H224=1,F224-D224,"")</x:f>
      </x:c>
      <x:c r="K224" s="2" t="str">
        <x:f>IF(H224=1,F224-E224,"")</x:f>
      </x:c>
      <x:c r="L224" s="2" t="n">
        <x:v>9</x:v>
      </x:c>
      <x:c r="M224" s="2"/>
      <x:c r="N224" s="20" t="n">
        <x:v>0.2</x:v>
      </x:c>
      <x:c r="O224" s="20" t="n">
        <x:v>0.2</x:v>
      </x:c>
      <x:c r="P224" s="20" t="n">
        <x:v>0.25</x:v>
      </x:c>
      <x:c r="Q224" s="2" t="n">
        <x:v>60</x:v>
      </x:c>
      <x:c r="R224" s="2" t="str">
        <x:v>INTJ</x:v>
      </x:c>
      <x:c r="S224" s="2" t="str">
        <x:v>华南</x:v>
      </x:c>
      <x:c r="T224" s="2" t="str">
        <x:v>专业技术岗位</x:v>
      </x:c>
    </x:row>
    <x:row r="225" ht="24" customHeight="1">
      <x:c r="A225" s="2" t="str">
        <x:v>D020_T04_C020_G025</x:v>
      </x:c>
      <x:c r="B225" s="2" t="str">
        <x:v>A0020</x:v>
      </x:c>
      <x:c r="C225" s="2" t="str">
        <x:v>inside</x:v>
      </x:c>
      <x:c r="D225" s="2" t="n">
        <x:v>4</x:v>
      </x:c>
      <x:c r="E225" s="2" t="n">
        <x:v>1</x:v>
      </x:c>
      <x:c r="F225" s="2" t="n">
        <x:v>6</x:v>
      </x:c>
      <x:c r="G225" s="2" t="str">
        <x:v>observed_post_release</x:v>
      </x:c>
      <x:c r="H225" s="2" t="n">
        <x:f>IF(AND(ISNUMBER(F225),F225&gt;=D225),1,0)</x:f>
        <x:v>1</x:v>
      </x:c>
      <x:c r="I225" s="2" t="n">
        <x:f>IF(AND(ISNUMBER(F225),F225&gt;D225),1,0)</x:f>
        <x:v>1</x:v>
      </x:c>
      <x:c r="J225" s="2" t="n">
        <x:f>IF(H225=1,F225-D225,"")</x:f>
        <x:v>2</x:v>
      </x:c>
      <x:c r="K225" s="2" t="n">
        <x:f>IF(H225=1,F225-E225,"")</x:f>
        <x:v>5</x:v>
      </x:c>
      <x:c r="L225" s="2" t="n">
        <x:v>9</x:v>
      </x:c>
      <x:c r="M225" s="2" t="n">
        <x:v>4</x:v>
      </x:c>
      <x:c r="N225" s="20" t="n">
        <x:v>0.2</x:v>
      </x:c>
      <x:c r="O225" s="20" t="n">
        <x:v>0.2</x:v>
      </x:c>
      <x:c r="P225" s="20" t="n">
        <x:v>0.25</x:v>
      </x:c>
      <x:c r="Q225" s="2" t="n">
        <x:v>42</x:v>
      </x:c>
      <x:c r="R225" s="2" t="str">
        <x:v>ENTJ</x:v>
      </x:c>
      <x:c r="S225" s="2" t="str">
        <x:v>西南</x:v>
      </x:c>
      <x:c r="T225" s="2" t="str">
        <x:v>行政或办公室岗位</x:v>
      </x:c>
    </x:row>
    <x:row r="226" ht="24" customHeight="1">
      <x:c r="A226" s="2" t="str">
        <x:v>D020_T04_C020_G025</x:v>
      </x:c>
      <x:c r="B226" s="2" t="str">
        <x:v>A0024</x:v>
      </x:c>
      <x:c r="C226" s="2" t="str">
        <x:v>inside</x:v>
      </x:c>
      <x:c r="D226" s="2" t="n">
        <x:v>4</x:v>
      </x:c>
      <x:c r="E226" s="2" t="n">
        <x:v>1</x:v>
      </x:c>
      <x:c r="F226" s="2"/>
      <x:c r="G226" s="2" t="str">
        <x:v>right_censored</x:v>
      </x:c>
      <x:c r="H226" s="2" t="n">
        <x:f>IF(AND(ISNUMBER(F226),F226&gt;=D226),1,0)</x:f>
        <x:v>0</x:v>
      </x:c>
      <x:c r="I226" s="2" t="n">
        <x:f>IF(AND(ISNUMBER(F226),F226&gt;D226),1,0)</x:f>
        <x:v>0</x:v>
      </x:c>
      <x:c r="J226" s="2" t="str">
        <x:f>IF(H226=1,F226-D226,"")</x:f>
      </x:c>
      <x:c r="K226" s="2" t="str">
        <x:f>IF(H226=1,F226-E226,"")</x:f>
      </x:c>
      <x:c r="L226" s="2" t="n">
        <x:v>9</x:v>
      </x:c>
      <x:c r="M226" s="2" t="n">
        <x:v>8</x:v>
      </x:c>
      <x:c r="N226" s="20" t="n">
        <x:v>0.2</x:v>
      </x:c>
      <x:c r="O226" s="20" t="n">
        <x:v>0.2</x:v>
      </x:c>
      <x:c r="P226" s="20" t="n">
        <x:v>0.25</x:v>
      </x:c>
      <x:c r="Q226" s="2" t="n">
        <x:v>31</x:v>
      </x:c>
      <x:c r="R226" s="2" t="str">
        <x:v>ESTP</x:v>
      </x:c>
      <x:c r="S226" s="2" t="str">
        <x:v>华北</x:v>
      </x:c>
      <x:c r="T226" s="2" t="str">
        <x:v>商业服务岗位</x:v>
      </x:c>
    </x:row>
    <x:row r="227" ht="24" customHeight="1">
      <x:c r="A227" s="2" t="str">
        <x:v>D020_T04_C020_G025</x:v>
      </x:c>
      <x:c r="B227" s="2" t="str">
        <x:v>A0025</x:v>
      </x:c>
      <x:c r="C227" s="2" t="str">
        <x:v>inside</x:v>
      </x:c>
      <x:c r="D227" s="2" t="n">
        <x:v>4</x:v>
      </x:c>
      <x:c r="E227" s="2" t="n">
        <x:v>1</x:v>
      </x:c>
      <x:c r="F227" s="2"/>
      <x:c r="G227" s="2" t="str">
        <x:v>right_censored</x:v>
      </x:c>
      <x:c r="H227" s="2" t="n">
        <x:f>IF(AND(ISNUMBER(F227),F227&gt;=D227),1,0)</x:f>
        <x:v>0</x:v>
      </x:c>
      <x:c r="I227" s="2" t="n">
        <x:f>IF(AND(ISNUMBER(F227),F227&gt;D227),1,0)</x:f>
        <x:v>0</x:v>
      </x:c>
      <x:c r="J227" s="2" t="str">
        <x:f>IF(H227=1,F227-D227,"")</x:f>
      </x:c>
      <x:c r="K227" s="2" t="str">
        <x:f>IF(H227=1,F227-E227,"")</x:f>
      </x:c>
      <x:c r="L227" s="2" t="n">
        <x:v>9</x:v>
      </x:c>
      <x:c r="M227" s="2" t="n">
        <x:v>4</x:v>
      </x:c>
      <x:c r="N227" s="20" t="n">
        <x:v>0.2</x:v>
      </x:c>
      <x:c r="O227" s="20" t="n">
        <x:v>0.2</x:v>
      </x:c>
      <x:c r="P227" s="20" t="n">
        <x:v>0.25</x:v>
      </x:c>
      <x:c r="Q227" s="2" t="n">
        <x:v>23</x:v>
      </x:c>
      <x:c r="R227" s="2" t="str">
        <x:v>ISTP</x:v>
      </x:c>
      <x:c r="S227" s="2" t="str">
        <x:v>华南</x:v>
      </x:c>
      <x:c r="T227" s="2" t="str">
        <x:v>行政或办公室岗位</x:v>
      </x:c>
    </x:row>
    <x:row r="228" ht="24" customHeight="1">
      <x:c r="A228" s="2" t="str">
        <x:v>D020_T04_C020_G025</x:v>
      </x:c>
      <x:c r="B228" s="2" t="str">
        <x:v>A0030</x:v>
      </x:c>
      <x:c r="C228" s="2" t="str">
        <x:v>inside</x:v>
      </x:c>
      <x:c r="D228" s="2" t="n">
        <x:v>4</x:v>
      </x:c>
      <x:c r="E228" s="2" t="n">
        <x:v>1</x:v>
      </x:c>
      <x:c r="F228" s="2" t="n">
        <x:v>7</x:v>
      </x:c>
      <x:c r="G228" s="2" t="str">
        <x:v>observed_post_release</x:v>
      </x:c>
      <x:c r="H228" s="2" t="n">
        <x:f>IF(AND(ISNUMBER(F228),F228&gt;=D228),1,0)</x:f>
        <x:v>1</x:v>
      </x:c>
      <x:c r="I228" s="2" t="n">
        <x:f>IF(AND(ISNUMBER(F228),F228&gt;D228),1,0)</x:f>
        <x:v>1</x:v>
      </x:c>
      <x:c r="J228" s="2" t="n">
        <x:f>IF(H228=1,F228-D228,"")</x:f>
        <x:v>3</x:v>
      </x:c>
      <x:c r="K228" s="2" t="n">
        <x:f>IF(H228=1,F228-E228,"")</x:f>
        <x:v>6</x:v>
      </x:c>
      <x:c r="L228" s="2" t="n">
        <x:v>9</x:v>
      </x:c>
      <x:c r="M228" s="2" t="n">
        <x:v>6</x:v>
      </x:c>
      <x:c r="N228" s="20" t="n">
        <x:v>0.2</x:v>
      </x:c>
      <x:c r="O228" s="20" t="n">
        <x:v>0.2</x:v>
      </x:c>
      <x:c r="P228" s="20" t="n">
        <x:v>0.25</x:v>
      </x:c>
      <x:c r="Q228" s="2" t="n">
        <x:v>23</x:v>
      </x:c>
      <x:c r="R228" s="2" t="str">
        <x:v>ISFP</x:v>
      </x:c>
      <x:c r="S228" s="2" t="str">
        <x:v>华东</x:v>
      </x:c>
      <x:c r="T228" s="2" t="str">
        <x:v>在校学生</x:v>
      </x:c>
    </x:row>
    <x:row r="229" ht="24" customHeight="1">
      <x:c r="A229" s="2" t="str">
        <x:v>D020_T04_C020_G025</x:v>
      </x:c>
      <x:c r="B229" s="2" t="str">
        <x:v>A0032</x:v>
      </x:c>
      <x:c r="C229" s="2" t="str">
        <x:v>inside</x:v>
      </x:c>
      <x:c r="D229" s="2" t="n">
        <x:v>4</x:v>
      </x:c>
      <x:c r="E229" s="2" t="n">
        <x:v>1</x:v>
      </x:c>
      <x:c r="F229" s="2"/>
      <x:c r="G229" s="2" t="str">
        <x:v>right_censored</x:v>
      </x:c>
      <x:c r="H229" s="2" t="n">
        <x:f>IF(AND(ISNUMBER(F229),F229&gt;=D229),1,0)</x:f>
        <x:v>0</x:v>
      </x:c>
      <x:c r="I229" s="2" t="n">
        <x:f>IF(AND(ISNUMBER(F229),F229&gt;D229),1,0)</x:f>
        <x:v>0</x:v>
      </x:c>
      <x:c r="J229" s="2" t="str">
        <x:f>IF(H229=1,F229-D229,"")</x:f>
      </x:c>
      <x:c r="K229" s="2" t="str">
        <x:f>IF(H229=1,F229-E229,"")</x:f>
      </x:c>
      <x:c r="L229" s="2" t="n">
        <x:v>9</x:v>
      </x:c>
      <x:c r="M229" s="2" t="n">
        <x:v>4</x:v>
      </x:c>
      <x:c r="N229" s="20" t="n">
        <x:v>0.2</x:v>
      </x:c>
      <x:c r="O229" s="20" t="n">
        <x:v>0.2</x:v>
      </x:c>
      <x:c r="P229" s="20" t="n">
        <x:v>0.25</x:v>
      </x:c>
      <x:c r="Q229" s="2" t="n">
        <x:v>53</x:v>
      </x:c>
      <x:c r="R229" s="2" t="str">
        <x:v>INTP</x:v>
      </x:c>
      <x:c r="S229" s="2" t="str">
        <x:v>华北</x:v>
      </x:c>
      <x:c r="T229" s="2" t="str">
        <x:v>个体经营或自由职业</x:v>
      </x:c>
    </x:row>
    <x:row r="230" ht="24" customHeight="1">
      <x:c r="A230" s="2" t="str">
        <x:v>D020_T04_C020_G025</x:v>
      </x:c>
      <x:c r="B230" s="2" t="str">
        <x:v>A0033</x:v>
      </x:c>
      <x:c r="C230" s="2" t="str">
        <x:v>inside</x:v>
      </x:c>
      <x:c r="D230" s="2" t="n">
        <x:v>4</x:v>
      </x:c>
      <x:c r="E230" s="2" t="n">
        <x:v>1</x:v>
      </x:c>
      <x:c r="F230" s="2" t="n">
        <x:v>6</x:v>
      </x:c>
      <x:c r="G230" s="2" t="str">
        <x:v>observed_post_release</x:v>
      </x:c>
      <x:c r="H230" s="2" t="n">
        <x:f>IF(AND(ISNUMBER(F230),F230&gt;=D230),1,0)</x:f>
        <x:v>1</x:v>
      </x:c>
      <x:c r="I230" s="2" t="n">
        <x:f>IF(AND(ISNUMBER(F230),F230&gt;D230),1,0)</x:f>
        <x:v>1</x:v>
      </x:c>
      <x:c r="J230" s="2" t="n">
        <x:f>IF(H230=1,F230-D230,"")</x:f>
        <x:v>2</x:v>
      </x:c>
      <x:c r="K230" s="2" t="n">
        <x:f>IF(H230=1,F230-E230,"")</x:f>
        <x:v>5</x:v>
      </x:c>
      <x:c r="L230" s="2" t="n">
        <x:v>9</x:v>
      </x:c>
      <x:c r="M230" s="2" t="n">
        <x:v>5</x:v>
      </x:c>
      <x:c r="N230" s="20" t="n">
        <x:v>0.2</x:v>
      </x:c>
      <x:c r="O230" s="20" t="n">
        <x:v>0.2</x:v>
      </x:c>
      <x:c r="P230" s="20" t="n">
        <x:v>0.25</x:v>
      </x:c>
      <x:c r="Q230" s="2" t="n">
        <x:v>55</x:v>
      </x:c>
      <x:c r="R230" s="2" t="str">
        <x:v>ENFP</x:v>
      </x:c>
      <x:c r="S230" s="2" t="str">
        <x:v>华南</x:v>
      </x:c>
      <x:c r="T230" s="2" t="str">
        <x:v>个体经营或自由职业</x:v>
      </x:c>
    </x:row>
    <x:row r="231" ht="24" customHeight="1">
      <x:c r="A231" s="2" t="str">
        <x:v>D020_T04_C020_G025</x:v>
      </x:c>
      <x:c r="B231" s="2" t="str">
        <x:v>A0036</x:v>
      </x:c>
      <x:c r="C231" s="2" t="str">
        <x:v>inside</x:v>
      </x:c>
      <x:c r="D231" s="2" t="n">
        <x:v>4</x:v>
      </x:c>
      <x:c r="E231" s="2" t="n">
        <x:v>1</x:v>
      </x:c>
      <x:c r="F231" s="2"/>
      <x:c r="G231" s="2" t="str">
        <x:v>right_censored</x:v>
      </x:c>
      <x:c r="H231" s="2" t="n">
        <x:f>IF(AND(ISNUMBER(F231),F231&gt;=D231),1,0)</x:f>
        <x:v>0</x:v>
      </x:c>
      <x:c r="I231" s="2" t="n">
        <x:f>IF(AND(ISNUMBER(F231),F231&gt;D231),1,0)</x:f>
        <x:v>0</x:v>
      </x:c>
      <x:c r="J231" s="2" t="str">
        <x:f>IF(H231=1,F231-D231,"")</x:f>
      </x:c>
      <x:c r="K231" s="2" t="str">
        <x:f>IF(H231=1,F231-E231,"")</x:f>
      </x:c>
      <x:c r="L231" s="2" t="n">
        <x:v>9</x:v>
      </x:c>
      <x:c r="M231" s="2"/>
      <x:c r="N231" s="20" t="n">
        <x:v>0.2</x:v>
      </x:c>
      <x:c r="O231" s="20" t="n">
        <x:v>0.2</x:v>
      </x:c>
      <x:c r="P231" s="20" t="n">
        <x:v>0.25</x:v>
      </x:c>
      <x:c r="Q231" s="2" t="n">
        <x:v>43</x:v>
      </x:c>
      <x:c r="R231" s="2" t="str">
        <x:v>ISFJ</x:v>
      </x:c>
      <x:c r="S231" s="2" t="str">
        <x:v>华东</x:v>
      </x:c>
      <x:c r="T231" s="2" t="str">
        <x:v>生产运输或体力岗位</x:v>
      </x:c>
    </x:row>
    <x:row r="232" ht="24" customHeight="1">
      <x:c r="A232" s="2" t="str">
        <x:v>D020_T04_C020_G025</x:v>
      </x:c>
      <x:c r="B232" s="2" t="str">
        <x:v>A0040</x:v>
      </x:c>
      <x:c r="C232" s="2" t="str">
        <x:v>inside</x:v>
      </x:c>
      <x:c r="D232" s="2" t="n">
        <x:v>4</x:v>
      </x:c>
      <x:c r="E232" s="2" t="n">
        <x:v>1</x:v>
      </x:c>
      <x:c r="F232" s="2"/>
      <x:c r="G232" s="2" t="str">
        <x:v>right_censored</x:v>
      </x:c>
      <x:c r="H232" s="2" t="n">
        <x:f>IF(AND(ISNUMBER(F232),F232&gt;=D232),1,0)</x:f>
        <x:v>0</x:v>
      </x:c>
      <x:c r="I232" s="2" t="n">
        <x:f>IF(AND(ISNUMBER(F232),F232&gt;D232),1,0)</x:f>
        <x:v>0</x:v>
      </x:c>
      <x:c r="J232" s="2" t="str">
        <x:f>IF(H232=1,F232-D232,"")</x:f>
      </x:c>
      <x:c r="K232" s="2" t="str">
        <x:f>IF(H232=1,F232-E232,"")</x:f>
      </x:c>
      <x:c r="L232" s="2" t="n">
        <x:v>9</x:v>
      </x:c>
      <x:c r="M232" s="2" t="n">
        <x:v>8</x:v>
      </x:c>
      <x:c r="N232" s="20" t="n">
        <x:v>0.2</x:v>
      </x:c>
      <x:c r="O232" s="20" t="n">
        <x:v>0.2</x:v>
      </x:c>
      <x:c r="P232" s="20" t="n">
        <x:v>0.25</x:v>
      </x:c>
      <x:c r="Q232" s="2" t="n">
        <x:v>48</x:v>
      </x:c>
      <x:c r="R232" s="2" t="str">
        <x:v>INFP</x:v>
      </x:c>
      <x:c r="S232" s="2" t="str">
        <x:v>西北</x:v>
      </x:c>
      <x:c r="T232" s="2" t="str">
        <x:v>个体经营或自由职业</x:v>
      </x:c>
    </x:row>
    <x:row r="233" ht="24" customHeight="1">
      <x:c r="A233" s="2" t="str">
        <x:v>D020_T04_C020_G025</x:v>
      </x:c>
      <x:c r="B233" s="2" t="str">
        <x:v>A0189</x:v>
      </x:c>
      <x:c r="C233" s="2" t="str">
        <x:v>inside</x:v>
      </x:c>
      <x:c r="D233" s="2" t="n">
        <x:v>4</x:v>
      </x:c>
      <x:c r="E233" s="2" t="n">
        <x:v>1</x:v>
      </x:c>
      <x:c r="F233" s="2"/>
      <x:c r="G233" s="2" t="str">
        <x:v>right_censored</x:v>
      </x:c>
      <x:c r="H233" s="2" t="n">
        <x:f>IF(AND(ISNUMBER(F233),F233&gt;=D233),1,0)</x:f>
        <x:v>0</x:v>
      </x:c>
      <x:c r="I233" s="2" t="n">
        <x:f>IF(AND(ISNUMBER(F233),F233&gt;D233),1,0)</x:f>
        <x:v>0</x:v>
      </x:c>
      <x:c r="J233" s="2" t="str">
        <x:f>IF(H233=1,F233-D233,"")</x:f>
      </x:c>
      <x:c r="K233" s="2" t="str">
        <x:f>IF(H233=1,F233-E233,"")</x:f>
      </x:c>
      <x:c r="L233" s="2" t="n">
        <x:v>9</x:v>
      </x:c>
      <x:c r="M233" s="2"/>
      <x:c r="N233" s="20" t="n">
        <x:v>0.2</x:v>
      </x:c>
      <x:c r="O233" s="20" t="n">
        <x:v>0.2</x:v>
      </x:c>
      <x:c r="P233" s="20" t="n">
        <x:v>0.25</x:v>
      </x:c>
      <x:c r="Q233" s="2" t="n">
        <x:v>45</x:v>
      </x:c>
      <x:c r="R233" s="2" t="str">
        <x:v>ISFJ</x:v>
      </x:c>
      <x:c r="S233" s="2" t="str">
        <x:v>西北</x:v>
      </x:c>
      <x:c r="T233" s="2" t="str">
        <x:v>生产运输或体力岗位</x:v>
      </x:c>
    </x:row>
    <x:row r="234" ht="24" customHeight="1">
      <x:c r="A234" s="2" t="str">
        <x:v>D020_T04_C020_G025</x:v>
      </x:c>
      <x:c r="B234" s="2" t="str">
        <x:v>A0206</x:v>
      </x:c>
      <x:c r="C234" s="2" t="str">
        <x:v>inside</x:v>
      </x:c>
      <x:c r="D234" s="2" t="n">
        <x:v>4</x:v>
      </x:c>
      <x:c r="E234" s="2" t="n">
        <x:v>1</x:v>
      </x:c>
      <x:c r="F234" s="2" t="n">
        <x:v>4</x:v>
      </x:c>
      <x:c r="G234" s="2" t="str">
        <x:v>observed_post_release</x:v>
      </x:c>
      <x:c r="H234" s="2" t="n">
        <x:f>IF(AND(ISNUMBER(F234),F234&gt;=D234),1,0)</x:f>
        <x:v>1</x:v>
      </x:c>
      <x:c r="I234" s="2" t="n">
        <x:f>IF(AND(ISNUMBER(F234),F234&gt;D234),1,0)</x:f>
        <x:v>0</x:v>
      </x:c>
      <x:c r="J234" s="2" t="n">
        <x:f>IF(H234=1,F234-D234,"")</x:f>
        <x:v>0</x:v>
      </x:c>
      <x:c r="K234" s="2" t="n">
        <x:f>IF(H234=1,F234-E234,"")</x:f>
        <x:v>3</x:v>
      </x:c>
      <x:c r="L234" s="2" t="n">
        <x:v>9</x:v>
      </x:c>
      <x:c r="M234" s="2" t="n">
        <x:v>4</x:v>
      </x:c>
      <x:c r="N234" s="20" t="n">
        <x:v>0.2</x:v>
      </x:c>
      <x:c r="O234" s="20" t="n">
        <x:v>0.2</x:v>
      </x:c>
      <x:c r="P234" s="20" t="n">
        <x:v>0.25</x:v>
      </x:c>
      <x:c r="Q234" s="2" t="n">
        <x:v>21</x:v>
      </x:c>
      <x:c r="R234" s="2" t="str">
        <x:v>ESTP</x:v>
      </x:c>
      <x:c r="S234" s="2" t="str">
        <x:v>西北</x:v>
      </x:c>
      <x:c r="T234" s="2" t="str">
        <x:v>暂未就业或家庭照料</x:v>
      </x:c>
    </x:row>
    <x:row r="235" ht="24" customHeight="1">
      <x:c r="A235" s="2" t="str">
        <x:v>D020_T04_C020_G050</x:v>
      </x:c>
      <x:c r="B235" s="2" t="str">
        <x:v>A0008</x:v>
      </x:c>
      <x:c r="C235" s="2" t="str">
        <x:v>inside</x:v>
      </x:c>
      <x:c r="D235" s="2" t="n">
        <x:v>4</x:v>
      </x:c>
      <x:c r="E235" s="2" t="n">
        <x:v>5</x:v>
      </x:c>
      <x:c r="F235" s="2" t="n">
        <x:v>6</x:v>
      </x:c>
      <x:c r="G235" s="2" t="str">
        <x:v>observed_post_release</x:v>
      </x:c>
      <x:c r="H235" s="2" t="n">
        <x:f>IF(AND(ISNUMBER(F235),F235&gt;=D235),1,0)</x:f>
        <x:v>1</x:v>
      </x:c>
      <x:c r="I235" s="2" t="n">
        <x:f>IF(AND(ISNUMBER(F235),F235&gt;D235),1,0)</x:f>
        <x:v>1</x:v>
      </x:c>
      <x:c r="J235" s="2" t="n">
        <x:f>IF(H235=1,F235-D235,"")</x:f>
        <x:v>2</x:v>
      </x:c>
      <x:c r="K235" s="2" t="n">
        <x:f>IF(H235=1,F235-E235,"")</x:f>
        <x:v>1</x:v>
      </x:c>
      <x:c r="L235" s="2" t="n">
        <x:v>5</x:v>
      </x:c>
      <x:c r="M235" s="2" t="n">
        <x:v>6</x:v>
      </x:c>
      <x:c r="N235" s="20" t="n">
        <x:v>0.2</x:v>
      </x:c>
      <x:c r="O235" s="20" t="n">
        <x:v>0.2</x:v>
      </x:c>
      <x:c r="P235" s="20" t="n">
        <x:v>0.5</x:v>
      </x:c>
      <x:c r="Q235" s="2" t="n">
        <x:v>36</x:v>
      </x:c>
      <x:c r="R235" s="2" t="str">
        <x:v>ISFP</x:v>
      </x:c>
      <x:c r="S235" s="2" t="str">
        <x:v>华南</x:v>
      </x:c>
      <x:c r="T235" s="2" t="str">
        <x:v>生产运输或体力岗位</x:v>
      </x:c>
    </x:row>
    <x:row r="236" ht="24" customHeight="1">
      <x:c r="A236" s="2" t="str">
        <x:v>D020_T04_C020_G050</x:v>
      </x:c>
      <x:c r="B236" s="2" t="str">
        <x:v>A0011</x:v>
      </x:c>
      <x:c r="C236" s="2" t="str">
        <x:v>inside</x:v>
      </x:c>
      <x:c r="D236" s="2" t="n">
        <x:v>4</x:v>
      </x:c>
      <x:c r="E236" s="2" t="n">
        <x:v>1</x:v>
      </x:c>
      <x:c r="F236" s="2" t="n">
        <x:v>5</x:v>
      </x:c>
      <x:c r="G236" s="2" t="str">
        <x:v>observed_post_release</x:v>
      </x:c>
      <x:c r="H236" s="2" t="n">
        <x:f>IF(AND(ISNUMBER(F236),F236&gt;=D236),1,0)</x:f>
        <x:v>1</x:v>
      </x:c>
      <x:c r="I236" s="2" t="n">
        <x:f>IF(AND(ISNUMBER(F236),F236&gt;D236),1,0)</x:f>
        <x:v>1</x:v>
      </x:c>
      <x:c r="J236" s="2" t="n">
        <x:f>IF(H236=1,F236-D236,"")</x:f>
        <x:v>1</x:v>
      </x:c>
      <x:c r="K236" s="2" t="n">
        <x:f>IF(H236=1,F236-E236,"")</x:f>
        <x:v>4</x:v>
      </x:c>
      <x:c r="L236" s="2" t="n">
        <x:v>9</x:v>
      </x:c>
      <x:c r="M236" s="2" t="n">
        <x:v>4</x:v>
      </x:c>
      <x:c r="N236" s="20" t="n">
        <x:v>0.2</x:v>
      </x:c>
      <x:c r="O236" s="20" t="n">
        <x:v>0.2</x:v>
      </x:c>
      <x:c r="P236" s="20" t="n">
        <x:v>0.5</x:v>
      </x:c>
      <x:c r="Q236" s="2" t="n">
        <x:v>42</x:v>
      </x:c>
      <x:c r="R236" s="2" t="str">
        <x:v>ENFJ</x:v>
      </x:c>
      <x:c r="S236" s="2" t="str">
        <x:v>西南</x:v>
      </x:c>
      <x:c r="T236" s="2" t="str">
        <x:v>行政或办公室岗位</x:v>
      </x:c>
    </x:row>
    <x:row r="237" ht="24" customHeight="1">
      <x:c r="A237" s="2" t="str">
        <x:v>D020_T04_C020_G050</x:v>
      </x:c>
      <x:c r="B237" s="2" t="str">
        <x:v>A0012</x:v>
      </x:c>
      <x:c r="C237" s="2" t="str">
        <x:v>inside</x:v>
      </x:c>
      <x:c r="D237" s="2" t="n">
        <x:v>4</x:v>
      </x:c>
      <x:c r="E237" s="2" t="n">
        <x:v>1</x:v>
      </x:c>
      <x:c r="F237" s="2" t="n">
        <x:v>8</x:v>
      </x:c>
      <x:c r="G237" s="2" t="str">
        <x:v>observed_post_release</x:v>
      </x:c>
      <x:c r="H237" s="2" t="n">
        <x:f>IF(AND(ISNUMBER(F237),F237&gt;=D237),1,0)</x:f>
        <x:v>1</x:v>
      </x:c>
      <x:c r="I237" s="2" t="n">
        <x:f>IF(AND(ISNUMBER(F237),F237&gt;D237),1,0)</x:f>
        <x:v>1</x:v>
      </x:c>
      <x:c r="J237" s="2" t="n">
        <x:f>IF(H237=1,F237-D237,"")</x:f>
        <x:v>4</x:v>
      </x:c>
      <x:c r="K237" s="2" t="n">
        <x:f>IF(H237=1,F237-E237,"")</x:f>
        <x:v>7</x:v>
      </x:c>
      <x:c r="L237" s="2" t="n">
        <x:v>9</x:v>
      </x:c>
      <x:c r="M237" s="2" t="n">
        <x:v>5</x:v>
      </x:c>
      <x:c r="N237" s="20" t="n">
        <x:v>0.2</x:v>
      </x:c>
      <x:c r="O237" s="20" t="n">
        <x:v>0.2</x:v>
      </x:c>
      <x:c r="P237" s="20" t="n">
        <x:v>0.5</x:v>
      </x:c>
      <x:c r="Q237" s="2" t="n">
        <x:v>38</x:v>
      </x:c>
      <x:c r="R237" s="2" t="str">
        <x:v>ESFP</x:v>
      </x:c>
      <x:c r="S237" s="2" t="str">
        <x:v>华中</x:v>
      </x:c>
      <x:c r="T237" s="2" t="str">
        <x:v>行政或办公室岗位</x:v>
      </x:c>
    </x:row>
    <x:row r="238" ht="24" customHeight="1">
      <x:c r="A238" s="2" t="str">
        <x:v>D020_T04_C020_G050</x:v>
      </x:c>
      <x:c r="B238" s="2" t="str">
        <x:v>A0014</x:v>
      </x:c>
      <x:c r="C238" s="2" t="str">
        <x:v>inside</x:v>
      </x:c>
      <x:c r="D238" s="2" t="n">
        <x:v>4</x:v>
      </x:c>
      <x:c r="E238" s="2" t="n">
        <x:v>1</x:v>
      </x:c>
      <x:c r="F238" s="2" t="n">
        <x:v>4</x:v>
      </x:c>
      <x:c r="G238" s="2" t="str">
        <x:v>observed_post_release</x:v>
      </x:c>
      <x:c r="H238" s="2" t="n">
        <x:f>IF(AND(ISNUMBER(F238),F238&gt;=D238),1,0)</x:f>
        <x:v>1</x:v>
      </x:c>
      <x:c r="I238" s="2" t="n">
        <x:f>IF(AND(ISNUMBER(F238),F238&gt;D238),1,0)</x:f>
        <x:v>0</x:v>
      </x:c>
      <x:c r="J238" s="2" t="n">
        <x:f>IF(H238=1,F238-D238,"")</x:f>
        <x:v>0</x:v>
      </x:c>
      <x:c r="K238" s="2" t="n">
        <x:f>IF(H238=1,F238-E238,"")</x:f>
        <x:v>3</x:v>
      </x:c>
      <x:c r="L238" s="2" t="n">
        <x:v>9</x:v>
      </x:c>
      <x:c r="M238" s="2" t="n">
        <x:v>4</x:v>
      </x:c>
      <x:c r="N238" s="20" t="n">
        <x:v>0.2</x:v>
      </x:c>
      <x:c r="O238" s="20" t="n">
        <x:v>0.2</x:v>
      </x:c>
      <x:c r="P238" s="20" t="n">
        <x:v>0.5</x:v>
      </x:c>
      <x:c r="Q238" s="2" t="n">
        <x:v>52</x:v>
      </x:c>
      <x:c r="R238" s="2" t="str">
        <x:v>INFJ</x:v>
      </x:c>
      <x:c r="S238" s="2" t="str">
        <x:v>华东</x:v>
      </x:c>
      <x:c r="T238" s="2" t="str">
        <x:v>生产运输或体力岗位</x:v>
      </x:c>
    </x:row>
    <x:row r="239" ht="24" customHeight="1">
      <x:c r="A239" s="2" t="str">
        <x:v>D020_T04_C020_G050</x:v>
      </x:c>
      <x:c r="B239" s="2" t="str">
        <x:v>A0016</x:v>
      </x:c>
      <x:c r="C239" s="2" t="str">
        <x:v>inside</x:v>
      </x:c>
      <x:c r="D239" s="2" t="n">
        <x:v>4</x:v>
      </x:c>
      <x:c r="E239" s="2" t="n">
        <x:v>1</x:v>
      </x:c>
      <x:c r="F239" s="2" t="n">
        <x:v>6</x:v>
      </x:c>
      <x:c r="G239" s="2" t="str">
        <x:v>observed_post_release</x:v>
      </x:c>
      <x:c r="H239" s="2" t="n">
        <x:f>IF(AND(ISNUMBER(F239),F239&gt;=D239),1,0)</x:f>
        <x:v>1</x:v>
      </x:c>
      <x:c r="I239" s="2" t="n">
        <x:f>IF(AND(ISNUMBER(F239),F239&gt;D239),1,0)</x:f>
        <x:v>1</x:v>
      </x:c>
      <x:c r="J239" s="2" t="n">
        <x:f>IF(H239=1,F239-D239,"")</x:f>
        <x:v>2</x:v>
      </x:c>
      <x:c r="K239" s="2" t="n">
        <x:f>IF(H239=1,F239-E239,"")</x:f>
        <x:v>5</x:v>
      </x:c>
      <x:c r="L239" s="2" t="n">
        <x:v>9</x:v>
      </x:c>
      <x:c r="M239" s="2" t="n">
        <x:v>6</x:v>
      </x:c>
      <x:c r="N239" s="20" t="n">
        <x:v>0.2</x:v>
      </x:c>
      <x:c r="O239" s="20" t="n">
        <x:v>0.2</x:v>
      </x:c>
      <x:c r="P239" s="20" t="n">
        <x:v>0.5</x:v>
      </x:c>
      <x:c r="Q239" s="2" t="n">
        <x:v>60</x:v>
      </x:c>
      <x:c r="R239" s="2" t="str">
        <x:v>ESFJ</x:v>
      </x:c>
      <x:c r="S239" s="2" t="str">
        <x:v>华北</x:v>
      </x:c>
      <x:c r="T239" s="2" t="str">
        <x:v>个体经营或自由职业</x:v>
      </x:c>
    </x:row>
    <x:row r="240" ht="24" customHeight="1">
      <x:c r="A240" s="2" t="str">
        <x:v>D020_T04_C020_G050</x:v>
      </x:c>
      <x:c r="B240" s="2" t="str">
        <x:v>A0017</x:v>
      </x:c>
      <x:c r="C240" s="2" t="str">
        <x:v>inside</x:v>
      </x:c>
      <x:c r="D240" s="2" t="n">
        <x:v>4</x:v>
      </x:c>
      <x:c r="E240" s="2" t="n">
        <x:v>1</x:v>
      </x:c>
      <x:c r="F240" s="2"/>
      <x:c r="G240" s="2" t="str">
        <x:v>right_censored</x:v>
      </x:c>
      <x:c r="H240" s="2" t="n">
        <x:f>IF(AND(ISNUMBER(F240),F240&gt;=D240),1,0)</x:f>
        <x:v>0</x:v>
      </x:c>
      <x:c r="I240" s="2" t="n">
        <x:f>IF(AND(ISNUMBER(F240),F240&gt;D240),1,0)</x:f>
        <x:v>0</x:v>
      </x:c>
      <x:c r="J240" s="2" t="str">
        <x:f>IF(H240=1,F240-D240,"")</x:f>
      </x:c>
      <x:c r="K240" s="2" t="str">
        <x:f>IF(H240=1,F240-E240,"")</x:f>
      </x:c>
      <x:c r="L240" s="2" t="n">
        <x:v>9</x:v>
      </x:c>
      <x:c r="M240" s="2"/>
      <x:c r="N240" s="20" t="n">
        <x:v>0.2</x:v>
      </x:c>
      <x:c r="O240" s="20" t="n">
        <x:v>0.2</x:v>
      </x:c>
      <x:c r="P240" s="20" t="n">
        <x:v>0.5</x:v>
      </x:c>
      <x:c r="Q240" s="2" t="n">
        <x:v>30</x:v>
      </x:c>
      <x:c r="R240" s="2" t="str">
        <x:v>ISTJ</x:v>
      </x:c>
      <x:c r="S240" s="2" t="str">
        <x:v>华东</x:v>
      </x:c>
      <x:c r="T240" s="2" t="str">
        <x:v>商业服务岗位</x:v>
      </x:c>
    </x:row>
    <x:row r="241" ht="24" customHeight="1">
      <x:c r="A241" s="2" t="str">
        <x:v>D020_T04_C020_G050</x:v>
      </x:c>
      <x:c r="B241" s="2" t="str">
        <x:v>A0018</x:v>
      </x:c>
      <x:c r="C241" s="2" t="str">
        <x:v>inside</x:v>
      </x:c>
      <x:c r="D241" s="2" t="n">
        <x:v>4</x:v>
      </x:c>
      <x:c r="E241" s="2" t="n">
        <x:v>1</x:v>
      </x:c>
      <x:c r="F241" s="2" t="n">
        <x:v>5</x:v>
      </x:c>
      <x:c r="G241" s="2" t="str">
        <x:v>observed_post_release</x:v>
      </x:c>
      <x:c r="H241" s="2" t="n">
        <x:f>IF(AND(ISNUMBER(F241),F241&gt;=D241),1,0)</x:f>
        <x:v>1</x:v>
      </x:c>
      <x:c r="I241" s="2" t="n">
        <x:f>IF(AND(ISNUMBER(F241),F241&gt;D241),1,0)</x:f>
        <x:v>1</x:v>
      </x:c>
      <x:c r="J241" s="2" t="n">
        <x:f>IF(H241=1,F241-D241,"")</x:f>
        <x:v>1</x:v>
      </x:c>
      <x:c r="K241" s="2" t="n">
        <x:f>IF(H241=1,F241-E241,"")</x:f>
        <x:v>4</x:v>
      </x:c>
      <x:c r="L241" s="2" t="n">
        <x:v>9</x:v>
      </x:c>
      <x:c r="M241" s="2" t="n">
        <x:v>5</x:v>
      </x:c>
      <x:c r="N241" s="20" t="n">
        <x:v>0.2</x:v>
      </x:c>
      <x:c r="O241" s="20" t="n">
        <x:v>0.2</x:v>
      </x:c>
      <x:c r="P241" s="20" t="n">
        <x:v>0.5</x:v>
      </x:c>
      <x:c r="Q241" s="2" t="n">
        <x:v>60</x:v>
      </x:c>
      <x:c r="R241" s="2" t="str">
        <x:v>INTJ</x:v>
      </x:c>
      <x:c r="S241" s="2" t="str">
        <x:v>华南</x:v>
      </x:c>
      <x:c r="T241" s="2" t="str">
        <x:v>专业技术岗位</x:v>
      </x:c>
    </x:row>
    <x:row r="242" ht="24" customHeight="1">
      <x:c r="A242" s="2" t="str">
        <x:v>D020_T04_C020_G050</x:v>
      </x:c>
      <x:c r="B242" s="2" t="str">
        <x:v>A0019</x:v>
      </x:c>
      <x:c r="C242" s="2" t="str">
        <x:v>inside</x:v>
      </x:c>
      <x:c r="D242" s="2" t="n">
        <x:v>4</x:v>
      </x:c>
      <x:c r="E242" s="2" t="n">
        <x:v>1</x:v>
      </x:c>
      <x:c r="F242" s="2" t="n">
        <x:v>6</x:v>
      </x:c>
      <x:c r="G242" s="2" t="str">
        <x:v>observed_post_release</x:v>
      </x:c>
      <x:c r="H242" s="2" t="n">
        <x:f>IF(AND(ISNUMBER(F242),F242&gt;=D242),1,0)</x:f>
        <x:v>1</x:v>
      </x:c>
      <x:c r="I242" s="2" t="n">
        <x:f>IF(AND(ISNUMBER(F242),F242&gt;D242),1,0)</x:f>
        <x:v>1</x:v>
      </x:c>
      <x:c r="J242" s="2" t="n">
        <x:f>IF(H242=1,F242-D242,"")</x:f>
        <x:v>2</x:v>
      </x:c>
      <x:c r="K242" s="2" t="n">
        <x:f>IF(H242=1,F242-E242,"")</x:f>
        <x:v>5</x:v>
      </x:c>
      <x:c r="L242" s="2" t="n">
        <x:v>9</x:v>
      </x:c>
      <x:c r="M242" s="2" t="n">
        <x:v>6</x:v>
      </x:c>
      <x:c r="N242" s="20" t="n">
        <x:v>0.2</x:v>
      </x:c>
      <x:c r="O242" s="20" t="n">
        <x:v>0.2</x:v>
      </x:c>
      <x:c r="P242" s="20" t="n">
        <x:v>0.5</x:v>
      </x:c>
      <x:c r="Q242" s="2" t="n">
        <x:v>19</x:v>
      </x:c>
      <x:c r="R242" s="2" t="str">
        <x:v>INTJ</x:v>
      </x:c>
      <x:c r="S242" s="2" t="str">
        <x:v>西南</x:v>
      </x:c>
      <x:c r="T242" s="2" t="str">
        <x:v>行政或办公室岗位</x:v>
      </x:c>
    </x:row>
    <x:row r="243" ht="24" customHeight="1">
      <x:c r="A243" s="2" t="str">
        <x:v>D020_T04_C020_G050</x:v>
      </x:c>
      <x:c r="B243" s="2" t="str">
        <x:v>A0020</x:v>
      </x:c>
      <x:c r="C243" s="2" t="str">
        <x:v>inside</x:v>
      </x:c>
      <x:c r="D243" s="2" t="n">
        <x:v>4</x:v>
      </x:c>
      <x:c r="E243" s="2" t="n">
        <x:v>1</x:v>
      </x:c>
      <x:c r="F243" s="2" t="n">
        <x:v>4</x:v>
      </x:c>
      <x:c r="G243" s="2" t="str">
        <x:v>observed_post_release</x:v>
      </x:c>
      <x:c r="H243" s="2" t="n">
        <x:f>IF(AND(ISNUMBER(F243),F243&gt;=D243),1,0)</x:f>
        <x:v>1</x:v>
      </x:c>
      <x:c r="I243" s="2" t="n">
        <x:f>IF(AND(ISNUMBER(F243),F243&gt;D243),1,0)</x:f>
        <x:v>0</x:v>
      </x:c>
      <x:c r="J243" s="2" t="n">
        <x:f>IF(H243=1,F243-D243,"")</x:f>
        <x:v>0</x:v>
      </x:c>
      <x:c r="K243" s="2" t="n">
        <x:f>IF(H243=1,F243-E243,"")</x:f>
        <x:v>3</x:v>
      </x:c>
      <x:c r="L243" s="2" t="n">
        <x:v>9</x:v>
      </x:c>
      <x:c r="M243" s="2" t="n">
        <x:v>4</x:v>
      </x:c>
      <x:c r="N243" s="20" t="n">
        <x:v>0.2</x:v>
      </x:c>
      <x:c r="O243" s="20" t="n">
        <x:v>0.2</x:v>
      </x:c>
      <x:c r="P243" s="20" t="n">
        <x:v>0.5</x:v>
      </x:c>
      <x:c r="Q243" s="2" t="n">
        <x:v>42</x:v>
      </x:c>
      <x:c r="R243" s="2" t="str">
        <x:v>ENTJ</x:v>
      </x:c>
      <x:c r="S243" s="2" t="str">
        <x:v>西南</x:v>
      </x:c>
      <x:c r="T243" s="2" t="str">
        <x:v>行政或办公室岗位</x:v>
      </x:c>
    </x:row>
    <x:row r="244" ht="24" customHeight="1">
      <x:c r="A244" s="2" t="str">
        <x:v>D020_T04_C020_G050</x:v>
      </x:c>
      <x:c r="B244" s="2" t="str">
        <x:v>A0024</x:v>
      </x:c>
      <x:c r="C244" s="2" t="str">
        <x:v>inside</x:v>
      </x:c>
      <x:c r="D244" s="2" t="n">
        <x:v>4</x:v>
      </x:c>
      <x:c r="E244" s="2" t="n">
        <x:v>1</x:v>
      </x:c>
      <x:c r="F244" s="2"/>
      <x:c r="G244" s="2" t="str">
        <x:v>right_censored</x:v>
      </x:c>
      <x:c r="H244" s="2" t="n">
        <x:f>IF(AND(ISNUMBER(F244),F244&gt;=D244),1,0)</x:f>
        <x:v>0</x:v>
      </x:c>
      <x:c r="I244" s="2" t="n">
        <x:f>IF(AND(ISNUMBER(F244),F244&gt;D244),1,0)</x:f>
        <x:v>0</x:v>
      </x:c>
      <x:c r="J244" s="2" t="str">
        <x:f>IF(H244=1,F244-D244,"")</x:f>
      </x:c>
      <x:c r="K244" s="2" t="str">
        <x:f>IF(H244=1,F244-E244,"")</x:f>
      </x:c>
      <x:c r="L244" s="2" t="n">
        <x:v>9</x:v>
      </x:c>
      <x:c r="M244" s="2" t="n">
        <x:v>6</x:v>
      </x:c>
      <x:c r="N244" s="20" t="n">
        <x:v>0.2</x:v>
      </x:c>
      <x:c r="O244" s="20" t="n">
        <x:v>0.2</x:v>
      </x:c>
      <x:c r="P244" s="20" t="n">
        <x:v>0.5</x:v>
      </x:c>
      <x:c r="Q244" s="2" t="n">
        <x:v>31</x:v>
      </x:c>
      <x:c r="R244" s="2" t="str">
        <x:v>ESTP</x:v>
      </x:c>
      <x:c r="S244" s="2" t="str">
        <x:v>华北</x:v>
      </x:c>
      <x:c r="T244" s="2" t="str">
        <x:v>商业服务岗位</x:v>
      </x:c>
    </x:row>
    <x:row r="245" ht="24" customHeight="1">
      <x:c r="A245" s="2" t="str">
        <x:v>D020_T04_C020_G050</x:v>
      </x:c>
      <x:c r="B245" s="2" t="str">
        <x:v>A0025</x:v>
      </x:c>
      <x:c r="C245" s="2" t="str">
        <x:v>inside</x:v>
      </x:c>
      <x:c r="D245" s="2" t="n">
        <x:v>4</x:v>
      </x:c>
      <x:c r="E245" s="2" t="n">
        <x:v>1</x:v>
      </x:c>
      <x:c r="F245" s="2" t="n">
        <x:v>4</x:v>
      </x:c>
      <x:c r="G245" s="2" t="str">
        <x:v>observed_post_release</x:v>
      </x:c>
      <x:c r="H245" s="2" t="n">
        <x:f>IF(AND(ISNUMBER(F245),F245&gt;=D245),1,0)</x:f>
        <x:v>1</x:v>
      </x:c>
      <x:c r="I245" s="2" t="n">
        <x:f>IF(AND(ISNUMBER(F245),F245&gt;D245),1,0)</x:f>
        <x:v>0</x:v>
      </x:c>
      <x:c r="J245" s="2" t="n">
        <x:f>IF(H245=1,F245-D245,"")</x:f>
        <x:v>0</x:v>
      </x:c>
      <x:c r="K245" s="2" t="n">
        <x:f>IF(H245=1,F245-E245,"")</x:f>
        <x:v>3</x:v>
      </x:c>
      <x:c r="L245" s="2" t="n">
        <x:v>9</x:v>
      </x:c>
      <x:c r="M245" s="2" t="n">
        <x:v>4</x:v>
      </x:c>
      <x:c r="N245" s="20" t="n">
        <x:v>0.2</x:v>
      </x:c>
      <x:c r="O245" s="20" t="n">
        <x:v>0.2</x:v>
      </x:c>
      <x:c r="P245" s="20" t="n">
        <x:v>0.5</x:v>
      </x:c>
      <x:c r="Q245" s="2" t="n">
        <x:v>23</x:v>
      </x:c>
      <x:c r="R245" s="2" t="str">
        <x:v>ISTP</x:v>
      </x:c>
      <x:c r="S245" s="2" t="str">
        <x:v>华南</x:v>
      </x:c>
      <x:c r="T245" s="2" t="str">
        <x:v>行政或办公室岗位</x:v>
      </x:c>
    </x:row>
    <x:row r="246" ht="24" customHeight="1">
      <x:c r="A246" s="2" t="str">
        <x:v>D020_T04_C020_G050</x:v>
      </x:c>
      <x:c r="B246" s="2" t="str">
        <x:v>A0030</x:v>
      </x:c>
      <x:c r="C246" s="2" t="str">
        <x:v>inside</x:v>
      </x:c>
      <x:c r="D246" s="2" t="n">
        <x:v>4</x:v>
      </x:c>
      <x:c r="E246" s="2" t="n">
        <x:v>1</x:v>
      </x:c>
      <x:c r="F246" s="2"/>
      <x:c r="G246" s="2" t="str">
        <x:v>right_censored</x:v>
      </x:c>
      <x:c r="H246" s="2" t="n">
        <x:f>IF(AND(ISNUMBER(F246),F246&gt;=D246),1,0)</x:f>
        <x:v>0</x:v>
      </x:c>
      <x:c r="I246" s="2" t="n">
        <x:f>IF(AND(ISNUMBER(F246),F246&gt;D246),1,0)</x:f>
        <x:v>0</x:v>
      </x:c>
      <x:c r="J246" s="2" t="str">
        <x:f>IF(H246=1,F246-D246,"")</x:f>
      </x:c>
      <x:c r="K246" s="2" t="str">
        <x:f>IF(H246=1,F246-E246,"")</x:f>
      </x:c>
      <x:c r="L246" s="2" t="n">
        <x:v>9</x:v>
      </x:c>
      <x:c r="M246" s="2"/>
      <x:c r="N246" s="20" t="n">
        <x:v>0.2</x:v>
      </x:c>
      <x:c r="O246" s="20" t="n">
        <x:v>0.2</x:v>
      </x:c>
      <x:c r="P246" s="20" t="n">
        <x:v>0.5</x:v>
      </x:c>
      <x:c r="Q246" s="2" t="n">
        <x:v>23</x:v>
      </x:c>
      <x:c r="R246" s="2" t="str">
        <x:v>ISFP</x:v>
      </x:c>
      <x:c r="S246" s="2" t="str">
        <x:v>华东</x:v>
      </x:c>
      <x:c r="T246" s="2" t="str">
        <x:v>在校学生</x:v>
      </x:c>
    </x:row>
    <x:row r="247" ht="24" customHeight="1">
      <x:c r="A247" s="2" t="str">
        <x:v>D020_T04_C020_G050</x:v>
      </x:c>
      <x:c r="B247" s="2" t="str">
        <x:v>A0032</x:v>
      </x:c>
      <x:c r="C247" s="2" t="str">
        <x:v>inside</x:v>
      </x:c>
      <x:c r="D247" s="2" t="n">
        <x:v>4</x:v>
      </x:c>
      <x:c r="E247" s="2" t="n">
        <x:v>1</x:v>
      </x:c>
      <x:c r="F247" s="2" t="n">
        <x:v>4</x:v>
      </x:c>
      <x:c r="G247" s="2" t="str">
        <x:v>observed_post_release</x:v>
      </x:c>
      <x:c r="H247" s="2" t="n">
        <x:f>IF(AND(ISNUMBER(F247),F247&gt;=D247),1,0)</x:f>
        <x:v>1</x:v>
      </x:c>
      <x:c r="I247" s="2" t="n">
        <x:f>IF(AND(ISNUMBER(F247),F247&gt;D247),1,0)</x:f>
        <x:v>0</x:v>
      </x:c>
      <x:c r="J247" s="2" t="n">
        <x:f>IF(H247=1,F247-D247,"")</x:f>
        <x:v>0</x:v>
      </x:c>
      <x:c r="K247" s="2" t="n">
        <x:f>IF(H247=1,F247-E247,"")</x:f>
        <x:v>3</x:v>
      </x:c>
      <x:c r="L247" s="2" t="n">
        <x:v>9</x:v>
      </x:c>
      <x:c r="M247" s="2" t="n">
        <x:v>4</x:v>
      </x:c>
      <x:c r="N247" s="20" t="n">
        <x:v>0.2</x:v>
      </x:c>
      <x:c r="O247" s="20" t="n">
        <x:v>0.2</x:v>
      </x:c>
      <x:c r="P247" s="20" t="n">
        <x:v>0.5</x:v>
      </x:c>
      <x:c r="Q247" s="2" t="n">
        <x:v>53</x:v>
      </x:c>
      <x:c r="R247" s="2" t="str">
        <x:v>INTP</x:v>
      </x:c>
      <x:c r="S247" s="2" t="str">
        <x:v>华北</x:v>
      </x:c>
      <x:c r="T247" s="2" t="str">
        <x:v>个体经营或自由职业</x:v>
      </x:c>
    </x:row>
    <x:row r="248" ht="24" customHeight="1">
      <x:c r="A248" s="2" t="str">
        <x:v>D020_T04_C020_G050</x:v>
      </x:c>
      <x:c r="B248" s="2" t="str">
        <x:v>A0033</x:v>
      </x:c>
      <x:c r="C248" s="2" t="str">
        <x:v>inside</x:v>
      </x:c>
      <x:c r="D248" s="2" t="n">
        <x:v>4</x:v>
      </x:c>
      <x:c r="E248" s="2" t="n">
        <x:v>1</x:v>
      </x:c>
      <x:c r="F248" s="2" t="n">
        <x:v>5</x:v>
      </x:c>
      <x:c r="G248" s="2" t="str">
        <x:v>observed_post_release</x:v>
      </x:c>
      <x:c r="H248" s="2" t="n">
        <x:f>IF(AND(ISNUMBER(F248),F248&gt;=D248),1,0)</x:f>
        <x:v>1</x:v>
      </x:c>
      <x:c r="I248" s="2" t="n">
        <x:f>IF(AND(ISNUMBER(F248),F248&gt;D248),1,0)</x:f>
        <x:v>1</x:v>
      </x:c>
      <x:c r="J248" s="2" t="n">
        <x:f>IF(H248=1,F248-D248,"")</x:f>
        <x:v>1</x:v>
      </x:c>
      <x:c r="K248" s="2" t="n">
        <x:f>IF(H248=1,F248-E248,"")</x:f>
        <x:v>4</x:v>
      </x:c>
      <x:c r="L248" s="2" t="n">
        <x:v>9</x:v>
      </x:c>
      <x:c r="M248" s="2" t="n">
        <x:v>5</x:v>
      </x:c>
      <x:c r="N248" s="20" t="n">
        <x:v>0.2</x:v>
      </x:c>
      <x:c r="O248" s="20" t="n">
        <x:v>0.2</x:v>
      </x:c>
      <x:c r="P248" s="20" t="n">
        <x:v>0.5</x:v>
      </x:c>
      <x:c r="Q248" s="2" t="n">
        <x:v>55</x:v>
      </x:c>
      <x:c r="R248" s="2" t="str">
        <x:v>ENFP</x:v>
      </x:c>
      <x:c r="S248" s="2" t="str">
        <x:v>华南</x:v>
      </x:c>
      <x:c r="T248" s="2" t="str">
        <x:v>个体经营或自由职业</x:v>
      </x:c>
    </x:row>
    <x:row r="249" ht="24" customHeight="1">
      <x:c r="A249" s="2" t="str">
        <x:v>D020_T04_C020_G050</x:v>
      </x:c>
      <x:c r="B249" s="2" t="str">
        <x:v>A0036</x:v>
      </x:c>
      <x:c r="C249" s="2" t="str">
        <x:v>inside</x:v>
      </x:c>
      <x:c r="D249" s="2" t="n">
        <x:v>4</x:v>
      </x:c>
      <x:c r="E249" s="2" t="n">
        <x:v>1</x:v>
      </x:c>
      <x:c r="F249" s="2" t="n">
        <x:v>5</x:v>
      </x:c>
      <x:c r="G249" s="2" t="str">
        <x:v>observed_post_release</x:v>
      </x:c>
      <x:c r="H249" s="2" t="n">
        <x:f>IF(AND(ISNUMBER(F249),F249&gt;=D249),1,0)</x:f>
        <x:v>1</x:v>
      </x:c>
      <x:c r="I249" s="2" t="n">
        <x:f>IF(AND(ISNUMBER(F249),F249&gt;D249),1,0)</x:f>
        <x:v>1</x:v>
      </x:c>
      <x:c r="J249" s="2" t="n">
        <x:f>IF(H249=1,F249-D249,"")</x:f>
        <x:v>1</x:v>
      </x:c>
      <x:c r="K249" s="2" t="n">
        <x:f>IF(H249=1,F249-E249,"")</x:f>
        <x:v>4</x:v>
      </x:c>
      <x:c r="L249" s="2" t="n">
        <x:v>9</x:v>
      </x:c>
      <x:c r="M249" s="2" t="n">
        <x:v>5</x:v>
      </x:c>
      <x:c r="N249" s="20" t="n">
        <x:v>0.2</x:v>
      </x:c>
      <x:c r="O249" s="20" t="n">
        <x:v>0.2</x:v>
      </x:c>
      <x:c r="P249" s="20" t="n">
        <x:v>0.5</x:v>
      </x:c>
      <x:c r="Q249" s="2" t="n">
        <x:v>43</x:v>
      </x:c>
      <x:c r="R249" s="2" t="str">
        <x:v>ISFJ</x:v>
      </x:c>
      <x:c r="S249" s="2" t="str">
        <x:v>华东</x:v>
      </x:c>
      <x:c r="T249" s="2" t="str">
        <x:v>生产运输或体力岗位</x:v>
      </x:c>
    </x:row>
    <x:row r="250" ht="24" customHeight="1">
      <x:c r="A250" s="2" t="str">
        <x:v>D020_T04_C020_G050</x:v>
      </x:c>
      <x:c r="B250" s="2" t="str">
        <x:v>A0039</x:v>
      </x:c>
      <x:c r="C250" s="2" t="str">
        <x:v>inside</x:v>
      </x:c>
      <x:c r="D250" s="2" t="n">
        <x:v>4</x:v>
      </x:c>
      <x:c r="E250" s="2" t="n">
        <x:v>3</x:v>
      </x:c>
      <x:c r="F250" s="2" t="n">
        <x:v>6</x:v>
      </x:c>
      <x:c r="G250" s="2" t="str">
        <x:v>observed_post_release</x:v>
      </x:c>
      <x:c r="H250" s="2" t="n">
        <x:f>IF(AND(ISNUMBER(F250),F250&gt;=D250),1,0)</x:f>
        <x:v>1</x:v>
      </x:c>
      <x:c r="I250" s="2" t="n">
        <x:f>IF(AND(ISNUMBER(F250),F250&gt;D250),1,0)</x:f>
        <x:v>1</x:v>
      </x:c>
      <x:c r="J250" s="2" t="n">
        <x:f>IF(H250=1,F250-D250,"")</x:f>
        <x:v>2</x:v>
      </x:c>
      <x:c r="K250" s="2" t="n">
        <x:f>IF(H250=1,F250-E250,"")</x:f>
        <x:v>3</x:v>
      </x:c>
      <x:c r="L250" s="2" t="n">
        <x:v>7</x:v>
      </x:c>
      <x:c r="M250" s="2" t="n">
        <x:v>6</x:v>
      </x:c>
      <x:c r="N250" s="20" t="n">
        <x:v>0.2</x:v>
      </x:c>
      <x:c r="O250" s="20" t="n">
        <x:v>0.2</x:v>
      </x:c>
      <x:c r="P250" s="20" t="n">
        <x:v>0.5</x:v>
      </x:c>
      <x:c r="Q250" s="2" t="n">
        <x:v>33</x:v>
      </x:c>
      <x:c r="R250" s="2" t="str">
        <x:v>ISTJ</x:v>
      </x:c>
      <x:c r="S250" s="2" t="str">
        <x:v>华南</x:v>
      </x:c>
      <x:c r="T250" s="2" t="str">
        <x:v>专业技术岗位</x:v>
      </x:c>
    </x:row>
    <x:row r="251" ht="24" customHeight="1">
      <x:c r="A251" s="2" t="str">
        <x:v>D020_T04_C020_G050</x:v>
      </x:c>
      <x:c r="B251" s="2" t="str">
        <x:v>A0040</x:v>
      </x:c>
      <x:c r="C251" s="2" t="str">
        <x:v>inside</x:v>
      </x:c>
      <x:c r="D251" s="2" t="n">
        <x:v>4</x:v>
      </x:c>
      <x:c r="E251" s="2" t="n">
        <x:v>1</x:v>
      </x:c>
      <x:c r="F251" s="2" t="n">
        <x:v>8</x:v>
      </x:c>
      <x:c r="G251" s="2" t="str">
        <x:v>observed_post_release</x:v>
      </x:c>
      <x:c r="H251" s="2" t="n">
        <x:f>IF(AND(ISNUMBER(F251),F251&gt;=D251),1,0)</x:f>
        <x:v>1</x:v>
      </x:c>
      <x:c r="I251" s="2" t="n">
        <x:f>IF(AND(ISNUMBER(F251),F251&gt;D251),1,0)</x:f>
        <x:v>1</x:v>
      </x:c>
      <x:c r="J251" s="2" t="n">
        <x:f>IF(H251=1,F251-D251,"")</x:f>
        <x:v>4</x:v>
      </x:c>
      <x:c r="K251" s="2" t="n">
        <x:f>IF(H251=1,F251-E251,"")</x:f>
        <x:v>7</x:v>
      </x:c>
      <x:c r="L251" s="2" t="n">
        <x:v>9</x:v>
      </x:c>
      <x:c r="M251" s="2" t="n">
        <x:v>6</x:v>
      </x:c>
      <x:c r="N251" s="20" t="n">
        <x:v>0.2</x:v>
      </x:c>
      <x:c r="O251" s="20" t="n">
        <x:v>0.2</x:v>
      </x:c>
      <x:c r="P251" s="20" t="n">
        <x:v>0.5</x:v>
      </x:c>
      <x:c r="Q251" s="2" t="n">
        <x:v>48</x:v>
      </x:c>
      <x:c r="R251" s="2" t="str">
        <x:v>INFP</x:v>
      </x:c>
      <x:c r="S251" s="2" t="str">
        <x:v>西北</x:v>
      </x:c>
      <x:c r="T251" s="2" t="str">
        <x:v>个体经营或自由职业</x:v>
      </x:c>
    </x:row>
    <x:row r="252" ht="24" customHeight="1">
      <x:c r="A252" s="2" t="str">
        <x:v>D020_T04_C020_G050</x:v>
      </x:c>
      <x:c r="B252" s="2" t="str">
        <x:v>A0041</x:v>
      </x:c>
      <x:c r="C252" s="2" t="str">
        <x:v>inside</x:v>
      </x:c>
      <x:c r="D252" s="2" t="n">
        <x:v>4</x:v>
      </x:c>
      <x:c r="E252" s="2" t="n">
        <x:v>1</x:v>
      </x:c>
      <x:c r="F252" s="2"/>
      <x:c r="G252" s="2" t="str">
        <x:v>right_censored</x:v>
      </x:c>
      <x:c r="H252" s="2" t="n">
        <x:f>IF(AND(ISNUMBER(F252),F252&gt;=D252),1,0)</x:f>
        <x:v>0</x:v>
      </x:c>
      <x:c r="I252" s="2" t="n">
        <x:f>IF(AND(ISNUMBER(F252),F252&gt;D252),1,0)</x:f>
        <x:v>0</x:v>
      </x:c>
      <x:c r="J252" s="2" t="str">
        <x:f>IF(H252=1,F252-D252,"")</x:f>
      </x:c>
      <x:c r="K252" s="2" t="str">
        <x:f>IF(H252=1,F252-E252,"")</x:f>
      </x:c>
      <x:c r="L252" s="2" t="n">
        <x:v>9</x:v>
      </x:c>
      <x:c r="M252" s="2"/>
      <x:c r="N252" s="20" t="n">
        <x:v>0.2</x:v>
      </x:c>
      <x:c r="O252" s="20" t="n">
        <x:v>0.2</x:v>
      </x:c>
      <x:c r="P252" s="20" t="n">
        <x:v>0.5</x:v>
      </x:c>
      <x:c r="Q252" s="2" t="n">
        <x:v>62</x:v>
      </x:c>
      <x:c r="R252" s="2" t="str">
        <x:v>ISFJ</x:v>
      </x:c>
      <x:c r="S252" s="2" t="str">
        <x:v>西北</x:v>
      </x:c>
      <x:c r="T252" s="2" t="str">
        <x:v>个体经营或自由职业</x:v>
      </x:c>
    </x:row>
    <x:row r="253" ht="24" customHeight="1">
      <x:c r="A253" s="2" t="str">
        <x:v>D020_T04_C020_G050</x:v>
      </x:c>
      <x:c r="B253" s="2" t="str">
        <x:v>A0206</x:v>
      </x:c>
      <x:c r="C253" s="2" t="str">
        <x:v>inside</x:v>
      </x:c>
      <x:c r="D253" s="2" t="n">
        <x:v>4</x:v>
      </x:c>
      <x:c r="E253" s="2" t="n">
        <x:v>1</x:v>
      </x:c>
      <x:c r="F253" s="2" t="n">
        <x:v>4</x:v>
      </x:c>
      <x:c r="G253" s="2" t="str">
        <x:v>observed_post_release</x:v>
      </x:c>
      <x:c r="H253" s="2" t="n">
        <x:f>IF(AND(ISNUMBER(F253),F253&gt;=D253),1,0)</x:f>
        <x:v>1</x:v>
      </x:c>
      <x:c r="I253" s="2" t="n">
        <x:f>IF(AND(ISNUMBER(F253),F253&gt;D253),1,0)</x:f>
        <x:v>0</x:v>
      </x:c>
      <x:c r="J253" s="2" t="n">
        <x:f>IF(H253=1,F253-D253,"")</x:f>
        <x:v>0</x:v>
      </x:c>
      <x:c r="K253" s="2" t="n">
        <x:f>IF(H253=1,F253-E253,"")</x:f>
        <x:v>3</x:v>
      </x:c>
      <x:c r="L253" s="2" t="n">
        <x:v>9</x:v>
      </x:c>
      <x:c r="M253" s="2" t="n">
        <x:v>4</x:v>
      </x:c>
      <x:c r="N253" s="20" t="n">
        <x:v>0.2</x:v>
      </x:c>
      <x:c r="O253" s="20" t="n">
        <x:v>0.2</x:v>
      </x:c>
      <x:c r="P253" s="20" t="n">
        <x:v>0.5</x:v>
      </x:c>
      <x:c r="Q253" s="2" t="n">
        <x:v>21</x:v>
      </x:c>
      <x:c r="R253" s="2" t="str">
        <x:v>ESTP</x:v>
      </x:c>
      <x:c r="S253" s="2" t="str">
        <x:v>西北</x:v>
      </x:c>
      <x:c r="T253" s="2" t="str">
        <x:v>暂未就业或家庭照料</x:v>
      </x:c>
    </x:row>
    <x:row r="254" ht="24" customHeight="1">
      <x:c r="A254" s="2" t="str">
        <x:v>D020_T04_C020_G075</x:v>
      </x:c>
      <x:c r="B254" s="2" t="str">
        <x:v>A0004</x:v>
      </x:c>
      <x:c r="C254" s="2" t="str">
        <x:v>inside</x:v>
      </x:c>
      <x:c r="D254" s="2" t="n">
        <x:v>4</x:v>
      </x:c>
      <x:c r="E254" s="2" t="n">
        <x:v>1</x:v>
      </x:c>
      <x:c r="F254" s="2"/>
      <x:c r="G254" s="2" t="str">
        <x:v>right_censored</x:v>
      </x:c>
      <x:c r="H254" s="2" t="n">
        <x:f>IF(AND(ISNUMBER(F254),F254&gt;=D254),1,0)</x:f>
        <x:v>0</x:v>
      </x:c>
      <x:c r="I254" s="2" t="n">
        <x:f>IF(AND(ISNUMBER(F254),F254&gt;D254),1,0)</x:f>
        <x:v>0</x:v>
      </x:c>
      <x:c r="J254" s="2" t="str">
        <x:f>IF(H254=1,F254-D254,"")</x:f>
      </x:c>
      <x:c r="K254" s="2" t="str">
        <x:f>IF(H254=1,F254-E254,"")</x:f>
      </x:c>
      <x:c r="L254" s="2" t="n">
        <x:v>9</x:v>
      </x:c>
      <x:c r="M254" s="2"/>
      <x:c r="N254" s="20" t="n">
        <x:v>0.2</x:v>
      </x:c>
      <x:c r="O254" s="20" t="n">
        <x:v>0.2</x:v>
      </x:c>
      <x:c r="P254" s="20" t="n">
        <x:v>0.75</x:v>
      </x:c>
      <x:c r="Q254" s="2" t="n">
        <x:v>40</x:v>
      </x:c>
      <x:c r="R254" s="2" t="str">
        <x:v>INTP</x:v>
      </x:c>
      <x:c r="S254" s="2" t="str">
        <x:v>华中</x:v>
      </x:c>
      <x:c r="T254" s="2" t="str">
        <x:v>行政或办公室岗位</x:v>
      </x:c>
    </x:row>
    <x:row r="255" ht="24" customHeight="1">
      <x:c r="A255" s="2" t="str">
        <x:v>D020_T04_C020_G075</x:v>
      </x:c>
      <x:c r="B255" s="2" t="str">
        <x:v>A0011</x:v>
      </x:c>
      <x:c r="C255" s="2" t="str">
        <x:v>inside</x:v>
      </x:c>
      <x:c r="D255" s="2" t="n">
        <x:v>4</x:v>
      </x:c>
      <x:c r="E255" s="2" t="n">
        <x:v>1</x:v>
      </x:c>
      <x:c r="F255" s="2" t="n">
        <x:v>4</x:v>
      </x:c>
      <x:c r="G255" s="2" t="str">
        <x:v>observed_post_release</x:v>
      </x:c>
      <x:c r="H255" s="2" t="n">
        <x:f>IF(AND(ISNUMBER(F255),F255&gt;=D255),1,0)</x:f>
        <x:v>1</x:v>
      </x:c>
      <x:c r="I255" s="2" t="n">
        <x:f>IF(AND(ISNUMBER(F255),F255&gt;D255),1,0)</x:f>
        <x:v>0</x:v>
      </x:c>
      <x:c r="J255" s="2" t="n">
        <x:f>IF(H255=1,F255-D255,"")</x:f>
        <x:v>0</x:v>
      </x:c>
      <x:c r="K255" s="2" t="n">
        <x:f>IF(H255=1,F255-E255,"")</x:f>
        <x:v>3</x:v>
      </x:c>
      <x:c r="L255" s="2" t="n">
        <x:v>9</x:v>
      </x:c>
      <x:c r="M255" s="2" t="n">
        <x:v>4</x:v>
      </x:c>
      <x:c r="N255" s="20" t="n">
        <x:v>0.2</x:v>
      </x:c>
      <x:c r="O255" s="20" t="n">
        <x:v>0.2</x:v>
      </x:c>
      <x:c r="P255" s="20" t="n">
        <x:v>0.75</x:v>
      </x:c>
      <x:c r="Q255" s="2" t="n">
        <x:v>42</x:v>
      </x:c>
      <x:c r="R255" s="2" t="str">
        <x:v>ENFJ</x:v>
      </x:c>
      <x:c r="S255" s="2" t="str">
        <x:v>西南</x:v>
      </x:c>
      <x:c r="T255" s="2" t="str">
        <x:v>行政或办公室岗位</x:v>
      </x:c>
    </x:row>
    <x:row r="256" ht="24" customHeight="1">
      <x:c r="A256" s="2" t="str">
        <x:v>D020_T04_C020_G075</x:v>
      </x:c>
      <x:c r="B256" s="2" t="str">
        <x:v>A0012</x:v>
      </x:c>
      <x:c r="C256" s="2" t="str">
        <x:v>inside</x:v>
      </x:c>
      <x:c r="D256" s="2" t="n">
        <x:v>4</x:v>
      </x:c>
      <x:c r="E256" s="2" t="n">
        <x:v>1</x:v>
      </x:c>
      <x:c r="F256" s="2" t="n">
        <x:v>6</x:v>
      </x:c>
      <x:c r="G256" s="2" t="str">
        <x:v>observed_post_release</x:v>
      </x:c>
      <x:c r="H256" s="2" t="n">
        <x:f>IF(AND(ISNUMBER(F256),F256&gt;=D256),1,0)</x:f>
        <x:v>1</x:v>
      </x:c>
      <x:c r="I256" s="2" t="n">
        <x:f>IF(AND(ISNUMBER(F256),F256&gt;D256),1,0)</x:f>
        <x:v>1</x:v>
      </x:c>
      <x:c r="J256" s="2" t="n">
        <x:f>IF(H256=1,F256-D256,"")</x:f>
        <x:v>2</x:v>
      </x:c>
      <x:c r="K256" s="2" t="n">
        <x:f>IF(H256=1,F256-E256,"")</x:f>
        <x:v>5</x:v>
      </x:c>
      <x:c r="L256" s="2" t="n">
        <x:v>9</x:v>
      </x:c>
      <x:c r="M256" s="2" t="n">
        <x:v>5</x:v>
      </x:c>
      <x:c r="N256" s="20" t="n">
        <x:v>0.2</x:v>
      </x:c>
      <x:c r="O256" s="20" t="n">
        <x:v>0.2</x:v>
      </x:c>
      <x:c r="P256" s="20" t="n">
        <x:v>0.75</x:v>
      </x:c>
      <x:c r="Q256" s="2" t="n">
        <x:v>38</x:v>
      </x:c>
      <x:c r="R256" s="2" t="str">
        <x:v>ESFP</x:v>
      </x:c>
      <x:c r="S256" s="2" t="str">
        <x:v>华中</x:v>
      </x:c>
      <x:c r="T256" s="2" t="str">
        <x:v>行政或办公室岗位</x:v>
      </x:c>
    </x:row>
    <x:row r="257" ht="24" customHeight="1">
      <x:c r="A257" s="2" t="str">
        <x:v>D020_T04_C020_G075</x:v>
      </x:c>
      <x:c r="B257" s="2" t="str">
        <x:v>A0017</x:v>
      </x:c>
      <x:c r="C257" s="2" t="str">
        <x:v>inside</x:v>
      </x:c>
      <x:c r="D257" s="2" t="n">
        <x:v>4</x:v>
      </x:c>
      <x:c r="E257" s="2" t="n">
        <x:v>1</x:v>
      </x:c>
      <x:c r="F257" s="2" t="n">
        <x:v>5</x:v>
      </x:c>
      <x:c r="G257" s="2" t="str">
        <x:v>observed_post_release</x:v>
      </x:c>
      <x:c r="H257" s="2" t="n">
        <x:f>IF(AND(ISNUMBER(F257),F257&gt;=D257),1,0)</x:f>
        <x:v>1</x:v>
      </x:c>
      <x:c r="I257" s="2" t="n">
        <x:f>IF(AND(ISNUMBER(F257),F257&gt;D257),1,0)</x:f>
        <x:v>1</x:v>
      </x:c>
      <x:c r="J257" s="2" t="n">
        <x:f>IF(H257=1,F257-D257,"")</x:f>
        <x:v>1</x:v>
      </x:c>
      <x:c r="K257" s="2" t="n">
        <x:f>IF(H257=1,F257-E257,"")</x:f>
        <x:v>4</x:v>
      </x:c>
      <x:c r="L257" s="2" t="n">
        <x:v>9</x:v>
      </x:c>
      <x:c r="M257" s="2" t="n">
        <x:v>5</x:v>
      </x:c>
      <x:c r="N257" s="20" t="n">
        <x:v>0.2</x:v>
      </x:c>
      <x:c r="O257" s="20" t="n">
        <x:v>0.2</x:v>
      </x:c>
      <x:c r="P257" s="20" t="n">
        <x:v>0.75</x:v>
      </x:c>
      <x:c r="Q257" s="2" t="n">
        <x:v>30</x:v>
      </x:c>
      <x:c r="R257" s="2" t="str">
        <x:v>ISTJ</x:v>
      </x:c>
      <x:c r="S257" s="2" t="str">
        <x:v>华东</x:v>
      </x:c>
      <x:c r="T257" s="2" t="str">
        <x:v>商业服务岗位</x:v>
      </x:c>
    </x:row>
    <x:row r="258" ht="24" customHeight="1">
      <x:c r="A258" s="2" t="str">
        <x:v>D020_T04_C020_G075</x:v>
      </x:c>
      <x:c r="B258" s="2" t="str">
        <x:v>A0018</x:v>
      </x:c>
      <x:c r="C258" s="2" t="str">
        <x:v>inside</x:v>
      </x:c>
      <x:c r="D258" s="2" t="n">
        <x:v>4</x:v>
      </x:c>
      <x:c r="E258" s="2" t="n">
        <x:v>1</x:v>
      </x:c>
      <x:c r="F258" s="2" t="n">
        <x:v>6</x:v>
      </x:c>
      <x:c r="G258" s="2" t="str">
        <x:v>observed_post_release</x:v>
      </x:c>
      <x:c r="H258" s="2" t="n">
        <x:f>IF(AND(ISNUMBER(F258),F258&gt;=D258),1,0)</x:f>
        <x:v>1</x:v>
      </x:c>
      <x:c r="I258" s="2" t="n">
        <x:f>IF(AND(ISNUMBER(F258),F258&gt;D258),1,0)</x:f>
        <x:v>1</x:v>
      </x:c>
      <x:c r="J258" s="2" t="n">
        <x:f>IF(H258=1,F258-D258,"")</x:f>
        <x:v>2</x:v>
      </x:c>
      <x:c r="K258" s="2" t="n">
        <x:f>IF(H258=1,F258-E258,"")</x:f>
        <x:v>5</x:v>
      </x:c>
      <x:c r="L258" s="2" t="n">
        <x:v>9</x:v>
      </x:c>
      <x:c r="M258" s="2" t="n">
        <x:v>6</x:v>
      </x:c>
      <x:c r="N258" s="20" t="n">
        <x:v>0.2</x:v>
      </x:c>
      <x:c r="O258" s="20" t="n">
        <x:v>0.2</x:v>
      </x:c>
      <x:c r="P258" s="20" t="n">
        <x:v>0.75</x:v>
      </x:c>
      <x:c r="Q258" s="2" t="n">
        <x:v>60</x:v>
      </x:c>
      <x:c r="R258" s="2" t="str">
        <x:v>INTJ</x:v>
      </x:c>
      <x:c r="S258" s="2" t="str">
        <x:v>华南</x:v>
      </x:c>
      <x:c r="T258" s="2" t="str">
        <x:v>专业技术岗位</x:v>
      </x:c>
    </x:row>
    <x:row r="259" ht="24" customHeight="1">
      <x:c r="A259" s="2" t="str">
        <x:v>D020_T04_C020_G075</x:v>
      </x:c>
      <x:c r="B259" s="2" t="str">
        <x:v>A0023</x:v>
      </x:c>
      <x:c r="C259" s="2" t="str">
        <x:v>inside</x:v>
      </x:c>
      <x:c r="D259" s="2" t="n">
        <x:v>4</x:v>
      </x:c>
      <x:c r="E259" s="2" t="n">
        <x:v>1</x:v>
      </x:c>
      <x:c r="F259" s="2" t="n">
        <x:v>5</x:v>
      </x:c>
      <x:c r="G259" s="2" t="str">
        <x:v>observed_post_release</x:v>
      </x:c>
      <x:c r="H259" s="2" t="n">
        <x:f>IF(AND(ISNUMBER(F259),F259&gt;=D259),1,0)</x:f>
        <x:v>1</x:v>
      </x:c>
      <x:c r="I259" s="2" t="n">
        <x:f>IF(AND(ISNUMBER(F259),F259&gt;D259),1,0)</x:f>
        <x:v>1</x:v>
      </x:c>
      <x:c r="J259" s="2" t="n">
        <x:f>IF(H259=1,F259-D259,"")</x:f>
        <x:v>1</x:v>
      </x:c>
      <x:c r="K259" s="2" t="n">
        <x:f>IF(H259=1,F259-E259,"")</x:f>
        <x:v>4</x:v>
      </x:c>
      <x:c r="L259" s="2" t="n">
        <x:v>9</x:v>
      </x:c>
      <x:c r="M259" s="2" t="n">
        <x:v>5</x:v>
      </x:c>
      <x:c r="N259" s="20" t="n">
        <x:v>0.2</x:v>
      </x:c>
      <x:c r="O259" s="20" t="n">
        <x:v>0.2</x:v>
      </x:c>
      <x:c r="P259" s="20" t="n">
        <x:v>0.75</x:v>
      </x:c>
      <x:c r="Q259" s="2" t="n">
        <x:v>56</x:v>
      </x:c>
      <x:c r="R259" s="2" t="str">
        <x:v>INFP</x:v>
      </x:c>
      <x:c r="S259" s="2" t="str">
        <x:v>东北</x:v>
      </x:c>
      <x:c r="T259" s="2" t="str">
        <x:v>行政或办公室岗位</x:v>
      </x:c>
    </x:row>
    <x:row r="260" ht="24" customHeight="1">
      <x:c r="A260" s="2" t="str">
        <x:v>D020_T04_C020_G075</x:v>
      </x:c>
      <x:c r="B260" s="2" t="str">
        <x:v>A0025</x:v>
      </x:c>
      <x:c r="C260" s="2" t="str">
        <x:v>inside</x:v>
      </x:c>
      <x:c r="D260" s="2" t="n">
        <x:v>4</x:v>
      </x:c>
      <x:c r="E260" s="2" t="n">
        <x:v>1</x:v>
      </x:c>
      <x:c r="F260" s="2" t="n">
        <x:v>4</x:v>
      </x:c>
      <x:c r="G260" s="2" t="str">
        <x:v>observed_post_release</x:v>
      </x:c>
      <x:c r="H260" s="2" t="n">
        <x:f>IF(AND(ISNUMBER(F260),F260&gt;=D260),1,0)</x:f>
        <x:v>1</x:v>
      </x:c>
      <x:c r="I260" s="2" t="n">
        <x:f>IF(AND(ISNUMBER(F260),F260&gt;D260),1,0)</x:f>
        <x:v>0</x:v>
      </x:c>
      <x:c r="J260" s="2" t="n">
        <x:f>IF(H260=1,F260-D260,"")</x:f>
        <x:v>0</x:v>
      </x:c>
      <x:c r="K260" s="2" t="n">
        <x:f>IF(H260=1,F260-E260,"")</x:f>
        <x:v>3</x:v>
      </x:c>
      <x:c r="L260" s="2" t="n">
        <x:v>9</x:v>
      </x:c>
      <x:c r="M260" s="2" t="n">
        <x:v>4</x:v>
      </x:c>
      <x:c r="N260" s="20" t="n">
        <x:v>0.2</x:v>
      </x:c>
      <x:c r="O260" s="20" t="n">
        <x:v>0.2</x:v>
      </x:c>
      <x:c r="P260" s="20" t="n">
        <x:v>0.75</x:v>
      </x:c>
      <x:c r="Q260" s="2" t="n">
        <x:v>23</x:v>
      </x:c>
      <x:c r="R260" s="2" t="str">
        <x:v>ISTP</x:v>
      </x:c>
      <x:c r="S260" s="2" t="str">
        <x:v>华南</x:v>
      </x:c>
      <x:c r="T260" s="2" t="str">
        <x:v>行政或办公室岗位</x:v>
      </x:c>
    </x:row>
    <x:row r="261" ht="24" customHeight="1">
      <x:c r="A261" s="2" t="str">
        <x:v>D020_T04_C020_G075</x:v>
      </x:c>
      <x:c r="B261" s="2" t="str">
        <x:v>A0026</x:v>
      </x:c>
      <x:c r="C261" s="2" t="str">
        <x:v>inside</x:v>
      </x:c>
      <x:c r="D261" s="2" t="n">
        <x:v>4</x:v>
      </x:c>
      <x:c r="E261" s="2" t="n">
        <x:v>1</x:v>
      </x:c>
      <x:c r="F261" s="2" t="n">
        <x:v>4</x:v>
      </x:c>
      <x:c r="G261" s="2" t="str">
        <x:v>observed_post_release</x:v>
      </x:c>
      <x:c r="H261" s="2" t="n">
        <x:f>IF(AND(ISNUMBER(F261),F261&gt;=D261),1,0)</x:f>
        <x:v>1</x:v>
      </x:c>
      <x:c r="I261" s="2" t="n">
        <x:f>IF(AND(ISNUMBER(F261),F261&gt;D261),1,0)</x:f>
        <x:v>0</x:v>
      </x:c>
      <x:c r="J261" s="2" t="n">
        <x:f>IF(H261=1,F261-D261,"")</x:f>
        <x:v>0</x:v>
      </x:c>
      <x:c r="K261" s="2" t="n">
        <x:f>IF(H261=1,F261-E261,"")</x:f>
        <x:v>3</x:v>
      </x:c>
      <x:c r="L261" s="2" t="n">
        <x:v>9</x:v>
      </x:c>
      <x:c r="M261" s="2" t="n">
        <x:v>4</x:v>
      </x:c>
      <x:c r="N261" s="20" t="n">
        <x:v>0.2</x:v>
      </x:c>
      <x:c r="O261" s="20" t="n">
        <x:v>0.2</x:v>
      </x:c>
      <x:c r="P261" s="20" t="n">
        <x:v>0.75</x:v>
      </x:c>
      <x:c r="Q261" s="2" t="n">
        <x:v>36</x:v>
      </x:c>
      <x:c r="R261" s="2" t="str">
        <x:v>ISFP</x:v>
      </x:c>
      <x:c r="S261" s="2" t="str">
        <x:v>西北</x:v>
      </x:c>
      <x:c r="T261" s="2" t="str">
        <x:v>个体经营或自由职业</x:v>
      </x:c>
    </x:row>
    <x:row r="262" ht="24" customHeight="1">
      <x:c r="A262" s="2" t="str">
        <x:v>D020_T04_C020_G075</x:v>
      </x:c>
      <x:c r="B262" s="2" t="str">
        <x:v>A0032</x:v>
      </x:c>
      <x:c r="C262" s="2" t="str">
        <x:v>inside</x:v>
      </x:c>
      <x:c r="D262" s="2" t="n">
        <x:v>4</x:v>
      </x:c>
      <x:c r="E262" s="2" t="n">
        <x:v>1</x:v>
      </x:c>
      <x:c r="F262" s="2" t="n">
        <x:v>9</x:v>
      </x:c>
      <x:c r="G262" s="2" t="str">
        <x:v>observed_post_release</x:v>
      </x:c>
      <x:c r="H262" s="2" t="n">
        <x:f>IF(AND(ISNUMBER(F262),F262&gt;=D262),1,0)</x:f>
        <x:v>1</x:v>
      </x:c>
      <x:c r="I262" s="2" t="n">
        <x:f>IF(AND(ISNUMBER(F262),F262&gt;D262),1,0)</x:f>
        <x:v>1</x:v>
      </x:c>
      <x:c r="J262" s="2" t="n">
        <x:f>IF(H262=1,F262-D262,"")</x:f>
        <x:v>5</x:v>
      </x:c>
      <x:c r="K262" s="2" t="n">
        <x:f>IF(H262=1,F262-E262,"")</x:f>
        <x:v>8</x:v>
      </x:c>
      <x:c r="L262" s="2" t="n">
        <x:v>9</x:v>
      </x:c>
      <x:c r="M262" s="2" t="n">
        <x:v>4</x:v>
      </x:c>
      <x:c r="N262" s="20" t="n">
        <x:v>0.2</x:v>
      </x:c>
      <x:c r="O262" s="20" t="n">
        <x:v>0.2</x:v>
      </x:c>
      <x:c r="P262" s="20" t="n">
        <x:v>0.75</x:v>
      </x:c>
      <x:c r="Q262" s="2" t="n">
        <x:v>53</x:v>
      </x:c>
      <x:c r="R262" s="2" t="str">
        <x:v>INTP</x:v>
      </x:c>
      <x:c r="S262" s="2" t="str">
        <x:v>华北</x:v>
      </x:c>
      <x:c r="T262" s="2" t="str">
        <x:v>个体经营或自由职业</x:v>
      </x:c>
    </x:row>
    <x:row r="263" ht="24" customHeight="1">
      <x:c r="A263" s="2" t="str">
        <x:v>D020_T04_C020_G075</x:v>
      </x:c>
      <x:c r="B263" s="2" t="str">
        <x:v>A0033</x:v>
      </x:c>
      <x:c r="C263" s="2" t="str">
        <x:v>inside</x:v>
      </x:c>
      <x:c r="D263" s="2" t="n">
        <x:v>4</x:v>
      </x:c>
      <x:c r="E263" s="2" t="n">
        <x:v>1</x:v>
      </x:c>
      <x:c r="F263" s="2"/>
      <x:c r="G263" s="2" t="str">
        <x:v>right_censored</x:v>
      </x:c>
      <x:c r="H263" s="2" t="n">
        <x:f>IF(AND(ISNUMBER(F263),F263&gt;=D263),1,0)</x:f>
        <x:v>0</x:v>
      </x:c>
      <x:c r="I263" s="2" t="n">
        <x:f>IF(AND(ISNUMBER(F263),F263&gt;D263),1,0)</x:f>
        <x:v>0</x:v>
      </x:c>
      <x:c r="J263" s="2" t="str">
        <x:f>IF(H263=1,F263-D263,"")</x:f>
      </x:c>
      <x:c r="K263" s="2" t="str">
        <x:f>IF(H263=1,F263-E263,"")</x:f>
      </x:c>
      <x:c r="L263" s="2" t="n">
        <x:v>9</x:v>
      </x:c>
      <x:c r="M263" s="2"/>
      <x:c r="N263" s="20" t="n">
        <x:v>0.2</x:v>
      </x:c>
      <x:c r="O263" s="20" t="n">
        <x:v>0.2</x:v>
      </x:c>
      <x:c r="P263" s="20" t="n">
        <x:v>0.75</x:v>
      </x:c>
      <x:c r="Q263" s="2" t="n">
        <x:v>55</x:v>
      </x:c>
      <x:c r="R263" s="2" t="str">
        <x:v>ENFP</x:v>
      </x:c>
      <x:c r="S263" s="2" t="str">
        <x:v>华南</x:v>
      </x:c>
      <x:c r="T263" s="2" t="str">
        <x:v>个体经营或自由职业</x:v>
      </x:c>
    </x:row>
    <x:row r="264" ht="24" customHeight="1">
      <x:c r="A264" s="2" t="str">
        <x:v>D020_T04_C020_G075</x:v>
      </x:c>
      <x:c r="B264" s="2" t="str">
        <x:v>A0036</x:v>
      </x:c>
      <x:c r="C264" s="2" t="str">
        <x:v>inside</x:v>
      </x:c>
      <x:c r="D264" s="2" t="n">
        <x:v>4</x:v>
      </x:c>
      <x:c r="E264" s="2" t="n">
        <x:v>1</x:v>
      </x:c>
      <x:c r="F264" s="2" t="n">
        <x:v>5</x:v>
      </x:c>
      <x:c r="G264" s="2" t="str">
        <x:v>observed_post_release</x:v>
      </x:c>
      <x:c r="H264" s="2" t="n">
        <x:f>IF(AND(ISNUMBER(F264),F264&gt;=D264),1,0)</x:f>
        <x:v>1</x:v>
      </x:c>
      <x:c r="I264" s="2" t="n">
        <x:f>IF(AND(ISNUMBER(F264),F264&gt;D264),1,0)</x:f>
        <x:v>1</x:v>
      </x:c>
      <x:c r="J264" s="2" t="n">
        <x:f>IF(H264=1,F264-D264,"")</x:f>
        <x:v>1</x:v>
      </x:c>
      <x:c r="K264" s="2" t="n">
        <x:f>IF(H264=1,F264-E264,"")</x:f>
        <x:v>4</x:v>
      </x:c>
      <x:c r="L264" s="2" t="n">
        <x:v>9</x:v>
      </x:c>
      <x:c r="M264" s="2" t="n">
        <x:v>5</x:v>
      </x:c>
      <x:c r="N264" s="20" t="n">
        <x:v>0.2</x:v>
      </x:c>
      <x:c r="O264" s="20" t="n">
        <x:v>0.2</x:v>
      </x:c>
      <x:c r="P264" s="20" t="n">
        <x:v>0.75</x:v>
      </x:c>
      <x:c r="Q264" s="2" t="n">
        <x:v>43</x:v>
      </x:c>
      <x:c r="R264" s="2" t="str">
        <x:v>ISFJ</x:v>
      </x:c>
      <x:c r="S264" s="2" t="str">
        <x:v>华东</x:v>
      </x:c>
      <x:c r="T264" s="2" t="str">
        <x:v>生产运输或体力岗位</x:v>
      </x:c>
    </x:row>
    <x:row r="265" ht="24" customHeight="1">
      <x:c r="A265" s="2" t="str">
        <x:v>D020_T04_C080_G025</x:v>
      </x:c>
      <x:c r="B265" s="2" t="str">
        <x:v>A0006</x:v>
      </x:c>
      <x:c r="C265" s="2" t="str">
        <x:v>inside</x:v>
      </x:c>
      <x:c r="D265" s="2" t="n">
        <x:v>4</x:v>
      </x:c>
      <x:c r="E265" s="2" t="n">
        <x:v>6</x:v>
      </x:c>
      <x:c r="F265" s="2" t="n">
        <x:v>8</x:v>
      </x:c>
      <x:c r="G265" s="2" t="str">
        <x:v>observed_post_release</x:v>
      </x:c>
      <x:c r="H265" s="2" t="n">
        <x:f>IF(AND(ISNUMBER(F265),F265&gt;=D265),1,0)</x:f>
        <x:v>1</x:v>
      </x:c>
      <x:c r="I265" s="2" t="n">
        <x:f>IF(AND(ISNUMBER(F265),F265&gt;D265),1,0)</x:f>
        <x:v>1</x:v>
      </x:c>
      <x:c r="J265" s="2" t="n">
        <x:f>IF(H265=1,F265-D265,"")</x:f>
        <x:v>4</x:v>
      </x:c>
      <x:c r="K265" s="2" t="n">
        <x:f>IF(H265=1,F265-E265,"")</x:f>
        <x:v>2</x:v>
      </x:c>
      <x:c r="L265" s="2" t="n">
        <x:v>4</x:v>
      </x:c>
      <x:c r="M265" s="2" t="n">
        <x:v>8</x:v>
      </x:c>
      <x:c r="N265" s="20" t="n">
        <x:v>0.2</x:v>
      </x:c>
      <x:c r="O265" s="20" t="n">
        <x:v>0.8</x:v>
      </x:c>
      <x:c r="P265" s="20" t="n">
        <x:v>0.25</x:v>
      </x:c>
      <x:c r="Q265" s="2" t="n">
        <x:v>60</x:v>
      </x:c>
      <x:c r="R265" s="2" t="str">
        <x:v>ENFP</x:v>
      </x:c>
      <x:c r="S265" s="2" t="str">
        <x:v>华中</x:v>
      </x:c>
      <x:c r="T265" s="2" t="str">
        <x:v>行政或办公室岗位</x:v>
      </x:c>
    </x:row>
    <x:row r="266" ht="24" customHeight="1">
      <x:c r="A266" s="2" t="str">
        <x:v>D020_T04_C080_G025</x:v>
      </x:c>
      <x:c r="B266" s="2" t="str">
        <x:v>A0011</x:v>
      </x:c>
      <x:c r="C266" s="2" t="str">
        <x:v>inside</x:v>
      </x:c>
      <x:c r="D266" s="2" t="n">
        <x:v>4</x:v>
      </x:c>
      <x:c r="E266" s="2" t="n">
        <x:v>1</x:v>
      </x:c>
      <x:c r="F266" s="2"/>
      <x:c r="G266" s="2" t="str">
        <x:v>right_censored</x:v>
      </x:c>
      <x:c r="H266" s="2" t="n">
        <x:f>IF(AND(ISNUMBER(F266),F266&gt;=D266),1,0)</x:f>
        <x:v>0</x:v>
      </x:c>
      <x:c r="I266" s="2" t="n">
        <x:f>IF(AND(ISNUMBER(F266),F266&gt;D266),1,0)</x:f>
        <x:v>0</x:v>
      </x:c>
      <x:c r="J266" s="2" t="str">
        <x:f>IF(H266=1,F266-D266,"")</x:f>
      </x:c>
      <x:c r="K266" s="2" t="str">
        <x:f>IF(H266=1,F266-E266,"")</x:f>
      </x:c>
      <x:c r="L266" s="2" t="n">
        <x:v>9</x:v>
      </x:c>
      <x:c r="M266" s="2" t="n">
        <x:v>5</x:v>
      </x:c>
      <x:c r="N266" s="20" t="n">
        <x:v>0.2</x:v>
      </x:c>
      <x:c r="O266" s="20" t="n">
        <x:v>0.8</x:v>
      </x:c>
      <x:c r="P266" s="20" t="n">
        <x:v>0.25</x:v>
      </x:c>
      <x:c r="Q266" s="2" t="n">
        <x:v>42</x:v>
      </x:c>
      <x:c r="R266" s="2" t="str">
        <x:v>ENFJ</x:v>
      </x:c>
      <x:c r="S266" s="2" t="str">
        <x:v>西南</x:v>
      </x:c>
      <x:c r="T266" s="2" t="str">
        <x:v>行政或办公室岗位</x:v>
      </x:c>
    </x:row>
    <x:row r="267" ht="24" customHeight="1">
      <x:c r="A267" s="2" t="str">
        <x:v>D020_T04_C080_G025</x:v>
      </x:c>
      <x:c r="B267" s="2" t="str">
        <x:v>A0012</x:v>
      </x:c>
      <x:c r="C267" s="2" t="str">
        <x:v>inside</x:v>
      </x:c>
      <x:c r="D267" s="2" t="n">
        <x:v>4</x:v>
      </x:c>
      <x:c r="E267" s="2" t="n">
        <x:v>1</x:v>
      </x:c>
      <x:c r="F267" s="2"/>
      <x:c r="G267" s="2" t="str">
        <x:v>right_censored</x:v>
      </x:c>
      <x:c r="H267" s="2" t="n">
        <x:f>IF(AND(ISNUMBER(F267),F267&gt;=D267),1,0)</x:f>
        <x:v>0</x:v>
      </x:c>
      <x:c r="I267" s="2" t="n">
        <x:f>IF(AND(ISNUMBER(F267),F267&gt;D267),1,0)</x:f>
        <x:v>0</x:v>
      </x:c>
      <x:c r="J267" s="2" t="str">
        <x:f>IF(H267=1,F267-D267,"")</x:f>
      </x:c>
      <x:c r="K267" s="2" t="str">
        <x:f>IF(H267=1,F267-E267,"")</x:f>
      </x:c>
      <x:c r="L267" s="2" t="n">
        <x:v>9</x:v>
      </x:c>
      <x:c r="M267" s="2" t="n">
        <x:v>4</x:v>
      </x:c>
      <x:c r="N267" s="20" t="n">
        <x:v>0.2</x:v>
      </x:c>
      <x:c r="O267" s="20" t="n">
        <x:v>0.8</x:v>
      </x:c>
      <x:c r="P267" s="20" t="n">
        <x:v>0.25</x:v>
      </x:c>
      <x:c r="Q267" s="2" t="n">
        <x:v>38</x:v>
      </x:c>
      <x:c r="R267" s="2" t="str">
        <x:v>ESFP</x:v>
      </x:c>
      <x:c r="S267" s="2" t="str">
        <x:v>华中</x:v>
      </x:c>
      <x:c r="T267" s="2" t="str">
        <x:v>行政或办公室岗位</x:v>
      </x:c>
    </x:row>
    <x:row r="268" ht="24" customHeight="1">
      <x:c r="A268" s="2" t="str">
        <x:v>D020_T04_C080_G025</x:v>
      </x:c>
      <x:c r="B268" s="2" t="str">
        <x:v>A0016</x:v>
      </x:c>
      <x:c r="C268" s="2" t="str">
        <x:v>inside</x:v>
      </x:c>
      <x:c r="D268" s="2" t="n">
        <x:v>4</x:v>
      </x:c>
      <x:c r="E268" s="2" t="n">
        <x:v>1</x:v>
      </x:c>
      <x:c r="F268" s="2" t="n">
        <x:v>6</x:v>
      </x:c>
      <x:c r="G268" s="2" t="str">
        <x:v>observed_post_release</x:v>
      </x:c>
      <x:c r="H268" s="2" t="n">
        <x:f>IF(AND(ISNUMBER(F268),F268&gt;=D268),1,0)</x:f>
        <x:v>1</x:v>
      </x:c>
      <x:c r="I268" s="2" t="n">
        <x:f>IF(AND(ISNUMBER(F268),F268&gt;D268),1,0)</x:f>
        <x:v>1</x:v>
      </x:c>
      <x:c r="J268" s="2" t="n">
        <x:f>IF(H268=1,F268-D268,"")</x:f>
        <x:v>2</x:v>
      </x:c>
      <x:c r="K268" s="2" t="n">
        <x:f>IF(H268=1,F268-E268,"")</x:f>
        <x:v>5</x:v>
      </x:c>
      <x:c r="L268" s="2" t="n">
        <x:v>9</x:v>
      </x:c>
      <x:c r="M268" s="2" t="n">
        <x:v>4</x:v>
      </x:c>
      <x:c r="N268" s="20" t="n">
        <x:v>0.2</x:v>
      </x:c>
      <x:c r="O268" s="20" t="n">
        <x:v>0.8</x:v>
      </x:c>
      <x:c r="P268" s="20" t="n">
        <x:v>0.25</x:v>
      </x:c>
      <x:c r="Q268" s="2" t="n">
        <x:v>60</x:v>
      </x:c>
      <x:c r="R268" s="2" t="str">
        <x:v>ESFJ</x:v>
      </x:c>
      <x:c r="S268" s="2" t="str">
        <x:v>华北</x:v>
      </x:c>
      <x:c r="T268" s="2" t="str">
        <x:v>个体经营或自由职业</x:v>
      </x:c>
    </x:row>
    <x:row r="269" ht="24" customHeight="1">
      <x:c r="A269" s="2" t="str">
        <x:v>D020_T04_C080_G025</x:v>
      </x:c>
      <x:c r="B269" s="2" t="str">
        <x:v>A0017</x:v>
      </x:c>
      <x:c r="C269" s="2" t="str">
        <x:v>inside</x:v>
      </x:c>
      <x:c r="D269" s="2" t="n">
        <x:v>4</x:v>
      </x:c>
      <x:c r="E269" s="2" t="n">
        <x:v>5</x:v>
      </x:c>
      <x:c r="F269" s="2"/>
      <x:c r="G269" s="2" t="str">
        <x:v>right_censored</x:v>
      </x:c>
      <x:c r="H269" s="2" t="n">
        <x:f>IF(AND(ISNUMBER(F269),F269&gt;=D269),1,0)</x:f>
        <x:v>0</x:v>
      </x:c>
      <x:c r="I269" s="2" t="n">
        <x:f>IF(AND(ISNUMBER(F269),F269&gt;D269),1,0)</x:f>
        <x:v>0</x:v>
      </x:c>
      <x:c r="J269" s="2" t="str">
        <x:f>IF(H269=1,F269-D269,"")</x:f>
      </x:c>
      <x:c r="K269" s="2" t="str">
        <x:f>IF(H269=1,F269-E269,"")</x:f>
      </x:c>
      <x:c r="L269" s="2" t="n">
        <x:v>5</x:v>
      </x:c>
      <x:c r="M269" s="2"/>
      <x:c r="N269" s="20" t="n">
        <x:v>0.2</x:v>
      </x:c>
      <x:c r="O269" s="20" t="n">
        <x:v>0.8</x:v>
      </x:c>
      <x:c r="P269" s="20" t="n">
        <x:v>0.25</x:v>
      </x:c>
      <x:c r="Q269" s="2" t="n">
        <x:v>30</x:v>
      </x:c>
      <x:c r="R269" s="2" t="str">
        <x:v>ISTJ</x:v>
      </x:c>
      <x:c r="S269" s="2" t="str">
        <x:v>华东</x:v>
      </x:c>
      <x:c r="T269" s="2" t="str">
        <x:v>商业服务岗位</x:v>
      </x:c>
    </x:row>
    <x:row r="270" ht="24" customHeight="1">
      <x:c r="A270" s="2" t="str">
        <x:v>D020_T04_C080_G025</x:v>
      </x:c>
      <x:c r="B270" s="2" t="str">
        <x:v>A0018</x:v>
      </x:c>
      <x:c r="C270" s="2" t="str">
        <x:v>inside</x:v>
      </x:c>
      <x:c r="D270" s="2" t="n">
        <x:v>4</x:v>
      </x:c>
      <x:c r="E270" s="2" t="n">
        <x:v>1</x:v>
      </x:c>
      <x:c r="F270" s="2" t="n">
        <x:v>7</x:v>
      </x:c>
      <x:c r="G270" s="2" t="str">
        <x:v>observed_post_release</x:v>
      </x:c>
      <x:c r="H270" s="2" t="n">
        <x:f>IF(AND(ISNUMBER(F270),F270&gt;=D270),1,0)</x:f>
        <x:v>1</x:v>
      </x:c>
      <x:c r="I270" s="2" t="n">
        <x:f>IF(AND(ISNUMBER(F270),F270&gt;D270),1,0)</x:f>
        <x:v>1</x:v>
      </x:c>
      <x:c r="J270" s="2" t="n">
        <x:f>IF(H270=1,F270-D270,"")</x:f>
        <x:v>3</x:v>
      </x:c>
      <x:c r="K270" s="2" t="n">
        <x:f>IF(H270=1,F270-E270,"")</x:f>
        <x:v>6</x:v>
      </x:c>
      <x:c r="L270" s="2" t="n">
        <x:v>9</x:v>
      </x:c>
      <x:c r="M270" s="2" t="n">
        <x:v>4</x:v>
      </x:c>
      <x:c r="N270" s="20" t="n">
        <x:v>0.2</x:v>
      </x:c>
      <x:c r="O270" s="20" t="n">
        <x:v>0.8</x:v>
      </x:c>
      <x:c r="P270" s="20" t="n">
        <x:v>0.25</x:v>
      </x:c>
      <x:c r="Q270" s="2" t="n">
        <x:v>60</x:v>
      </x:c>
      <x:c r="R270" s="2" t="str">
        <x:v>INTJ</x:v>
      </x:c>
      <x:c r="S270" s="2" t="str">
        <x:v>华南</x:v>
      </x:c>
      <x:c r="T270" s="2" t="str">
        <x:v>专业技术岗位</x:v>
      </x:c>
    </x:row>
    <x:row r="271" ht="24" customHeight="1">
      <x:c r="A271" s="2" t="str">
        <x:v>D020_T04_C080_G025</x:v>
      </x:c>
      <x:c r="B271" s="2" t="str">
        <x:v>A0019</x:v>
      </x:c>
      <x:c r="C271" s="2" t="str">
        <x:v>inside</x:v>
      </x:c>
      <x:c r="D271" s="2" t="n">
        <x:v>4</x:v>
      </x:c>
      <x:c r="E271" s="2" t="n">
        <x:v>1</x:v>
      </x:c>
      <x:c r="F271" s="2" t="n">
        <x:v>4</x:v>
      </x:c>
      <x:c r="G271" s="2" t="str">
        <x:v>observed_post_release</x:v>
      </x:c>
      <x:c r="H271" s="2" t="n">
        <x:f>IF(AND(ISNUMBER(F271),F271&gt;=D271),1,0)</x:f>
        <x:v>1</x:v>
      </x:c>
      <x:c r="I271" s="2" t="n">
        <x:f>IF(AND(ISNUMBER(F271),F271&gt;D271),1,0)</x:f>
        <x:v>0</x:v>
      </x:c>
      <x:c r="J271" s="2" t="n">
        <x:f>IF(H271=1,F271-D271,"")</x:f>
        <x:v>0</x:v>
      </x:c>
      <x:c r="K271" s="2" t="n">
        <x:f>IF(H271=1,F271-E271,"")</x:f>
        <x:v>3</x:v>
      </x:c>
      <x:c r="L271" s="2" t="n">
        <x:v>9</x:v>
      </x:c>
      <x:c r="M271" s="2" t="n">
        <x:v>4</x:v>
      </x:c>
      <x:c r="N271" s="20" t="n">
        <x:v>0.2</x:v>
      </x:c>
      <x:c r="O271" s="20" t="n">
        <x:v>0.8</x:v>
      </x:c>
      <x:c r="P271" s="20" t="n">
        <x:v>0.25</x:v>
      </x:c>
      <x:c r="Q271" s="2" t="n">
        <x:v>19</x:v>
      </x:c>
      <x:c r="R271" s="2" t="str">
        <x:v>INTJ</x:v>
      </x:c>
      <x:c r="S271" s="2" t="str">
        <x:v>西南</x:v>
      </x:c>
      <x:c r="T271" s="2" t="str">
        <x:v>行政或办公室岗位</x:v>
      </x:c>
    </x:row>
    <x:row r="272" ht="24" customHeight="1">
      <x:c r="A272" s="2" t="str">
        <x:v>D020_T04_C080_G025</x:v>
      </x:c>
      <x:c r="B272" s="2" t="str">
        <x:v>A0024</x:v>
      </x:c>
      <x:c r="C272" s="2" t="str">
        <x:v>inside</x:v>
      </x:c>
      <x:c r="D272" s="2" t="n">
        <x:v>4</x:v>
      </x:c>
      <x:c r="E272" s="2" t="n">
        <x:v>1</x:v>
      </x:c>
      <x:c r="F272" s="2" t="n">
        <x:v>5</x:v>
      </x:c>
      <x:c r="G272" s="2" t="str">
        <x:v>observed_post_release</x:v>
      </x:c>
      <x:c r="H272" s="2" t="n">
        <x:f>IF(AND(ISNUMBER(F272),F272&gt;=D272),1,0)</x:f>
        <x:v>1</x:v>
      </x:c>
      <x:c r="I272" s="2" t="n">
        <x:f>IF(AND(ISNUMBER(F272),F272&gt;D272),1,0)</x:f>
        <x:v>1</x:v>
      </x:c>
      <x:c r="J272" s="2" t="n">
        <x:f>IF(H272=1,F272-D272,"")</x:f>
        <x:v>1</x:v>
      </x:c>
      <x:c r="K272" s="2" t="n">
        <x:f>IF(H272=1,F272-E272,"")</x:f>
        <x:v>4</x:v>
      </x:c>
      <x:c r="L272" s="2" t="n">
        <x:v>9</x:v>
      </x:c>
      <x:c r="M272" s="2" t="n">
        <x:v>4</x:v>
      </x:c>
      <x:c r="N272" s="20" t="n">
        <x:v>0.2</x:v>
      </x:c>
      <x:c r="O272" s="20" t="n">
        <x:v>0.8</x:v>
      </x:c>
      <x:c r="P272" s="20" t="n">
        <x:v>0.25</x:v>
      </x:c>
      <x:c r="Q272" s="2" t="n">
        <x:v>31</x:v>
      </x:c>
      <x:c r="R272" s="2" t="str">
        <x:v>ESTP</x:v>
      </x:c>
      <x:c r="S272" s="2" t="str">
        <x:v>华北</x:v>
      </x:c>
      <x:c r="T272" s="2" t="str">
        <x:v>商业服务岗位</x:v>
      </x:c>
    </x:row>
    <x:row r="273" ht="24" customHeight="1">
      <x:c r="A273" s="2" t="str">
        <x:v>D020_T04_C080_G025</x:v>
      </x:c>
      <x:c r="B273" s="2" t="str">
        <x:v>A0025</x:v>
      </x:c>
      <x:c r="C273" s="2" t="str">
        <x:v>inside</x:v>
      </x:c>
      <x:c r="D273" s="2" t="n">
        <x:v>4</x:v>
      </x:c>
      <x:c r="E273" s="2" t="n">
        <x:v>1</x:v>
      </x:c>
      <x:c r="F273" s="2" t="n">
        <x:v>8</x:v>
      </x:c>
      <x:c r="G273" s="2" t="str">
        <x:v>observed_post_release</x:v>
      </x:c>
      <x:c r="H273" s="2" t="n">
        <x:f>IF(AND(ISNUMBER(F273),F273&gt;=D273),1,0)</x:f>
        <x:v>1</x:v>
      </x:c>
      <x:c r="I273" s="2" t="n">
        <x:f>IF(AND(ISNUMBER(F273),F273&gt;D273),1,0)</x:f>
        <x:v>1</x:v>
      </x:c>
      <x:c r="J273" s="2" t="n">
        <x:f>IF(H273=1,F273-D273,"")</x:f>
        <x:v>4</x:v>
      </x:c>
      <x:c r="K273" s="2" t="n">
        <x:f>IF(H273=1,F273-E273,"")</x:f>
        <x:v>7</x:v>
      </x:c>
      <x:c r="L273" s="2" t="n">
        <x:v>9</x:v>
      </x:c>
      <x:c r="M273" s="2" t="n">
        <x:v>4</x:v>
      </x:c>
      <x:c r="N273" s="20" t="n">
        <x:v>0.2</x:v>
      </x:c>
      <x:c r="O273" s="20" t="n">
        <x:v>0.8</x:v>
      </x:c>
      <x:c r="P273" s="20" t="n">
        <x:v>0.25</x:v>
      </x:c>
      <x:c r="Q273" s="2" t="n">
        <x:v>23</x:v>
      </x:c>
      <x:c r="R273" s="2" t="str">
        <x:v>ISTP</x:v>
      </x:c>
      <x:c r="S273" s="2" t="str">
        <x:v>华南</x:v>
      </x:c>
      <x:c r="T273" s="2" t="str">
        <x:v>行政或办公室岗位</x:v>
      </x:c>
    </x:row>
    <x:row r="274" ht="24" customHeight="1">
      <x:c r="A274" s="2" t="str">
        <x:v>D020_T04_C080_G025</x:v>
      </x:c>
      <x:c r="B274" s="2" t="str">
        <x:v>A0027</x:v>
      </x:c>
      <x:c r="C274" s="2" t="str">
        <x:v>inside</x:v>
      </x:c>
      <x:c r="D274" s="2" t="n">
        <x:v>4</x:v>
      </x:c>
      <x:c r="E274" s="2" t="n">
        <x:v>1</x:v>
      </x:c>
      <x:c r="F274" s="2"/>
      <x:c r="G274" s="2" t="str">
        <x:v>right_censored</x:v>
      </x:c>
      <x:c r="H274" s="2" t="n">
        <x:f>IF(AND(ISNUMBER(F274),F274&gt;=D274),1,0)</x:f>
        <x:v>0</x:v>
      </x:c>
      <x:c r="I274" s="2" t="n">
        <x:f>IF(AND(ISNUMBER(F274),F274&gt;D274),1,0)</x:f>
        <x:v>0</x:v>
      </x:c>
      <x:c r="J274" s="2" t="str">
        <x:f>IF(H274=1,F274-D274,"")</x:f>
      </x:c>
      <x:c r="K274" s="2" t="str">
        <x:f>IF(H274=1,F274-E274,"")</x:f>
      </x:c>
      <x:c r="L274" s="2" t="n">
        <x:v>9</x:v>
      </x:c>
      <x:c r="M274" s="2" t="n">
        <x:v>4</x:v>
      </x:c>
      <x:c r="N274" s="20" t="n">
        <x:v>0.2</x:v>
      </x:c>
      <x:c r="O274" s="20" t="n">
        <x:v>0.8</x:v>
      </x:c>
      <x:c r="P274" s="20" t="n">
        <x:v>0.25</x:v>
      </x:c>
      <x:c r="Q274" s="2" t="n">
        <x:v>25</x:v>
      </x:c>
      <x:c r="R274" s="2" t="str">
        <x:v>ESFP</x:v>
      </x:c>
      <x:c r="S274" s="2" t="str">
        <x:v>西北</x:v>
      </x:c>
      <x:c r="T274" s="2" t="str">
        <x:v>暂未就业或家庭照料</x:v>
      </x:c>
    </x:row>
    <x:row r="275" ht="24" customHeight="1">
      <x:c r="A275" s="2" t="str">
        <x:v>D020_T04_C080_G025</x:v>
      </x:c>
      <x:c r="B275" s="2" t="str">
        <x:v>A0029</x:v>
      </x:c>
      <x:c r="C275" s="2" t="str">
        <x:v>inside</x:v>
      </x:c>
      <x:c r="D275" s="2" t="n">
        <x:v>4</x:v>
      </x:c>
      <x:c r="E275" s="2" t="n">
        <x:v>3</x:v>
      </x:c>
      <x:c r="F275" s="2" t="n">
        <x:v>4</x:v>
      </x:c>
      <x:c r="G275" s="2" t="str">
        <x:v>observed_post_release</x:v>
      </x:c>
      <x:c r="H275" s="2" t="n">
        <x:f>IF(AND(ISNUMBER(F275),F275&gt;=D275),1,0)</x:f>
        <x:v>1</x:v>
      </x:c>
      <x:c r="I275" s="2" t="n">
        <x:f>IF(AND(ISNUMBER(F275),F275&gt;D275),1,0)</x:f>
        <x:v>0</x:v>
      </x:c>
      <x:c r="J275" s="2" t="n">
        <x:f>IF(H275=1,F275-D275,"")</x:f>
        <x:v>0</x:v>
      </x:c>
      <x:c r="K275" s="2" t="n">
        <x:f>IF(H275=1,F275-E275,"")</x:f>
        <x:v>1</x:v>
      </x:c>
      <x:c r="L275" s="2" t="n">
        <x:v>7</x:v>
      </x:c>
      <x:c r="M275" s="2" t="n">
        <x:v>4</x:v>
      </x:c>
      <x:c r="N275" s="20" t="n">
        <x:v>0.2</x:v>
      </x:c>
      <x:c r="O275" s="20" t="n">
        <x:v>0.8</x:v>
      </x:c>
      <x:c r="P275" s="20" t="n">
        <x:v>0.25</x:v>
      </x:c>
      <x:c r="Q275" s="2" t="n">
        <x:v>69</x:v>
      </x:c>
      <x:c r="R275" s="2" t="str">
        <x:v>ENTP</x:v>
      </x:c>
      <x:c r="S275" s="2" t="str">
        <x:v>华东</x:v>
      </x:c>
      <x:c r="T275" s="2" t="str">
        <x:v>退休人员</x:v>
      </x:c>
    </x:row>
    <x:row r="276" ht="24" customHeight="1">
      <x:c r="A276" s="2" t="str">
        <x:v>D020_T04_C080_G025</x:v>
      </x:c>
      <x:c r="B276" s="2" t="str">
        <x:v>A0032</x:v>
      </x:c>
      <x:c r="C276" s="2" t="str">
        <x:v>inside</x:v>
      </x:c>
      <x:c r="D276" s="2" t="n">
        <x:v>4</x:v>
      </x:c>
      <x:c r="E276" s="2" t="n">
        <x:v>1</x:v>
      </x:c>
      <x:c r="F276" s="2"/>
      <x:c r="G276" s="2" t="str">
        <x:v>right_censored</x:v>
      </x:c>
      <x:c r="H276" s="2" t="n">
        <x:f>IF(AND(ISNUMBER(F276),F276&gt;=D276),1,0)</x:f>
        <x:v>0</x:v>
      </x:c>
      <x:c r="I276" s="2" t="n">
        <x:f>IF(AND(ISNUMBER(F276),F276&gt;D276),1,0)</x:f>
        <x:v>0</x:v>
      </x:c>
      <x:c r="J276" s="2" t="str">
        <x:f>IF(H276=1,F276-D276,"")</x:f>
      </x:c>
      <x:c r="K276" s="2" t="str">
        <x:f>IF(H276=1,F276-E276,"")</x:f>
      </x:c>
      <x:c r="L276" s="2" t="n">
        <x:v>9</x:v>
      </x:c>
      <x:c r="M276" s="2" t="n">
        <x:v>4</x:v>
      </x:c>
      <x:c r="N276" s="20" t="n">
        <x:v>0.2</x:v>
      </x:c>
      <x:c r="O276" s="20" t="n">
        <x:v>0.8</x:v>
      </x:c>
      <x:c r="P276" s="20" t="n">
        <x:v>0.25</x:v>
      </x:c>
      <x:c r="Q276" s="2" t="n">
        <x:v>53</x:v>
      </x:c>
      <x:c r="R276" s="2" t="str">
        <x:v>INTP</x:v>
      </x:c>
      <x:c r="S276" s="2" t="str">
        <x:v>华北</x:v>
      </x:c>
      <x:c r="T276" s="2" t="str">
        <x:v>个体经营或自由职业</x:v>
      </x:c>
    </x:row>
    <x:row r="277" ht="24" customHeight="1">
      <x:c r="A277" s="2" t="str">
        <x:v>D020_T04_C080_G025</x:v>
      </x:c>
      <x:c r="B277" s="2" t="str">
        <x:v>A0033</x:v>
      </x:c>
      <x:c r="C277" s="2" t="str">
        <x:v>inside</x:v>
      </x:c>
      <x:c r="D277" s="2" t="n">
        <x:v>4</x:v>
      </x:c>
      <x:c r="E277" s="2" t="n">
        <x:v>1</x:v>
      </x:c>
      <x:c r="F277" s="2" t="n">
        <x:v>5</x:v>
      </x:c>
      <x:c r="G277" s="2" t="str">
        <x:v>observed_post_release</x:v>
      </x:c>
      <x:c r="H277" s="2" t="n">
        <x:f>IF(AND(ISNUMBER(F277),F277&gt;=D277),1,0)</x:f>
        <x:v>1</x:v>
      </x:c>
      <x:c r="I277" s="2" t="n">
        <x:f>IF(AND(ISNUMBER(F277),F277&gt;D277),1,0)</x:f>
        <x:v>1</x:v>
      </x:c>
      <x:c r="J277" s="2" t="n">
        <x:f>IF(H277=1,F277-D277,"")</x:f>
        <x:v>1</x:v>
      </x:c>
      <x:c r="K277" s="2" t="n">
        <x:f>IF(H277=1,F277-E277,"")</x:f>
        <x:v>4</x:v>
      </x:c>
      <x:c r="L277" s="2" t="n">
        <x:v>9</x:v>
      </x:c>
      <x:c r="M277" s="2" t="n">
        <x:v>4</x:v>
      </x:c>
      <x:c r="N277" s="20" t="n">
        <x:v>0.2</x:v>
      </x:c>
      <x:c r="O277" s="20" t="n">
        <x:v>0.8</x:v>
      </x:c>
      <x:c r="P277" s="20" t="n">
        <x:v>0.25</x:v>
      </x:c>
      <x:c r="Q277" s="2" t="n">
        <x:v>55</x:v>
      </x:c>
      <x:c r="R277" s="2" t="str">
        <x:v>ENFP</x:v>
      </x:c>
      <x:c r="S277" s="2" t="str">
        <x:v>华南</x:v>
      </x:c>
      <x:c r="T277" s="2" t="str">
        <x:v>个体经营或自由职业</x:v>
      </x:c>
    </x:row>
    <x:row r="278" ht="24" customHeight="1">
      <x:c r="A278" s="2" t="str">
        <x:v>D020_T04_C080_G025</x:v>
      </x:c>
      <x:c r="B278" s="2" t="str">
        <x:v>A0036</x:v>
      </x:c>
      <x:c r="C278" s="2" t="str">
        <x:v>inside</x:v>
      </x:c>
      <x:c r="D278" s="2" t="n">
        <x:v>4</x:v>
      </x:c>
      <x:c r="E278" s="2" t="n">
        <x:v>1</x:v>
      </x:c>
      <x:c r="F278" s="2" t="n">
        <x:v>4</x:v>
      </x:c>
      <x:c r="G278" s="2" t="str">
        <x:v>observed_post_release</x:v>
      </x:c>
      <x:c r="H278" s="2" t="n">
        <x:f>IF(AND(ISNUMBER(F278),F278&gt;=D278),1,0)</x:f>
        <x:v>1</x:v>
      </x:c>
      <x:c r="I278" s="2" t="n">
        <x:f>IF(AND(ISNUMBER(F278),F278&gt;D278),1,0)</x:f>
        <x:v>0</x:v>
      </x:c>
      <x:c r="J278" s="2" t="n">
        <x:f>IF(H278=1,F278-D278,"")</x:f>
        <x:v>0</x:v>
      </x:c>
      <x:c r="K278" s="2" t="n">
        <x:f>IF(H278=1,F278-E278,"")</x:f>
        <x:v>3</x:v>
      </x:c>
      <x:c r="L278" s="2" t="n">
        <x:v>9</x:v>
      </x:c>
      <x:c r="M278" s="2" t="n">
        <x:v>4</x:v>
      </x:c>
      <x:c r="N278" s="20" t="n">
        <x:v>0.2</x:v>
      </x:c>
      <x:c r="O278" s="20" t="n">
        <x:v>0.8</x:v>
      </x:c>
      <x:c r="P278" s="20" t="n">
        <x:v>0.25</x:v>
      </x:c>
      <x:c r="Q278" s="2" t="n">
        <x:v>43</x:v>
      </x:c>
      <x:c r="R278" s="2" t="str">
        <x:v>ISFJ</x:v>
      </x:c>
      <x:c r="S278" s="2" t="str">
        <x:v>华东</x:v>
      </x:c>
      <x:c r="T278" s="2" t="str">
        <x:v>生产运输或体力岗位</x:v>
      </x:c>
    </x:row>
    <x:row r="279" ht="24" customHeight="1">
      <x:c r="A279" s="2" t="str">
        <x:v>D020_T04_C080_G025</x:v>
      </x:c>
      <x:c r="B279" s="2" t="str">
        <x:v>A0038</x:v>
      </x:c>
      <x:c r="C279" s="2" t="str">
        <x:v>inside</x:v>
      </x:c>
      <x:c r="D279" s="2" t="n">
        <x:v>4</x:v>
      </x:c>
      <x:c r="E279" s="2" t="n">
        <x:v>1</x:v>
      </x:c>
      <x:c r="F279" s="2" t="n">
        <x:v>6</x:v>
      </x:c>
      <x:c r="G279" s="2" t="str">
        <x:v>observed_post_release</x:v>
      </x:c>
      <x:c r="H279" s="2" t="n">
        <x:f>IF(AND(ISNUMBER(F279),F279&gt;=D279),1,0)</x:f>
        <x:v>1</x:v>
      </x:c>
      <x:c r="I279" s="2" t="n">
        <x:f>IF(AND(ISNUMBER(F279),F279&gt;D279),1,0)</x:f>
        <x:v>1</x:v>
      </x:c>
      <x:c r="J279" s="2" t="n">
        <x:f>IF(H279=1,F279-D279,"")</x:f>
        <x:v>2</x:v>
      </x:c>
      <x:c r="K279" s="2" t="n">
        <x:f>IF(H279=1,F279-E279,"")</x:f>
        <x:v>5</x:v>
      </x:c>
      <x:c r="L279" s="2" t="n">
        <x:v>9</x:v>
      </x:c>
      <x:c r="M279" s="2" t="n">
        <x:v>4</x:v>
      </x:c>
      <x:c r="N279" s="20" t="n">
        <x:v>0.2</x:v>
      </x:c>
      <x:c r="O279" s="20" t="n">
        <x:v>0.8</x:v>
      </x:c>
      <x:c r="P279" s="20" t="n">
        <x:v>0.25</x:v>
      </x:c>
      <x:c r="Q279" s="2" t="n">
        <x:v>46</x:v>
      </x:c>
      <x:c r="R279" s="2" t="str">
        <x:v>ISTP</x:v>
      </x:c>
      <x:c r="S279" s="2" t="str">
        <x:v>华东</x:v>
      </x:c>
      <x:c r="T279" s="2" t="str">
        <x:v>行政或办公室岗位</x:v>
      </x:c>
    </x:row>
    <x:row r="280" ht="24" customHeight="1">
      <x:c r="A280" s="2" t="str">
        <x:v>D020_T04_C080_G025</x:v>
      </x:c>
      <x:c r="B280" s="2" t="str">
        <x:v>A0040</x:v>
      </x:c>
      <x:c r="C280" s="2" t="str">
        <x:v>inside</x:v>
      </x:c>
      <x:c r="D280" s="2" t="n">
        <x:v>4</x:v>
      </x:c>
      <x:c r="E280" s="2" t="n">
        <x:v>1</x:v>
      </x:c>
      <x:c r="F280" s="2" t="n">
        <x:v>10</x:v>
      </x:c>
      <x:c r="G280" s="2" t="str">
        <x:v>observed_post_release</x:v>
      </x:c>
      <x:c r="H280" s="2" t="n">
        <x:f>IF(AND(ISNUMBER(F280),F280&gt;=D280),1,0)</x:f>
        <x:v>1</x:v>
      </x:c>
      <x:c r="I280" s="2" t="n">
        <x:f>IF(AND(ISNUMBER(F280),F280&gt;D280),1,0)</x:f>
        <x:v>1</x:v>
      </x:c>
      <x:c r="J280" s="2" t="n">
        <x:f>IF(H280=1,F280-D280,"")</x:f>
        <x:v>6</x:v>
      </x:c>
      <x:c r="K280" s="2" t="n">
        <x:f>IF(H280=1,F280-E280,"")</x:f>
        <x:v>9</x:v>
      </x:c>
      <x:c r="L280" s="2" t="n">
        <x:v>9</x:v>
      </x:c>
      <x:c r="M280" s="2" t="n">
        <x:v>4</x:v>
      </x:c>
      <x:c r="N280" s="20" t="n">
        <x:v>0.2</x:v>
      </x:c>
      <x:c r="O280" s="20" t="n">
        <x:v>0.8</x:v>
      </x:c>
      <x:c r="P280" s="20" t="n">
        <x:v>0.25</x:v>
      </x:c>
      <x:c r="Q280" s="2" t="n">
        <x:v>48</x:v>
      </x:c>
      <x:c r="R280" s="2" t="str">
        <x:v>INFP</x:v>
      </x:c>
      <x:c r="S280" s="2" t="str">
        <x:v>西北</x:v>
      </x:c>
      <x:c r="T280" s="2" t="str">
        <x:v>个体经营或自由职业</x:v>
      </x:c>
    </x:row>
    <x:row r="281" ht="24" customHeight="1">
      <x:c r="A281" s="2" t="str">
        <x:v>D020_T04_C080_G025</x:v>
      </x:c>
      <x:c r="B281" s="2" t="str">
        <x:v>A0041</x:v>
      </x:c>
      <x:c r="C281" s="2" t="str">
        <x:v>inside</x:v>
      </x:c>
      <x:c r="D281" s="2" t="n">
        <x:v>4</x:v>
      </x:c>
      <x:c r="E281" s="2" t="n">
        <x:v>1</x:v>
      </x:c>
      <x:c r="F281" s="2" t="n">
        <x:v>5</x:v>
      </x:c>
      <x:c r="G281" s="2" t="str">
        <x:v>observed_post_release</x:v>
      </x:c>
      <x:c r="H281" s="2" t="n">
        <x:f>IF(AND(ISNUMBER(F281),F281&gt;=D281),1,0)</x:f>
        <x:v>1</x:v>
      </x:c>
      <x:c r="I281" s="2" t="n">
        <x:f>IF(AND(ISNUMBER(F281),F281&gt;D281),1,0)</x:f>
        <x:v>1</x:v>
      </x:c>
      <x:c r="J281" s="2" t="n">
        <x:f>IF(H281=1,F281-D281,"")</x:f>
        <x:v>1</x:v>
      </x:c>
      <x:c r="K281" s="2" t="n">
        <x:f>IF(H281=1,F281-E281,"")</x:f>
        <x:v>4</x:v>
      </x:c>
      <x:c r="L281" s="2" t="n">
        <x:v>9</x:v>
      </x:c>
      <x:c r="M281" s="2" t="n">
        <x:v>4</x:v>
      </x:c>
      <x:c r="N281" s="20" t="n">
        <x:v>0.2</x:v>
      </x:c>
      <x:c r="O281" s="20" t="n">
        <x:v>0.8</x:v>
      </x:c>
      <x:c r="P281" s="20" t="n">
        <x:v>0.25</x:v>
      </x:c>
      <x:c r="Q281" s="2" t="n">
        <x:v>62</x:v>
      </x:c>
      <x:c r="R281" s="2" t="str">
        <x:v>ISFJ</x:v>
      </x:c>
      <x:c r="S281" s="2" t="str">
        <x:v>西北</x:v>
      </x:c>
      <x:c r="T281" s="2" t="str">
        <x:v>个体经营或自由职业</x:v>
      </x:c>
    </x:row>
    <x:row r="282" ht="24" customHeight="1">
      <x:c r="A282" s="2" t="str">
        <x:v>D020_T04_C080_G025</x:v>
      </x:c>
      <x:c r="B282" s="2" t="str">
        <x:v>A0071</x:v>
      </x:c>
      <x:c r="C282" s="2" t="str">
        <x:v>inside</x:v>
      </x:c>
      <x:c r="D282" s="2" t="n">
        <x:v>4</x:v>
      </x:c>
      <x:c r="E282" s="2" t="n">
        <x:v>1</x:v>
      </x:c>
      <x:c r="F282" s="2" t="n">
        <x:v>8</x:v>
      </x:c>
      <x:c r="G282" s="2" t="str">
        <x:v>observed_post_release</x:v>
      </x:c>
      <x:c r="H282" s="2" t="n">
        <x:f>IF(AND(ISNUMBER(F282),F282&gt;=D282),1,0)</x:f>
        <x:v>1</x:v>
      </x:c>
      <x:c r="I282" s="2" t="n">
        <x:f>IF(AND(ISNUMBER(F282),F282&gt;D282),1,0)</x:f>
        <x:v>1</x:v>
      </x:c>
      <x:c r="J282" s="2" t="n">
        <x:f>IF(H282=1,F282-D282,"")</x:f>
        <x:v>4</x:v>
      </x:c>
      <x:c r="K282" s="2" t="n">
        <x:f>IF(H282=1,F282-E282,"")</x:f>
        <x:v>7</x:v>
      </x:c>
      <x:c r="L282" s="2" t="n">
        <x:v>9</x:v>
      </x:c>
      <x:c r="M282" s="2" t="n">
        <x:v>4</x:v>
      </x:c>
      <x:c r="N282" s="20" t="n">
        <x:v>0.2</x:v>
      </x:c>
      <x:c r="O282" s="20" t="n">
        <x:v>0.8</x:v>
      </x:c>
      <x:c r="P282" s="20" t="n">
        <x:v>0.25</x:v>
      </x:c>
      <x:c r="Q282" s="2" t="n">
        <x:v>33</x:v>
      </x:c>
      <x:c r="R282" s="2" t="str">
        <x:v>ISTJ</x:v>
      </x:c>
      <x:c r="S282" s="2" t="str">
        <x:v>华东</x:v>
      </x:c>
      <x:c r="T282" s="2" t="str">
        <x:v>商业服务岗位</x:v>
      </x:c>
    </x:row>
    <x:row r="283" ht="24" customHeight="1">
      <x:c r="A283" s="2" t="str">
        <x:v>D020_T04_C080_G025</x:v>
      </x:c>
      <x:c r="B283" s="2" t="str">
        <x:v>A0189</x:v>
      </x:c>
      <x:c r="C283" s="2" t="str">
        <x:v>inside</x:v>
      </x:c>
      <x:c r="D283" s="2" t="n">
        <x:v>4</x:v>
      </x:c>
      <x:c r="E283" s="2" t="n">
        <x:v>1</x:v>
      </x:c>
      <x:c r="F283" s="2"/>
      <x:c r="G283" s="2" t="str">
        <x:v>right_censored</x:v>
      </x:c>
      <x:c r="H283" s="2" t="n">
        <x:f>IF(AND(ISNUMBER(F283),F283&gt;=D283),1,0)</x:f>
        <x:v>0</x:v>
      </x:c>
      <x:c r="I283" s="2" t="n">
        <x:f>IF(AND(ISNUMBER(F283),F283&gt;D283),1,0)</x:f>
        <x:v>0</x:v>
      </x:c>
      <x:c r="J283" s="2" t="str">
        <x:f>IF(H283=1,F283-D283,"")</x:f>
      </x:c>
      <x:c r="K283" s="2" t="str">
        <x:f>IF(H283=1,F283-E283,"")</x:f>
      </x:c>
      <x:c r="L283" s="2" t="n">
        <x:v>9</x:v>
      </x:c>
      <x:c r="M283" s="2" t="n">
        <x:v>5</x:v>
      </x:c>
      <x:c r="N283" s="20" t="n">
        <x:v>0.2</x:v>
      </x:c>
      <x:c r="O283" s="20" t="n">
        <x:v>0.8</x:v>
      </x:c>
      <x:c r="P283" s="20" t="n">
        <x:v>0.25</x:v>
      </x:c>
      <x:c r="Q283" s="2" t="n">
        <x:v>45</x:v>
      </x:c>
      <x:c r="R283" s="2" t="str">
        <x:v>ISFJ</x:v>
      </x:c>
      <x:c r="S283" s="2" t="str">
        <x:v>西北</x:v>
      </x:c>
      <x:c r="T283" s="2" t="str">
        <x:v>生产运输或体力岗位</x:v>
      </x:c>
    </x:row>
    <x:row r="284" ht="24" customHeight="1">
      <x:c r="A284" s="2" t="str">
        <x:v>D020_T04_C080_G025</x:v>
      </x:c>
      <x:c r="B284" s="2" t="str">
        <x:v>A0206</x:v>
      </x:c>
      <x:c r="C284" s="2" t="str">
        <x:v>inside</x:v>
      </x:c>
      <x:c r="D284" s="2" t="n">
        <x:v>4</x:v>
      </x:c>
      <x:c r="E284" s="2" t="n">
        <x:v>1</x:v>
      </x:c>
      <x:c r="F284" s="2" t="n">
        <x:v>4</x:v>
      </x:c>
      <x:c r="G284" s="2" t="str">
        <x:v>observed_post_release</x:v>
      </x:c>
      <x:c r="H284" s="2" t="n">
        <x:f>IF(AND(ISNUMBER(F284),F284&gt;=D284),1,0)</x:f>
        <x:v>1</x:v>
      </x:c>
      <x:c r="I284" s="2" t="n">
        <x:f>IF(AND(ISNUMBER(F284),F284&gt;D284),1,0)</x:f>
        <x:v>0</x:v>
      </x:c>
      <x:c r="J284" s="2" t="n">
        <x:f>IF(H284=1,F284-D284,"")</x:f>
        <x:v>0</x:v>
      </x:c>
      <x:c r="K284" s="2" t="n">
        <x:f>IF(H284=1,F284-E284,"")</x:f>
        <x:v>3</x:v>
      </x:c>
      <x:c r="L284" s="2" t="n">
        <x:v>9</x:v>
      </x:c>
      <x:c r="M284" s="2" t="n">
        <x:v>4</x:v>
      </x:c>
      <x:c r="N284" s="20" t="n">
        <x:v>0.2</x:v>
      </x:c>
      <x:c r="O284" s="20" t="n">
        <x:v>0.8</x:v>
      </x:c>
      <x:c r="P284" s="20" t="n">
        <x:v>0.25</x:v>
      </x:c>
      <x:c r="Q284" s="2" t="n">
        <x:v>21</x:v>
      </x:c>
      <x:c r="R284" s="2" t="str">
        <x:v>ESTP</x:v>
      </x:c>
      <x:c r="S284" s="2" t="str">
        <x:v>西北</x:v>
      </x:c>
      <x:c r="T284" s="2" t="str">
        <x:v>暂未就业或家庭照料</x:v>
      </x:c>
    </x:row>
    <x:row r="285" ht="24" customHeight="1">
      <x:c r="A285" s="2" t="str">
        <x:v>D020_T04_C080_G050</x:v>
      </x:c>
      <x:c r="B285" s="2" t="str">
        <x:v>A0003</x:v>
      </x:c>
      <x:c r="C285" s="2" t="str">
        <x:v>inside</x:v>
      </x:c>
      <x:c r="D285" s="2" t="n">
        <x:v>4</x:v>
      </x:c>
      <x:c r="E285" s="2" t="n">
        <x:v>1</x:v>
      </x:c>
      <x:c r="F285" s="2" t="n">
        <x:v>4</x:v>
      </x:c>
      <x:c r="G285" s="2" t="str">
        <x:v>observed_post_release</x:v>
      </x:c>
      <x:c r="H285" s="2" t="n">
        <x:f>IF(AND(ISNUMBER(F285),F285&gt;=D285),1,0)</x:f>
        <x:v>1</x:v>
      </x:c>
      <x:c r="I285" s="2" t="n">
        <x:f>IF(AND(ISNUMBER(F285),F285&gt;D285),1,0)</x:f>
        <x:v>0</x:v>
      </x:c>
      <x:c r="J285" s="2" t="n">
        <x:f>IF(H285=1,F285-D285,"")</x:f>
        <x:v>0</x:v>
      </x:c>
      <x:c r="K285" s="2" t="n">
        <x:f>IF(H285=1,F285-E285,"")</x:f>
        <x:v>3</x:v>
      </x:c>
      <x:c r="L285" s="2" t="n">
        <x:v>9</x:v>
      </x:c>
      <x:c r="M285" s="2" t="n">
        <x:v>4</x:v>
      </x:c>
      <x:c r="N285" s="20" t="n">
        <x:v>0.2</x:v>
      </x:c>
      <x:c r="O285" s="20" t="n">
        <x:v>0.8</x:v>
      </x:c>
      <x:c r="P285" s="20" t="n">
        <x:v>0.5</x:v>
      </x:c>
      <x:c r="Q285" s="2" t="n">
        <x:v>20</x:v>
      </x:c>
      <x:c r="R285" s="2" t="str">
        <x:v>ENFP</x:v>
      </x:c>
      <x:c r="S285" s="2" t="str">
        <x:v>华北</x:v>
      </x:c>
      <x:c r="T285" s="2" t="str">
        <x:v>行政或办公室岗位</x:v>
      </x:c>
    </x:row>
    <x:row r="286" ht="24" customHeight="1">
      <x:c r="A286" s="2" t="str">
        <x:v>D020_T04_C080_G050</x:v>
      </x:c>
      <x:c r="B286" s="2" t="str">
        <x:v>A0011</x:v>
      </x:c>
      <x:c r="C286" s="2" t="str">
        <x:v>inside</x:v>
      </x:c>
      <x:c r="D286" s="2" t="n">
        <x:v>4</x:v>
      </x:c>
      <x:c r="E286" s="2" t="n">
        <x:v>1</x:v>
      </x:c>
      <x:c r="F286" s="2" t="n">
        <x:v>8</x:v>
      </x:c>
      <x:c r="G286" s="2" t="str">
        <x:v>observed_post_release</x:v>
      </x:c>
      <x:c r="H286" s="2" t="n">
        <x:f>IF(AND(ISNUMBER(F286),F286&gt;=D286),1,0)</x:f>
        <x:v>1</x:v>
      </x:c>
      <x:c r="I286" s="2" t="n">
        <x:f>IF(AND(ISNUMBER(F286),F286&gt;D286),1,0)</x:f>
        <x:v>1</x:v>
      </x:c>
      <x:c r="J286" s="2" t="n">
        <x:f>IF(H286=1,F286-D286,"")</x:f>
        <x:v>4</x:v>
      </x:c>
      <x:c r="K286" s="2" t="n">
        <x:f>IF(H286=1,F286-E286,"")</x:f>
        <x:v>7</x:v>
      </x:c>
      <x:c r="L286" s="2" t="n">
        <x:v>9</x:v>
      </x:c>
      <x:c r="M286" s="2" t="n">
        <x:v>5</x:v>
      </x:c>
      <x:c r="N286" s="20" t="n">
        <x:v>0.2</x:v>
      </x:c>
      <x:c r="O286" s="20" t="n">
        <x:v>0.8</x:v>
      </x:c>
      <x:c r="P286" s="20" t="n">
        <x:v>0.5</x:v>
      </x:c>
      <x:c r="Q286" s="2" t="n">
        <x:v>42</x:v>
      </x:c>
      <x:c r="R286" s="2" t="str">
        <x:v>ENFJ</x:v>
      </x:c>
      <x:c r="S286" s="2" t="str">
        <x:v>西南</x:v>
      </x:c>
      <x:c r="T286" s="2" t="str">
        <x:v>行政或办公室岗位</x:v>
      </x:c>
    </x:row>
    <x:row r="287" ht="24" customHeight="1">
      <x:c r="A287" s="2" t="str">
        <x:v>D020_T04_C080_G050</x:v>
      </x:c>
      <x:c r="B287" s="2" t="str">
        <x:v>A0012</x:v>
      </x:c>
      <x:c r="C287" s="2" t="str">
        <x:v>inside</x:v>
      </x:c>
      <x:c r="D287" s="2" t="n">
        <x:v>4</x:v>
      </x:c>
      <x:c r="E287" s="2" t="n">
        <x:v>1</x:v>
      </x:c>
      <x:c r="F287" s="2" t="n">
        <x:v>9</x:v>
      </x:c>
      <x:c r="G287" s="2" t="str">
        <x:v>observed_post_release</x:v>
      </x:c>
      <x:c r="H287" s="2" t="n">
        <x:f>IF(AND(ISNUMBER(F287),F287&gt;=D287),1,0)</x:f>
        <x:v>1</x:v>
      </x:c>
      <x:c r="I287" s="2" t="n">
        <x:f>IF(AND(ISNUMBER(F287),F287&gt;D287),1,0)</x:f>
        <x:v>1</x:v>
      </x:c>
      <x:c r="J287" s="2" t="n">
        <x:f>IF(H287=1,F287-D287,"")</x:f>
        <x:v>5</x:v>
      </x:c>
      <x:c r="K287" s="2" t="n">
        <x:f>IF(H287=1,F287-E287,"")</x:f>
        <x:v>8</x:v>
      </x:c>
      <x:c r="L287" s="2" t="n">
        <x:v>9</x:v>
      </x:c>
      <x:c r="M287" s="2" t="n">
        <x:v>4</x:v>
      </x:c>
      <x:c r="N287" s="20" t="n">
        <x:v>0.2</x:v>
      </x:c>
      <x:c r="O287" s="20" t="n">
        <x:v>0.8</x:v>
      </x:c>
      <x:c r="P287" s="20" t="n">
        <x:v>0.5</x:v>
      </x:c>
      <x:c r="Q287" s="2" t="n">
        <x:v>38</x:v>
      </x:c>
      <x:c r="R287" s="2" t="str">
        <x:v>ESFP</x:v>
      </x:c>
      <x:c r="S287" s="2" t="str">
        <x:v>华中</x:v>
      </x:c>
      <x:c r="T287" s="2" t="str">
        <x:v>行政或办公室岗位</x:v>
      </x:c>
    </x:row>
    <x:row r="288" ht="24" customHeight="1">
      <x:c r="A288" s="2" t="str">
        <x:v>D020_T04_C080_G050</x:v>
      </x:c>
      <x:c r="B288" s="2" t="str">
        <x:v>A0014</x:v>
      </x:c>
      <x:c r="C288" s="2" t="str">
        <x:v>inside</x:v>
      </x:c>
      <x:c r="D288" s="2" t="n">
        <x:v>4</x:v>
      </x:c>
      <x:c r="E288" s="2" t="n">
        <x:v>1</x:v>
      </x:c>
      <x:c r="F288" s="2" t="n">
        <x:v>4</x:v>
      </x:c>
      <x:c r="G288" s="2" t="str">
        <x:v>observed_post_release</x:v>
      </x:c>
      <x:c r="H288" s="2" t="n">
        <x:f>IF(AND(ISNUMBER(F288),F288&gt;=D288),1,0)</x:f>
        <x:v>1</x:v>
      </x:c>
      <x:c r="I288" s="2" t="n">
        <x:f>IF(AND(ISNUMBER(F288),F288&gt;D288),1,0)</x:f>
        <x:v>0</x:v>
      </x:c>
      <x:c r="J288" s="2" t="n">
        <x:f>IF(H288=1,F288-D288,"")</x:f>
        <x:v>0</x:v>
      </x:c>
      <x:c r="K288" s="2" t="n">
        <x:f>IF(H288=1,F288-E288,"")</x:f>
        <x:v>3</x:v>
      </x:c>
      <x:c r="L288" s="2" t="n">
        <x:v>9</x:v>
      </x:c>
      <x:c r="M288" s="2" t="n">
        <x:v>4</x:v>
      </x:c>
      <x:c r="N288" s="20" t="n">
        <x:v>0.2</x:v>
      </x:c>
      <x:c r="O288" s="20" t="n">
        <x:v>0.8</x:v>
      </x:c>
      <x:c r="P288" s="20" t="n">
        <x:v>0.5</x:v>
      </x:c>
      <x:c r="Q288" s="2" t="n">
        <x:v>52</x:v>
      </x:c>
      <x:c r="R288" s="2" t="str">
        <x:v>INFJ</x:v>
      </x:c>
      <x:c r="S288" s="2" t="str">
        <x:v>华东</x:v>
      </x:c>
      <x:c r="T288" s="2" t="str">
        <x:v>生产运输或体力岗位</x:v>
      </x:c>
    </x:row>
    <x:row r="289" ht="24" customHeight="1">
      <x:c r="A289" s="2" t="str">
        <x:v>D020_T04_C080_G050</x:v>
      </x:c>
      <x:c r="B289" s="2" t="str">
        <x:v>A0017</x:v>
      </x:c>
      <x:c r="C289" s="2" t="str">
        <x:v>inside</x:v>
      </x:c>
      <x:c r="D289" s="2" t="n">
        <x:v>4</x:v>
      </x:c>
      <x:c r="E289" s="2" t="n">
        <x:v>1</x:v>
      </x:c>
      <x:c r="F289" s="2" t="n">
        <x:v>5</x:v>
      </x:c>
      <x:c r="G289" s="2" t="str">
        <x:v>observed_post_release</x:v>
      </x:c>
      <x:c r="H289" s="2" t="n">
        <x:f>IF(AND(ISNUMBER(F289),F289&gt;=D289),1,0)</x:f>
        <x:v>1</x:v>
      </x:c>
      <x:c r="I289" s="2" t="n">
        <x:f>IF(AND(ISNUMBER(F289),F289&gt;D289),1,0)</x:f>
        <x:v>1</x:v>
      </x:c>
      <x:c r="J289" s="2" t="n">
        <x:f>IF(H289=1,F289-D289,"")</x:f>
        <x:v>1</x:v>
      </x:c>
      <x:c r="K289" s="2" t="n">
        <x:f>IF(H289=1,F289-E289,"")</x:f>
        <x:v>4</x:v>
      </x:c>
      <x:c r="L289" s="2" t="n">
        <x:v>9</x:v>
      </x:c>
      <x:c r="M289" s="2" t="n">
        <x:v>5</x:v>
      </x:c>
      <x:c r="N289" s="20" t="n">
        <x:v>0.2</x:v>
      </x:c>
      <x:c r="O289" s="20" t="n">
        <x:v>0.8</x:v>
      </x:c>
      <x:c r="P289" s="20" t="n">
        <x:v>0.5</x:v>
      </x:c>
      <x:c r="Q289" s="2" t="n">
        <x:v>30</x:v>
      </x:c>
      <x:c r="R289" s="2" t="str">
        <x:v>ISTJ</x:v>
      </x:c>
      <x:c r="S289" s="2" t="str">
        <x:v>华东</x:v>
      </x:c>
      <x:c r="T289" s="2" t="str">
        <x:v>商业服务岗位</x:v>
      </x:c>
    </x:row>
    <x:row r="290" ht="24" customHeight="1">
      <x:c r="A290" s="2" t="str">
        <x:v>D020_T04_C080_G050</x:v>
      </x:c>
      <x:c r="B290" s="2" t="str">
        <x:v>A0018</x:v>
      </x:c>
      <x:c r="C290" s="2" t="str">
        <x:v>inside</x:v>
      </x:c>
      <x:c r="D290" s="2" t="n">
        <x:v>4</x:v>
      </x:c>
      <x:c r="E290" s="2" t="n">
        <x:v>1</x:v>
      </x:c>
      <x:c r="F290" s="2" t="n">
        <x:v>4</x:v>
      </x:c>
      <x:c r="G290" s="2" t="str">
        <x:v>observed_post_release</x:v>
      </x:c>
      <x:c r="H290" s="2" t="n">
        <x:f>IF(AND(ISNUMBER(F290),F290&gt;=D290),1,0)</x:f>
        <x:v>1</x:v>
      </x:c>
      <x:c r="I290" s="2" t="n">
        <x:f>IF(AND(ISNUMBER(F290),F290&gt;D290),1,0)</x:f>
        <x:v>0</x:v>
      </x:c>
      <x:c r="J290" s="2" t="n">
        <x:f>IF(H290=1,F290-D290,"")</x:f>
        <x:v>0</x:v>
      </x:c>
      <x:c r="K290" s="2" t="n">
        <x:f>IF(H290=1,F290-E290,"")</x:f>
        <x:v>3</x:v>
      </x:c>
      <x:c r="L290" s="2" t="n">
        <x:v>9</x:v>
      </x:c>
      <x:c r="M290" s="2" t="n">
        <x:v>4</x:v>
      </x:c>
      <x:c r="N290" s="20" t="n">
        <x:v>0.2</x:v>
      </x:c>
      <x:c r="O290" s="20" t="n">
        <x:v>0.8</x:v>
      </x:c>
      <x:c r="P290" s="20" t="n">
        <x:v>0.5</x:v>
      </x:c>
      <x:c r="Q290" s="2" t="n">
        <x:v>60</x:v>
      </x:c>
      <x:c r="R290" s="2" t="str">
        <x:v>INTJ</x:v>
      </x:c>
      <x:c r="S290" s="2" t="str">
        <x:v>华南</x:v>
      </x:c>
      <x:c r="T290" s="2" t="str">
        <x:v>专业技术岗位</x:v>
      </x:c>
    </x:row>
    <x:row r="291" ht="24" customHeight="1">
      <x:c r="A291" s="2" t="str">
        <x:v>D020_T04_C080_G050</x:v>
      </x:c>
      <x:c r="B291" s="2" t="str">
        <x:v>A0019</x:v>
      </x:c>
      <x:c r="C291" s="2" t="str">
        <x:v>inside</x:v>
      </x:c>
      <x:c r="D291" s="2" t="n">
        <x:v>4</x:v>
      </x:c>
      <x:c r="E291" s="2" t="n">
        <x:v>1</x:v>
      </x:c>
      <x:c r="F291" s="2" t="n">
        <x:v>4</x:v>
      </x:c>
      <x:c r="G291" s="2" t="str">
        <x:v>observed_post_release</x:v>
      </x:c>
      <x:c r="H291" s="2" t="n">
        <x:f>IF(AND(ISNUMBER(F291),F291&gt;=D291),1,0)</x:f>
        <x:v>1</x:v>
      </x:c>
      <x:c r="I291" s="2" t="n">
        <x:f>IF(AND(ISNUMBER(F291),F291&gt;D291),1,0)</x:f>
        <x:v>0</x:v>
      </x:c>
      <x:c r="J291" s="2" t="n">
        <x:f>IF(H291=1,F291-D291,"")</x:f>
        <x:v>0</x:v>
      </x:c>
      <x:c r="K291" s="2" t="n">
        <x:f>IF(H291=1,F291-E291,"")</x:f>
        <x:v>3</x:v>
      </x:c>
      <x:c r="L291" s="2" t="n">
        <x:v>9</x:v>
      </x:c>
      <x:c r="M291" s="2" t="n">
        <x:v>4</x:v>
      </x:c>
      <x:c r="N291" s="20" t="n">
        <x:v>0.2</x:v>
      </x:c>
      <x:c r="O291" s="20" t="n">
        <x:v>0.8</x:v>
      </x:c>
      <x:c r="P291" s="20" t="n">
        <x:v>0.5</x:v>
      </x:c>
      <x:c r="Q291" s="2" t="n">
        <x:v>19</x:v>
      </x:c>
      <x:c r="R291" s="2" t="str">
        <x:v>INTJ</x:v>
      </x:c>
      <x:c r="S291" s="2" t="str">
        <x:v>西南</x:v>
      </x:c>
      <x:c r="T291" s="2" t="str">
        <x:v>行政或办公室岗位</x:v>
      </x:c>
    </x:row>
    <x:row r="292" ht="24" customHeight="1">
      <x:c r="A292" s="2" t="str">
        <x:v>D020_T04_C080_G050</x:v>
      </x:c>
      <x:c r="B292" s="2" t="str">
        <x:v>A0023</x:v>
      </x:c>
      <x:c r="C292" s="2" t="str">
        <x:v>inside</x:v>
      </x:c>
      <x:c r="D292" s="2" t="n">
        <x:v>4</x:v>
      </x:c>
      <x:c r="E292" s="2" t="n">
        <x:v>1</x:v>
      </x:c>
      <x:c r="F292" s="2" t="n">
        <x:v>4</x:v>
      </x:c>
      <x:c r="G292" s="2" t="str">
        <x:v>observed_post_release</x:v>
      </x:c>
      <x:c r="H292" s="2" t="n">
        <x:f>IF(AND(ISNUMBER(F292),F292&gt;=D292),1,0)</x:f>
        <x:v>1</x:v>
      </x:c>
      <x:c r="I292" s="2" t="n">
        <x:f>IF(AND(ISNUMBER(F292),F292&gt;D292),1,0)</x:f>
        <x:v>0</x:v>
      </x:c>
      <x:c r="J292" s="2" t="n">
        <x:f>IF(H292=1,F292-D292,"")</x:f>
        <x:v>0</x:v>
      </x:c>
      <x:c r="K292" s="2" t="n">
        <x:f>IF(H292=1,F292-E292,"")</x:f>
        <x:v>3</x:v>
      </x:c>
      <x:c r="L292" s="2" t="n">
        <x:v>9</x:v>
      </x:c>
      <x:c r="M292" s="2" t="n">
        <x:v>4</x:v>
      </x:c>
      <x:c r="N292" s="20" t="n">
        <x:v>0.2</x:v>
      </x:c>
      <x:c r="O292" s="20" t="n">
        <x:v>0.8</x:v>
      </x:c>
      <x:c r="P292" s="20" t="n">
        <x:v>0.5</x:v>
      </x:c>
      <x:c r="Q292" s="2" t="n">
        <x:v>56</x:v>
      </x:c>
      <x:c r="R292" s="2" t="str">
        <x:v>INFP</x:v>
      </x:c>
      <x:c r="S292" s="2" t="str">
        <x:v>东北</x:v>
      </x:c>
      <x:c r="T292" s="2" t="str">
        <x:v>行政或办公室岗位</x:v>
      </x:c>
    </x:row>
    <x:row r="293" ht="24" customHeight="1">
      <x:c r="A293" s="2" t="str">
        <x:v>D020_T04_C080_G050</x:v>
      </x:c>
      <x:c r="B293" s="2" t="str">
        <x:v>A0025</x:v>
      </x:c>
      <x:c r="C293" s="2" t="str">
        <x:v>inside</x:v>
      </x:c>
      <x:c r="D293" s="2" t="n">
        <x:v>4</x:v>
      </x:c>
      <x:c r="E293" s="2" t="n">
        <x:v>1</x:v>
      </x:c>
      <x:c r="F293" s="2" t="n">
        <x:v>5</x:v>
      </x:c>
      <x:c r="G293" s="2" t="str">
        <x:v>observed_post_release</x:v>
      </x:c>
      <x:c r="H293" s="2" t="n">
        <x:f>IF(AND(ISNUMBER(F293),F293&gt;=D293),1,0)</x:f>
        <x:v>1</x:v>
      </x:c>
      <x:c r="I293" s="2" t="n">
        <x:f>IF(AND(ISNUMBER(F293),F293&gt;D293),1,0)</x:f>
        <x:v>1</x:v>
      </x:c>
      <x:c r="J293" s="2" t="n">
        <x:f>IF(H293=1,F293-D293,"")</x:f>
        <x:v>1</x:v>
      </x:c>
      <x:c r="K293" s="2" t="n">
        <x:f>IF(H293=1,F293-E293,"")</x:f>
        <x:v>4</x:v>
      </x:c>
      <x:c r="L293" s="2" t="n">
        <x:v>9</x:v>
      </x:c>
      <x:c r="M293" s="2" t="n">
        <x:v>4</x:v>
      </x:c>
      <x:c r="N293" s="20" t="n">
        <x:v>0.2</x:v>
      </x:c>
      <x:c r="O293" s="20" t="n">
        <x:v>0.8</x:v>
      </x:c>
      <x:c r="P293" s="20" t="n">
        <x:v>0.5</x:v>
      </x:c>
      <x:c r="Q293" s="2" t="n">
        <x:v>23</x:v>
      </x:c>
      <x:c r="R293" s="2" t="str">
        <x:v>ISTP</x:v>
      </x:c>
      <x:c r="S293" s="2" t="str">
        <x:v>华南</x:v>
      </x:c>
      <x:c r="T293" s="2" t="str">
        <x:v>行政或办公室岗位</x:v>
      </x:c>
    </x:row>
    <x:row r="294" ht="24" customHeight="1">
      <x:c r="A294" s="2" t="str">
        <x:v>D020_T04_C080_G050</x:v>
      </x:c>
      <x:c r="B294" s="2" t="str">
        <x:v>A0029</x:v>
      </x:c>
      <x:c r="C294" s="2" t="str">
        <x:v>inside</x:v>
      </x:c>
      <x:c r="D294" s="2" t="n">
        <x:v>4</x:v>
      </x:c>
      <x:c r="E294" s="2" t="n">
        <x:v>1</x:v>
      </x:c>
      <x:c r="F294" s="2" t="n">
        <x:v>4</x:v>
      </x:c>
      <x:c r="G294" s="2" t="str">
        <x:v>observed_post_release</x:v>
      </x:c>
      <x:c r="H294" s="2" t="n">
        <x:f>IF(AND(ISNUMBER(F294),F294&gt;=D294),1,0)</x:f>
        <x:v>1</x:v>
      </x:c>
      <x:c r="I294" s="2" t="n">
        <x:f>IF(AND(ISNUMBER(F294),F294&gt;D294),1,0)</x:f>
        <x:v>0</x:v>
      </x:c>
      <x:c r="J294" s="2" t="n">
        <x:f>IF(H294=1,F294-D294,"")</x:f>
        <x:v>0</x:v>
      </x:c>
      <x:c r="K294" s="2" t="n">
        <x:f>IF(H294=1,F294-E294,"")</x:f>
        <x:v>3</x:v>
      </x:c>
      <x:c r="L294" s="2" t="n">
        <x:v>9</x:v>
      </x:c>
      <x:c r="M294" s="2" t="n">
        <x:v>4</x:v>
      </x:c>
      <x:c r="N294" s="20" t="n">
        <x:v>0.2</x:v>
      </x:c>
      <x:c r="O294" s="20" t="n">
        <x:v>0.8</x:v>
      </x:c>
      <x:c r="P294" s="20" t="n">
        <x:v>0.5</x:v>
      </x:c>
      <x:c r="Q294" s="2" t="n">
        <x:v>69</x:v>
      </x:c>
      <x:c r="R294" s="2" t="str">
        <x:v>ENTP</x:v>
      </x:c>
      <x:c r="S294" s="2" t="str">
        <x:v>华东</x:v>
      </x:c>
      <x:c r="T294" s="2" t="str">
        <x:v>退休人员</x:v>
      </x:c>
    </x:row>
    <x:row r="295" ht="24" customHeight="1">
      <x:c r="A295" s="2" t="str">
        <x:v>D020_T04_C080_G050</x:v>
      </x:c>
      <x:c r="B295" s="2" t="str">
        <x:v>A0032</x:v>
      </x:c>
      <x:c r="C295" s="2" t="str">
        <x:v>inside</x:v>
      </x:c>
      <x:c r="D295" s="2" t="n">
        <x:v>4</x:v>
      </x:c>
      <x:c r="E295" s="2" t="n">
        <x:v>1</x:v>
      </x:c>
      <x:c r="F295" s="2" t="n">
        <x:v>5</x:v>
      </x:c>
      <x:c r="G295" s="2" t="str">
        <x:v>observed_post_release</x:v>
      </x:c>
      <x:c r="H295" s="2" t="n">
        <x:f>IF(AND(ISNUMBER(F295),F295&gt;=D295),1,0)</x:f>
        <x:v>1</x:v>
      </x:c>
      <x:c r="I295" s="2" t="n">
        <x:f>IF(AND(ISNUMBER(F295),F295&gt;D295),1,0)</x:f>
        <x:v>1</x:v>
      </x:c>
      <x:c r="J295" s="2" t="n">
        <x:f>IF(H295=1,F295-D295,"")</x:f>
        <x:v>1</x:v>
      </x:c>
      <x:c r="K295" s="2" t="n">
        <x:f>IF(H295=1,F295-E295,"")</x:f>
        <x:v>4</x:v>
      </x:c>
      <x:c r="L295" s="2" t="n">
        <x:v>9</x:v>
      </x:c>
      <x:c r="M295" s="2" t="n">
        <x:v>4</x:v>
      </x:c>
      <x:c r="N295" s="20" t="n">
        <x:v>0.2</x:v>
      </x:c>
      <x:c r="O295" s="20" t="n">
        <x:v>0.8</x:v>
      </x:c>
      <x:c r="P295" s="20" t="n">
        <x:v>0.5</x:v>
      </x:c>
      <x:c r="Q295" s="2" t="n">
        <x:v>53</x:v>
      </x:c>
      <x:c r="R295" s="2" t="str">
        <x:v>INTP</x:v>
      </x:c>
      <x:c r="S295" s="2" t="str">
        <x:v>华北</x:v>
      </x:c>
      <x:c r="T295" s="2" t="str">
        <x:v>个体经营或自由职业</x:v>
      </x:c>
    </x:row>
    <x:row r="296" ht="24" customHeight="1">
      <x:c r="A296" s="2" t="str">
        <x:v>D020_T04_C080_G050</x:v>
      </x:c>
      <x:c r="B296" s="2" t="str">
        <x:v>A0035</x:v>
      </x:c>
      <x:c r="C296" s="2" t="str">
        <x:v>inside</x:v>
      </x:c>
      <x:c r="D296" s="2" t="n">
        <x:v>4</x:v>
      </x:c>
      <x:c r="E296" s="2" t="n">
        <x:v>1</x:v>
      </x:c>
      <x:c r="F296" s="2" t="n">
        <x:v>7</x:v>
      </x:c>
      <x:c r="G296" s="2" t="str">
        <x:v>observed_post_release</x:v>
      </x:c>
      <x:c r="H296" s="2" t="n">
        <x:f>IF(AND(ISNUMBER(F296),F296&gt;=D296),1,0)</x:f>
        <x:v>1</x:v>
      </x:c>
      <x:c r="I296" s="2" t="n">
        <x:f>IF(AND(ISNUMBER(F296),F296&gt;D296),1,0)</x:f>
        <x:v>1</x:v>
      </x:c>
      <x:c r="J296" s="2" t="n">
        <x:f>IF(H296=1,F296-D296,"")</x:f>
        <x:v>3</x:v>
      </x:c>
      <x:c r="K296" s="2" t="n">
        <x:f>IF(H296=1,F296-E296,"")</x:f>
        <x:v>6</x:v>
      </x:c>
      <x:c r="L296" s="2" t="n">
        <x:v>9</x:v>
      </x:c>
      <x:c r="M296" s="2" t="n">
        <x:v>4</x:v>
      </x:c>
      <x:c r="N296" s="20" t="n">
        <x:v>0.2</x:v>
      </x:c>
      <x:c r="O296" s="20" t="n">
        <x:v>0.8</x:v>
      </x:c>
      <x:c r="P296" s="20" t="n">
        <x:v>0.5</x:v>
      </x:c>
      <x:c r="Q296" s="2" t="n">
        <x:v>42</x:v>
      </x:c>
      <x:c r="R296" s="2" t="str">
        <x:v>ISFJ</x:v>
      </x:c>
      <x:c r="S296" s="2" t="str">
        <x:v>华南</x:v>
      </x:c>
      <x:c r="T296" s="2" t="str">
        <x:v>专业技术岗位</x:v>
      </x:c>
    </x:row>
    <x:row r="297" ht="24" customHeight="1">
      <x:c r="A297" s="2" t="str">
        <x:v>D020_T04_C080_G050</x:v>
      </x:c>
      <x:c r="B297" s="2" t="str">
        <x:v>A0038</x:v>
      </x:c>
      <x:c r="C297" s="2" t="str">
        <x:v>inside</x:v>
      </x:c>
      <x:c r="D297" s="2" t="n">
        <x:v>4</x:v>
      </x:c>
      <x:c r="E297" s="2" t="n">
        <x:v>1</x:v>
      </x:c>
      <x:c r="F297" s="2" t="n">
        <x:v>4</x:v>
      </x:c>
      <x:c r="G297" s="2" t="str">
        <x:v>observed_post_release</x:v>
      </x:c>
      <x:c r="H297" s="2" t="n">
        <x:f>IF(AND(ISNUMBER(F297),F297&gt;=D297),1,0)</x:f>
        <x:v>1</x:v>
      </x:c>
      <x:c r="I297" s="2" t="n">
        <x:f>IF(AND(ISNUMBER(F297),F297&gt;D297),1,0)</x:f>
        <x:v>0</x:v>
      </x:c>
      <x:c r="J297" s="2" t="n">
        <x:f>IF(H297=1,F297-D297,"")</x:f>
        <x:v>0</x:v>
      </x:c>
      <x:c r="K297" s="2" t="n">
        <x:f>IF(H297=1,F297-E297,"")</x:f>
        <x:v>3</x:v>
      </x:c>
      <x:c r="L297" s="2" t="n">
        <x:v>9</x:v>
      </x:c>
      <x:c r="M297" s="2" t="n">
        <x:v>4</x:v>
      </x:c>
      <x:c r="N297" s="20" t="n">
        <x:v>0.2</x:v>
      </x:c>
      <x:c r="O297" s="20" t="n">
        <x:v>0.8</x:v>
      </x:c>
      <x:c r="P297" s="20" t="n">
        <x:v>0.5</x:v>
      </x:c>
      <x:c r="Q297" s="2" t="n">
        <x:v>46</x:v>
      </x:c>
      <x:c r="R297" s="2" t="str">
        <x:v>ISTP</x:v>
      </x:c>
      <x:c r="S297" s="2" t="str">
        <x:v>华东</x:v>
      </x:c>
      <x:c r="T297" s="2" t="str">
        <x:v>行政或办公室岗位</x:v>
      </x:c>
    </x:row>
    <x:row r="298" ht="24" customHeight="1">
      <x:c r="A298" s="2" t="str">
        <x:v>D020_T04_C080_G050</x:v>
      </x:c>
      <x:c r="B298" s="2" t="str">
        <x:v>A0040</x:v>
      </x:c>
      <x:c r="C298" s="2" t="str">
        <x:v>inside</x:v>
      </x:c>
      <x:c r="D298" s="2" t="n">
        <x:v>4</x:v>
      </x:c>
      <x:c r="E298" s="2" t="n">
        <x:v>1</x:v>
      </x:c>
      <x:c r="F298" s="2" t="n">
        <x:v>4</x:v>
      </x:c>
      <x:c r="G298" s="2" t="str">
        <x:v>observed_post_release</x:v>
      </x:c>
      <x:c r="H298" s="2" t="n">
        <x:f>IF(AND(ISNUMBER(F298),F298&gt;=D298),1,0)</x:f>
        <x:v>1</x:v>
      </x:c>
      <x:c r="I298" s="2" t="n">
        <x:f>IF(AND(ISNUMBER(F298),F298&gt;D298),1,0)</x:f>
        <x:v>0</x:v>
      </x:c>
      <x:c r="J298" s="2" t="n">
        <x:f>IF(H298=1,F298-D298,"")</x:f>
        <x:v>0</x:v>
      </x:c>
      <x:c r="K298" s="2" t="n">
        <x:f>IF(H298=1,F298-E298,"")</x:f>
        <x:v>3</x:v>
      </x:c>
      <x:c r="L298" s="2" t="n">
        <x:v>9</x:v>
      </x:c>
      <x:c r="M298" s="2" t="n">
        <x:v>4</x:v>
      </x:c>
      <x:c r="N298" s="20" t="n">
        <x:v>0.2</x:v>
      </x:c>
      <x:c r="O298" s="20" t="n">
        <x:v>0.8</x:v>
      </x:c>
      <x:c r="P298" s="20" t="n">
        <x:v>0.5</x:v>
      </x:c>
      <x:c r="Q298" s="2" t="n">
        <x:v>48</x:v>
      </x:c>
      <x:c r="R298" s="2" t="str">
        <x:v>INFP</x:v>
      </x:c>
      <x:c r="S298" s="2" t="str">
        <x:v>西北</x:v>
      </x:c>
      <x:c r="T298" s="2" t="str">
        <x:v>个体经营或自由职业</x:v>
      </x:c>
    </x:row>
    <x:row r="299" ht="24" customHeight="1">
      <x:c r="A299" s="2" t="str">
        <x:v>D020_T04_C080_G050</x:v>
      </x:c>
      <x:c r="B299" s="2" t="str">
        <x:v>A0071</x:v>
      </x:c>
      <x:c r="C299" s="2" t="str">
        <x:v>inside</x:v>
      </x:c>
      <x:c r="D299" s="2" t="n">
        <x:v>4</x:v>
      </x:c>
      <x:c r="E299" s="2" t="n">
        <x:v>1</x:v>
      </x:c>
      <x:c r="F299" s="2" t="n">
        <x:v>5</x:v>
      </x:c>
      <x:c r="G299" s="2" t="str">
        <x:v>observed_post_release</x:v>
      </x:c>
      <x:c r="H299" s="2" t="n">
        <x:f>IF(AND(ISNUMBER(F299),F299&gt;=D299),1,0)</x:f>
        <x:v>1</x:v>
      </x:c>
      <x:c r="I299" s="2" t="n">
        <x:f>IF(AND(ISNUMBER(F299),F299&gt;D299),1,0)</x:f>
        <x:v>1</x:v>
      </x:c>
      <x:c r="J299" s="2" t="n">
        <x:f>IF(H299=1,F299-D299,"")</x:f>
        <x:v>1</x:v>
      </x:c>
      <x:c r="K299" s="2" t="n">
        <x:f>IF(H299=1,F299-E299,"")</x:f>
        <x:v>4</x:v>
      </x:c>
      <x:c r="L299" s="2" t="n">
        <x:v>9</x:v>
      </x:c>
      <x:c r="M299" s="2" t="n">
        <x:v>4</x:v>
      </x:c>
      <x:c r="N299" s="20" t="n">
        <x:v>0.2</x:v>
      </x:c>
      <x:c r="O299" s="20" t="n">
        <x:v>0.8</x:v>
      </x:c>
      <x:c r="P299" s="20" t="n">
        <x:v>0.5</x:v>
      </x:c>
      <x:c r="Q299" s="2" t="n">
        <x:v>33</x:v>
      </x:c>
      <x:c r="R299" s="2" t="str">
        <x:v>ISTJ</x:v>
      </x:c>
      <x:c r="S299" s="2" t="str">
        <x:v>华东</x:v>
      </x:c>
      <x:c r="T299" s="2" t="str">
        <x:v>商业服务岗位</x:v>
      </x:c>
    </x:row>
    <x:row r="300" ht="24" customHeight="1">
      <x:c r="A300" s="2" t="str">
        <x:v>D020_T04_C080_G050</x:v>
      </x:c>
      <x:c r="B300" s="2" t="str">
        <x:v>A0189</x:v>
      </x:c>
      <x:c r="C300" s="2" t="str">
        <x:v>inside</x:v>
      </x:c>
      <x:c r="D300" s="2" t="n">
        <x:v>4</x:v>
      </x:c>
      <x:c r="E300" s="2" t="n">
        <x:v>1</x:v>
      </x:c>
      <x:c r="F300" s="2" t="n">
        <x:v>5</x:v>
      </x:c>
      <x:c r="G300" s="2" t="str">
        <x:v>observed_post_release</x:v>
      </x:c>
      <x:c r="H300" s="2" t="n">
        <x:f>IF(AND(ISNUMBER(F300),F300&gt;=D300),1,0)</x:f>
        <x:v>1</x:v>
      </x:c>
      <x:c r="I300" s="2" t="n">
        <x:f>IF(AND(ISNUMBER(F300),F300&gt;D300),1,0)</x:f>
        <x:v>1</x:v>
      </x:c>
      <x:c r="J300" s="2" t="n">
        <x:f>IF(H300=1,F300-D300,"")</x:f>
        <x:v>1</x:v>
      </x:c>
      <x:c r="K300" s="2" t="n">
        <x:f>IF(H300=1,F300-E300,"")</x:f>
        <x:v>4</x:v>
      </x:c>
      <x:c r="L300" s="2" t="n">
        <x:v>9</x:v>
      </x:c>
      <x:c r="M300" s="2" t="n">
        <x:v>5</x:v>
      </x:c>
      <x:c r="N300" s="20" t="n">
        <x:v>0.2</x:v>
      </x:c>
      <x:c r="O300" s="20" t="n">
        <x:v>0.8</x:v>
      </x:c>
      <x:c r="P300" s="20" t="n">
        <x:v>0.5</x:v>
      </x:c>
      <x:c r="Q300" s="2" t="n">
        <x:v>45</x:v>
      </x:c>
      <x:c r="R300" s="2" t="str">
        <x:v>ISFJ</x:v>
      </x:c>
      <x:c r="S300" s="2" t="str">
        <x:v>西北</x:v>
      </x:c>
      <x:c r="T300" s="2" t="str">
        <x:v>生产运输或体力岗位</x:v>
      </x:c>
    </x:row>
    <x:row r="301" ht="24" customHeight="1">
      <x:c r="A301" s="2" t="str">
        <x:v>D020_T04_C080_G050</x:v>
      </x:c>
      <x:c r="B301" s="2" t="str">
        <x:v>A0206</x:v>
      </x:c>
      <x:c r="C301" s="2" t="str">
        <x:v>inside</x:v>
      </x:c>
      <x:c r="D301" s="2" t="n">
        <x:v>4</x:v>
      </x:c>
      <x:c r="E301" s="2" t="n">
        <x:v>1</x:v>
      </x:c>
      <x:c r="F301" s="2" t="n">
        <x:v>4</x:v>
      </x:c>
      <x:c r="G301" s="2" t="str">
        <x:v>observed_post_release</x:v>
      </x:c>
      <x:c r="H301" s="2" t="n">
        <x:f>IF(AND(ISNUMBER(F301),F301&gt;=D301),1,0)</x:f>
        <x:v>1</x:v>
      </x:c>
      <x:c r="I301" s="2" t="n">
        <x:f>IF(AND(ISNUMBER(F301),F301&gt;D301),1,0)</x:f>
        <x:v>0</x:v>
      </x:c>
      <x:c r="J301" s="2" t="n">
        <x:f>IF(H301=1,F301-D301,"")</x:f>
        <x:v>0</x:v>
      </x:c>
      <x:c r="K301" s="2" t="n">
        <x:f>IF(H301=1,F301-E301,"")</x:f>
        <x:v>3</x:v>
      </x:c>
      <x:c r="L301" s="2" t="n">
        <x:v>9</x:v>
      </x:c>
      <x:c r="M301" s="2" t="n">
        <x:v>4</x:v>
      </x:c>
      <x:c r="N301" s="20" t="n">
        <x:v>0.2</x:v>
      </x:c>
      <x:c r="O301" s="20" t="n">
        <x:v>0.8</x:v>
      </x:c>
      <x:c r="P301" s="20" t="n">
        <x:v>0.5</x:v>
      </x:c>
      <x:c r="Q301" s="2" t="n">
        <x:v>21</x:v>
      </x:c>
      <x:c r="R301" s="2" t="str">
        <x:v>ESTP</x:v>
      </x:c>
      <x:c r="S301" s="2" t="str">
        <x:v>西北</x:v>
      </x:c>
      <x:c r="T301" s="2" t="str">
        <x:v>暂未就业或家庭照料</x:v>
      </x:c>
    </x:row>
    <x:row r="302" ht="24" customHeight="1">
      <x:c r="A302" s="2" t="str">
        <x:v>D020_T04_C080_G075</x:v>
      </x:c>
      <x:c r="B302" s="2" t="str">
        <x:v>A0005</x:v>
      </x:c>
      <x:c r="C302" s="2" t="str">
        <x:v>inside</x:v>
      </x:c>
      <x:c r="D302" s="2" t="n">
        <x:v>4</x:v>
      </x:c>
      <x:c r="E302" s="2" t="n">
        <x:v>1</x:v>
      </x:c>
      <x:c r="F302" s="2" t="n">
        <x:v>4</x:v>
      </x:c>
      <x:c r="G302" s="2" t="str">
        <x:v>observed_post_release</x:v>
      </x:c>
      <x:c r="H302" s="2" t="n">
        <x:f>IF(AND(ISNUMBER(F302),F302&gt;=D302),1,0)</x:f>
        <x:v>1</x:v>
      </x:c>
      <x:c r="I302" s="2" t="n">
        <x:f>IF(AND(ISNUMBER(F302),F302&gt;D302),1,0)</x:f>
        <x:v>0</x:v>
      </x:c>
      <x:c r="J302" s="2" t="n">
        <x:f>IF(H302=1,F302-D302,"")</x:f>
        <x:v>0</x:v>
      </x:c>
      <x:c r="K302" s="2" t="n">
        <x:f>IF(H302=1,F302-E302,"")</x:f>
        <x:v>3</x:v>
      </x:c>
      <x:c r="L302" s="2" t="n">
        <x:v>9</x:v>
      </x:c>
      <x:c r="M302" s="2" t="n">
        <x:v>4</x:v>
      </x:c>
      <x:c r="N302" s="20" t="n">
        <x:v>0.2</x:v>
      </x:c>
      <x:c r="O302" s="20" t="n">
        <x:v>0.8</x:v>
      </x:c>
      <x:c r="P302" s="20" t="n">
        <x:v>0.75</x:v>
      </x:c>
      <x:c r="Q302" s="2" t="n">
        <x:v>51</x:v>
      </x:c>
      <x:c r="R302" s="2" t="str">
        <x:v>ISTP</x:v>
      </x:c>
      <x:c r="S302" s="2" t="str">
        <x:v>华南</x:v>
      </x:c>
      <x:c r="T302" s="2" t="str">
        <x:v>生产运输或体力岗位</x:v>
      </x:c>
    </x:row>
    <x:row r="303" ht="24" customHeight="1">
      <x:c r="A303" s="2" t="str">
        <x:v>D020_T04_C080_G075</x:v>
      </x:c>
      <x:c r="B303" s="2" t="str">
        <x:v>A0011</x:v>
      </x:c>
      <x:c r="C303" s="2" t="str">
        <x:v>inside</x:v>
      </x:c>
      <x:c r="D303" s="2" t="n">
        <x:v>4</x:v>
      </x:c>
      <x:c r="E303" s="2" t="n">
        <x:v>1</x:v>
      </x:c>
      <x:c r="F303" s="2" t="n">
        <x:v>6</x:v>
      </x:c>
      <x:c r="G303" s="2" t="str">
        <x:v>observed_post_release</x:v>
      </x:c>
      <x:c r="H303" s="2" t="n">
        <x:f>IF(AND(ISNUMBER(F303),F303&gt;=D303),1,0)</x:f>
        <x:v>1</x:v>
      </x:c>
      <x:c r="I303" s="2" t="n">
        <x:f>IF(AND(ISNUMBER(F303),F303&gt;D303),1,0)</x:f>
        <x:v>1</x:v>
      </x:c>
      <x:c r="J303" s="2" t="n">
        <x:f>IF(H303=1,F303-D303,"")</x:f>
        <x:v>2</x:v>
      </x:c>
      <x:c r="K303" s="2" t="n">
        <x:f>IF(H303=1,F303-E303,"")</x:f>
        <x:v>5</x:v>
      </x:c>
      <x:c r="L303" s="2" t="n">
        <x:v>9</x:v>
      </x:c>
      <x:c r="M303" s="2" t="n">
        <x:v>6</x:v>
      </x:c>
      <x:c r="N303" s="20" t="n">
        <x:v>0.2</x:v>
      </x:c>
      <x:c r="O303" s="20" t="n">
        <x:v>0.8</x:v>
      </x:c>
      <x:c r="P303" s="20" t="n">
        <x:v>0.75</x:v>
      </x:c>
      <x:c r="Q303" s="2" t="n">
        <x:v>42</x:v>
      </x:c>
      <x:c r="R303" s="2" t="str">
        <x:v>ENFJ</x:v>
      </x:c>
      <x:c r="S303" s="2" t="str">
        <x:v>西南</x:v>
      </x:c>
      <x:c r="T303" s="2" t="str">
        <x:v>行政或办公室岗位</x:v>
      </x:c>
    </x:row>
    <x:row r="304" ht="24" customHeight="1">
      <x:c r="A304" s="2" t="str">
        <x:v>D020_T04_C080_G075</x:v>
      </x:c>
      <x:c r="B304" s="2" t="str">
        <x:v>A0012</x:v>
      </x:c>
      <x:c r="C304" s="2" t="str">
        <x:v>inside</x:v>
      </x:c>
      <x:c r="D304" s="2" t="n">
        <x:v>4</x:v>
      </x:c>
      <x:c r="E304" s="2" t="n">
        <x:v>1</x:v>
      </x:c>
      <x:c r="F304" s="2" t="n">
        <x:v>4</x:v>
      </x:c>
      <x:c r="G304" s="2" t="str">
        <x:v>observed_post_release</x:v>
      </x:c>
      <x:c r="H304" s="2" t="n">
        <x:f>IF(AND(ISNUMBER(F304),F304&gt;=D304),1,0)</x:f>
        <x:v>1</x:v>
      </x:c>
      <x:c r="I304" s="2" t="n">
        <x:f>IF(AND(ISNUMBER(F304),F304&gt;D304),1,0)</x:f>
        <x:v>0</x:v>
      </x:c>
      <x:c r="J304" s="2" t="n">
        <x:f>IF(H304=1,F304-D304,"")</x:f>
        <x:v>0</x:v>
      </x:c>
      <x:c r="K304" s="2" t="n">
        <x:f>IF(H304=1,F304-E304,"")</x:f>
        <x:v>3</x:v>
      </x:c>
      <x:c r="L304" s="2" t="n">
        <x:v>9</x:v>
      </x:c>
      <x:c r="M304" s="2" t="n">
        <x:v>4</x:v>
      </x:c>
      <x:c r="N304" s="20" t="n">
        <x:v>0.2</x:v>
      </x:c>
      <x:c r="O304" s="20" t="n">
        <x:v>0.8</x:v>
      </x:c>
      <x:c r="P304" s="20" t="n">
        <x:v>0.75</x:v>
      </x:c>
      <x:c r="Q304" s="2" t="n">
        <x:v>38</x:v>
      </x:c>
      <x:c r="R304" s="2" t="str">
        <x:v>ESFP</x:v>
      </x:c>
      <x:c r="S304" s="2" t="str">
        <x:v>华中</x:v>
      </x:c>
      <x:c r="T304" s="2" t="str">
        <x:v>行政或办公室岗位</x:v>
      </x:c>
    </x:row>
    <x:row r="305" ht="24" customHeight="1">
      <x:c r="A305" s="2" t="str">
        <x:v>D020_T04_C080_G075</x:v>
      </x:c>
      <x:c r="B305" s="2" t="str">
        <x:v>A0019</x:v>
      </x:c>
      <x:c r="C305" s="2" t="str">
        <x:v>inside</x:v>
      </x:c>
      <x:c r="D305" s="2" t="n">
        <x:v>4</x:v>
      </x:c>
      <x:c r="E305" s="2" t="n">
        <x:v>3</x:v>
      </x:c>
      <x:c r="F305" s="2" t="n">
        <x:v>4</x:v>
      </x:c>
      <x:c r="G305" s="2" t="str">
        <x:v>observed_post_release</x:v>
      </x:c>
      <x:c r="H305" s="2" t="n">
        <x:f>IF(AND(ISNUMBER(F305),F305&gt;=D305),1,0)</x:f>
        <x:v>1</x:v>
      </x:c>
      <x:c r="I305" s="2" t="n">
        <x:f>IF(AND(ISNUMBER(F305),F305&gt;D305),1,0)</x:f>
        <x:v>0</x:v>
      </x:c>
      <x:c r="J305" s="2" t="n">
        <x:f>IF(H305=1,F305-D305,"")</x:f>
        <x:v>0</x:v>
      </x:c>
      <x:c r="K305" s="2" t="n">
        <x:f>IF(H305=1,F305-E305,"")</x:f>
        <x:v>1</x:v>
      </x:c>
      <x:c r="L305" s="2" t="n">
        <x:v>7</x:v>
      </x:c>
      <x:c r="M305" s="2" t="n">
        <x:v>4</x:v>
      </x:c>
      <x:c r="N305" s="20" t="n">
        <x:v>0.2</x:v>
      </x:c>
      <x:c r="O305" s="20" t="n">
        <x:v>0.8</x:v>
      </x:c>
      <x:c r="P305" s="20" t="n">
        <x:v>0.75</x:v>
      </x:c>
      <x:c r="Q305" s="2" t="n">
        <x:v>19</x:v>
      </x:c>
      <x:c r="R305" s="2" t="str">
        <x:v>INTJ</x:v>
      </x:c>
      <x:c r="S305" s="2" t="str">
        <x:v>西南</x:v>
      </x:c>
      <x:c r="T305" s="2" t="str">
        <x:v>行政或办公室岗位</x:v>
      </x:c>
    </x:row>
    <x:row r="306" ht="24" customHeight="1">
      <x:c r="A306" s="2" t="str">
        <x:v>D020_T04_C080_G075</x:v>
      </x:c>
      <x:c r="B306" s="2" t="str">
        <x:v>A0024</x:v>
      </x:c>
      <x:c r="C306" s="2" t="str">
        <x:v>inside</x:v>
      </x:c>
      <x:c r="D306" s="2" t="n">
        <x:v>4</x:v>
      </x:c>
      <x:c r="E306" s="2" t="n">
        <x:v>1</x:v>
      </x:c>
      <x:c r="F306" s="2" t="n">
        <x:v>5</x:v>
      </x:c>
      <x:c r="G306" s="2" t="str">
        <x:v>observed_post_release</x:v>
      </x:c>
      <x:c r="H306" s="2" t="n">
        <x:f>IF(AND(ISNUMBER(F306),F306&gt;=D306),1,0)</x:f>
        <x:v>1</x:v>
      </x:c>
      <x:c r="I306" s="2" t="n">
        <x:f>IF(AND(ISNUMBER(F306),F306&gt;D306),1,0)</x:f>
        <x:v>1</x:v>
      </x:c>
      <x:c r="J306" s="2" t="n">
        <x:f>IF(H306=1,F306-D306,"")</x:f>
        <x:v>1</x:v>
      </x:c>
      <x:c r="K306" s="2" t="n">
        <x:f>IF(H306=1,F306-E306,"")</x:f>
        <x:v>4</x:v>
      </x:c>
      <x:c r="L306" s="2" t="n">
        <x:v>9</x:v>
      </x:c>
      <x:c r="M306" s="2" t="n">
        <x:v>4</x:v>
      </x:c>
      <x:c r="N306" s="20" t="n">
        <x:v>0.2</x:v>
      </x:c>
      <x:c r="O306" s="20" t="n">
        <x:v>0.8</x:v>
      </x:c>
      <x:c r="P306" s="20" t="n">
        <x:v>0.75</x:v>
      </x:c>
      <x:c r="Q306" s="2" t="n">
        <x:v>31</x:v>
      </x:c>
      <x:c r="R306" s="2" t="str">
        <x:v>ESTP</x:v>
      </x:c>
      <x:c r="S306" s="2" t="str">
        <x:v>华北</x:v>
      </x:c>
      <x:c r="T306" s="2" t="str">
        <x:v>商业服务岗位</x:v>
      </x:c>
    </x:row>
    <x:row r="307" ht="24" customHeight="1">
      <x:c r="A307" s="2" t="str">
        <x:v>D020_T04_C080_G075</x:v>
      </x:c>
      <x:c r="B307" s="2" t="str">
        <x:v>A0025</x:v>
      </x:c>
      <x:c r="C307" s="2" t="str">
        <x:v>inside</x:v>
      </x:c>
      <x:c r="D307" s="2" t="n">
        <x:v>4</x:v>
      </x:c>
      <x:c r="E307" s="2" t="n">
        <x:v>1</x:v>
      </x:c>
      <x:c r="F307" s="2" t="n">
        <x:v>5</x:v>
      </x:c>
      <x:c r="G307" s="2" t="str">
        <x:v>observed_post_release</x:v>
      </x:c>
      <x:c r="H307" s="2" t="n">
        <x:f>IF(AND(ISNUMBER(F307),F307&gt;=D307),1,0)</x:f>
        <x:v>1</x:v>
      </x:c>
      <x:c r="I307" s="2" t="n">
        <x:f>IF(AND(ISNUMBER(F307),F307&gt;D307),1,0)</x:f>
        <x:v>1</x:v>
      </x:c>
      <x:c r="J307" s="2" t="n">
        <x:f>IF(H307=1,F307-D307,"")</x:f>
        <x:v>1</x:v>
      </x:c>
      <x:c r="K307" s="2" t="n">
        <x:f>IF(H307=1,F307-E307,"")</x:f>
        <x:v>4</x:v>
      </x:c>
      <x:c r="L307" s="2" t="n">
        <x:v>9</x:v>
      </x:c>
      <x:c r="M307" s="2" t="n">
        <x:v>4</x:v>
      </x:c>
      <x:c r="N307" s="20" t="n">
        <x:v>0.2</x:v>
      </x:c>
      <x:c r="O307" s="20" t="n">
        <x:v>0.8</x:v>
      </x:c>
      <x:c r="P307" s="20" t="n">
        <x:v>0.75</x:v>
      </x:c>
      <x:c r="Q307" s="2" t="n">
        <x:v>23</x:v>
      </x:c>
      <x:c r="R307" s="2" t="str">
        <x:v>ISTP</x:v>
      </x:c>
      <x:c r="S307" s="2" t="str">
        <x:v>华南</x:v>
      </x:c>
      <x:c r="T307" s="2" t="str">
        <x:v>行政或办公室岗位</x:v>
      </x:c>
    </x:row>
    <x:row r="308" ht="24" customHeight="1">
      <x:c r="A308" s="2" t="str">
        <x:v>D020_T04_C080_G075</x:v>
      </x:c>
      <x:c r="B308" s="2" t="str">
        <x:v>A0032</x:v>
      </x:c>
      <x:c r="C308" s="2" t="str">
        <x:v>inside</x:v>
      </x:c>
      <x:c r="D308" s="2" t="n">
        <x:v>4</x:v>
      </x:c>
      <x:c r="E308" s="2" t="n">
        <x:v>1</x:v>
      </x:c>
      <x:c r="F308" s="2" t="n">
        <x:v>4</x:v>
      </x:c>
      <x:c r="G308" s="2" t="str">
        <x:v>observed_post_release</x:v>
      </x:c>
      <x:c r="H308" s="2" t="n">
        <x:f>IF(AND(ISNUMBER(F308),F308&gt;=D308),1,0)</x:f>
        <x:v>1</x:v>
      </x:c>
      <x:c r="I308" s="2" t="n">
        <x:f>IF(AND(ISNUMBER(F308),F308&gt;D308),1,0)</x:f>
        <x:v>0</x:v>
      </x:c>
      <x:c r="J308" s="2" t="n">
        <x:f>IF(H308=1,F308-D308,"")</x:f>
        <x:v>0</x:v>
      </x:c>
      <x:c r="K308" s="2" t="n">
        <x:f>IF(H308=1,F308-E308,"")</x:f>
        <x:v>3</x:v>
      </x:c>
      <x:c r="L308" s="2" t="n">
        <x:v>9</x:v>
      </x:c>
      <x:c r="M308" s="2" t="n">
        <x:v>4</x:v>
      </x:c>
      <x:c r="N308" s="20" t="n">
        <x:v>0.2</x:v>
      </x:c>
      <x:c r="O308" s="20" t="n">
        <x:v>0.8</x:v>
      </x:c>
      <x:c r="P308" s="20" t="n">
        <x:v>0.75</x:v>
      </x:c>
      <x:c r="Q308" s="2" t="n">
        <x:v>53</x:v>
      </x:c>
      <x:c r="R308" s="2" t="str">
        <x:v>INTP</x:v>
      </x:c>
      <x:c r="S308" s="2" t="str">
        <x:v>华北</x:v>
      </x:c>
      <x:c r="T308" s="2" t="str">
        <x:v>个体经营或自由职业</x:v>
      </x:c>
    </x:row>
    <x:row r="309" ht="24" customHeight="1">
      <x:c r="A309" s="2" t="str">
        <x:v>D020_T04_C080_G075</x:v>
      </x:c>
      <x:c r="B309" s="2" t="str">
        <x:v>A0033</x:v>
      </x:c>
      <x:c r="C309" s="2" t="str">
        <x:v>inside</x:v>
      </x:c>
      <x:c r="D309" s="2" t="n">
        <x:v>4</x:v>
      </x:c>
      <x:c r="E309" s="2" t="n">
        <x:v>1</x:v>
      </x:c>
      <x:c r="F309" s="2" t="n">
        <x:v>4</x:v>
      </x:c>
      <x:c r="G309" s="2" t="str">
        <x:v>observed_post_release</x:v>
      </x:c>
      <x:c r="H309" s="2" t="n">
        <x:f>IF(AND(ISNUMBER(F309),F309&gt;=D309),1,0)</x:f>
        <x:v>1</x:v>
      </x:c>
      <x:c r="I309" s="2" t="n">
        <x:f>IF(AND(ISNUMBER(F309),F309&gt;D309),1,0)</x:f>
        <x:v>0</x:v>
      </x:c>
      <x:c r="J309" s="2" t="n">
        <x:f>IF(H309=1,F309-D309,"")</x:f>
        <x:v>0</x:v>
      </x:c>
      <x:c r="K309" s="2" t="n">
        <x:f>IF(H309=1,F309-E309,"")</x:f>
        <x:v>3</x:v>
      </x:c>
      <x:c r="L309" s="2" t="n">
        <x:v>9</x:v>
      </x:c>
      <x:c r="M309" s="2" t="n">
        <x:v>4</x:v>
      </x:c>
      <x:c r="N309" s="20" t="n">
        <x:v>0.2</x:v>
      </x:c>
      <x:c r="O309" s="20" t="n">
        <x:v>0.8</x:v>
      </x:c>
      <x:c r="P309" s="20" t="n">
        <x:v>0.75</x:v>
      </x:c>
      <x:c r="Q309" s="2" t="n">
        <x:v>55</x:v>
      </x:c>
      <x:c r="R309" s="2" t="str">
        <x:v>ENFP</x:v>
      </x:c>
      <x:c r="S309" s="2" t="str">
        <x:v>华南</x:v>
      </x:c>
      <x:c r="T309" s="2" t="str">
        <x:v>个体经营或自由职业</x:v>
      </x:c>
    </x:row>
    <x:row r="310" ht="24" customHeight="1">
      <x:c r="A310" s="2" t="str">
        <x:v>D020_T04_C080_G075</x:v>
      </x:c>
      <x:c r="B310" s="2" t="str">
        <x:v>A0035</x:v>
      </x:c>
      <x:c r="C310" s="2" t="str">
        <x:v>inside</x:v>
      </x:c>
      <x:c r="D310" s="2" t="n">
        <x:v>4</x:v>
      </x:c>
      <x:c r="E310" s="2" t="n">
        <x:v>1</x:v>
      </x:c>
      <x:c r="F310" s="2" t="n">
        <x:v>4</x:v>
      </x:c>
      <x:c r="G310" s="2" t="str">
        <x:v>observed_post_release</x:v>
      </x:c>
      <x:c r="H310" s="2" t="n">
        <x:f>IF(AND(ISNUMBER(F310),F310&gt;=D310),1,0)</x:f>
        <x:v>1</x:v>
      </x:c>
      <x:c r="I310" s="2" t="n">
        <x:f>IF(AND(ISNUMBER(F310),F310&gt;D310),1,0)</x:f>
        <x:v>0</x:v>
      </x:c>
      <x:c r="J310" s="2" t="n">
        <x:f>IF(H310=1,F310-D310,"")</x:f>
        <x:v>0</x:v>
      </x:c>
      <x:c r="K310" s="2" t="n">
        <x:f>IF(H310=1,F310-E310,"")</x:f>
        <x:v>3</x:v>
      </x:c>
      <x:c r="L310" s="2" t="n">
        <x:v>9</x:v>
      </x:c>
      <x:c r="M310" s="2" t="n">
        <x:v>4</x:v>
      </x:c>
      <x:c r="N310" s="20" t="n">
        <x:v>0.2</x:v>
      </x:c>
      <x:c r="O310" s="20" t="n">
        <x:v>0.8</x:v>
      </x:c>
      <x:c r="P310" s="20" t="n">
        <x:v>0.75</x:v>
      </x:c>
      <x:c r="Q310" s="2" t="n">
        <x:v>42</x:v>
      </x:c>
      <x:c r="R310" s="2" t="str">
        <x:v>ISFJ</x:v>
      </x:c>
      <x:c r="S310" s="2" t="str">
        <x:v>华南</x:v>
      </x:c>
      <x:c r="T310" s="2" t="str">
        <x:v>专业技术岗位</x:v>
      </x:c>
    </x:row>
    <x:row r="311" ht="24" customHeight="1">
      <x:c r="A311" s="2" t="str">
        <x:v>D020_T04_C080_G075</x:v>
      </x:c>
      <x:c r="B311" s="2" t="str">
        <x:v>A0036</x:v>
      </x:c>
      <x:c r="C311" s="2" t="str">
        <x:v>inside</x:v>
      </x:c>
      <x:c r="D311" s="2" t="n">
        <x:v>4</x:v>
      </x:c>
      <x:c r="E311" s="2" t="n">
        <x:v>1</x:v>
      </x:c>
      <x:c r="F311" s="2" t="n">
        <x:v>4</x:v>
      </x:c>
      <x:c r="G311" s="2" t="str">
        <x:v>observed_post_release</x:v>
      </x:c>
      <x:c r="H311" s="2" t="n">
        <x:f>IF(AND(ISNUMBER(F311),F311&gt;=D311),1,0)</x:f>
        <x:v>1</x:v>
      </x:c>
      <x:c r="I311" s="2" t="n">
        <x:f>IF(AND(ISNUMBER(F311),F311&gt;D311),1,0)</x:f>
        <x:v>0</x:v>
      </x:c>
      <x:c r="J311" s="2" t="n">
        <x:f>IF(H311=1,F311-D311,"")</x:f>
        <x:v>0</x:v>
      </x:c>
      <x:c r="K311" s="2" t="n">
        <x:f>IF(H311=1,F311-E311,"")</x:f>
        <x:v>3</x:v>
      </x:c>
      <x:c r="L311" s="2" t="n">
        <x:v>9</x:v>
      </x:c>
      <x:c r="M311" s="2" t="n">
        <x:v>4</x:v>
      </x:c>
      <x:c r="N311" s="20" t="n">
        <x:v>0.2</x:v>
      </x:c>
      <x:c r="O311" s="20" t="n">
        <x:v>0.8</x:v>
      </x:c>
      <x:c r="P311" s="20" t="n">
        <x:v>0.75</x:v>
      </x:c>
      <x:c r="Q311" s="2" t="n">
        <x:v>43</x:v>
      </x:c>
      <x:c r="R311" s="2" t="str">
        <x:v>ISFJ</x:v>
      </x:c>
      <x:c r="S311" s="2" t="str">
        <x:v>华东</x:v>
      </x:c>
      <x:c r="T311" s="2" t="str">
        <x:v>生产运输或体力岗位</x:v>
      </x:c>
    </x:row>
    <x:row r="312" ht="24" customHeight="1">
      <x:c r="A312" s="2" t="str">
        <x:v>D020_T04_C080_G075</x:v>
      </x:c>
      <x:c r="B312" s="2" t="str">
        <x:v>A0037</x:v>
      </x:c>
      <x:c r="C312" s="2" t="str">
        <x:v>inside</x:v>
      </x:c>
      <x:c r="D312" s="2" t="n">
        <x:v>4</x:v>
      </x:c>
      <x:c r="E312" s="2" t="n">
        <x:v>1</x:v>
      </x:c>
      <x:c r="F312" s="2" t="n">
        <x:v>4</x:v>
      </x:c>
      <x:c r="G312" s="2" t="str">
        <x:v>observed_post_release</x:v>
      </x:c>
      <x:c r="H312" s="2" t="n">
        <x:f>IF(AND(ISNUMBER(F312),F312&gt;=D312),1,0)</x:f>
        <x:v>1</x:v>
      </x:c>
      <x:c r="I312" s="2" t="n">
        <x:f>IF(AND(ISNUMBER(F312),F312&gt;D312),1,0)</x:f>
        <x:v>0</x:v>
      </x:c>
      <x:c r="J312" s="2" t="n">
        <x:f>IF(H312=1,F312-D312,"")</x:f>
        <x:v>0</x:v>
      </x:c>
      <x:c r="K312" s="2" t="n">
        <x:f>IF(H312=1,F312-E312,"")</x:f>
        <x:v>3</x:v>
      </x:c>
      <x:c r="L312" s="2" t="n">
        <x:v>9</x:v>
      </x:c>
      <x:c r="M312" s="2" t="n">
        <x:v>4</x:v>
      </x:c>
      <x:c r="N312" s="20" t="n">
        <x:v>0.2</x:v>
      </x:c>
      <x:c r="O312" s="20" t="n">
        <x:v>0.8</x:v>
      </x:c>
      <x:c r="P312" s="20" t="n">
        <x:v>0.75</x:v>
      </x:c>
      <x:c r="Q312" s="2" t="n">
        <x:v>24</x:v>
      </x:c>
      <x:c r="R312" s="2" t="str">
        <x:v>ENTP</x:v>
      </x:c>
      <x:c r="S312" s="2" t="str">
        <x:v>华南</x:v>
      </x:c>
      <x:c r="T312" s="2" t="str">
        <x:v>在校学生</x:v>
      </x:c>
    </x:row>
    <x:row r="313" ht="24" customHeight="1">
      <x:c r="A313" s="2" t="str">
        <x:v>D020_T04_C080_G075</x:v>
      </x:c>
      <x:c r="B313" s="2" t="str">
        <x:v>A0040</x:v>
      </x:c>
      <x:c r="C313" s="2" t="str">
        <x:v>inside</x:v>
      </x:c>
      <x:c r="D313" s="2" t="n">
        <x:v>4</x:v>
      </x:c>
      <x:c r="E313" s="2" t="n">
        <x:v>1</x:v>
      </x:c>
      <x:c r="F313" s="2" t="n">
        <x:v>4</x:v>
      </x:c>
      <x:c r="G313" s="2" t="str">
        <x:v>observed_post_release</x:v>
      </x:c>
      <x:c r="H313" s="2" t="n">
        <x:f>IF(AND(ISNUMBER(F313),F313&gt;=D313),1,0)</x:f>
        <x:v>1</x:v>
      </x:c>
      <x:c r="I313" s="2" t="n">
        <x:f>IF(AND(ISNUMBER(F313),F313&gt;D313),1,0)</x:f>
        <x:v>0</x:v>
      </x:c>
      <x:c r="J313" s="2" t="n">
        <x:f>IF(H313=1,F313-D313,"")</x:f>
        <x:v>0</x:v>
      </x:c>
      <x:c r="K313" s="2" t="n">
        <x:f>IF(H313=1,F313-E313,"")</x:f>
        <x:v>3</x:v>
      </x:c>
      <x:c r="L313" s="2" t="n">
        <x:v>9</x:v>
      </x:c>
      <x:c r="M313" s="2" t="n">
        <x:v>4</x:v>
      </x:c>
      <x:c r="N313" s="20" t="n">
        <x:v>0.2</x:v>
      </x:c>
      <x:c r="O313" s="20" t="n">
        <x:v>0.8</x:v>
      </x:c>
      <x:c r="P313" s="20" t="n">
        <x:v>0.75</x:v>
      </x:c>
      <x:c r="Q313" s="2" t="n">
        <x:v>48</x:v>
      </x:c>
      <x:c r="R313" s="2" t="str">
        <x:v>INFP</x:v>
      </x:c>
      <x:c r="S313" s="2" t="str">
        <x:v>西北</x:v>
      </x:c>
      <x:c r="T313" s="2" t="str">
        <x:v>个体经营或自由职业</x:v>
      </x:c>
    </x:row>
    <x:row r="314" ht="24" customHeight="1">
      <x:c r="A314" s="2" t="str">
        <x:v>D020_T04_C080_G075</x:v>
      </x:c>
      <x:c r="B314" s="2" t="str">
        <x:v>A0041</x:v>
      </x:c>
      <x:c r="C314" s="2" t="str">
        <x:v>inside</x:v>
      </x:c>
      <x:c r="D314" s="2" t="n">
        <x:v>4</x:v>
      </x:c>
      <x:c r="E314" s="2" t="n">
        <x:v>1</x:v>
      </x:c>
      <x:c r="F314" s="2" t="n">
        <x:v>4</x:v>
      </x:c>
      <x:c r="G314" s="2" t="str">
        <x:v>observed_post_release</x:v>
      </x:c>
      <x:c r="H314" s="2" t="n">
        <x:f>IF(AND(ISNUMBER(F314),F314&gt;=D314),1,0)</x:f>
        <x:v>1</x:v>
      </x:c>
      <x:c r="I314" s="2" t="n">
        <x:f>IF(AND(ISNUMBER(F314),F314&gt;D314),1,0)</x:f>
        <x:v>0</x:v>
      </x:c>
      <x:c r="J314" s="2" t="n">
        <x:f>IF(H314=1,F314-D314,"")</x:f>
        <x:v>0</x:v>
      </x:c>
      <x:c r="K314" s="2" t="n">
        <x:f>IF(H314=1,F314-E314,"")</x:f>
        <x:v>3</x:v>
      </x:c>
      <x:c r="L314" s="2" t="n">
        <x:v>9</x:v>
      </x:c>
      <x:c r="M314" s="2" t="n">
        <x:v>4</x:v>
      </x:c>
      <x:c r="N314" s="20" t="n">
        <x:v>0.2</x:v>
      </x:c>
      <x:c r="O314" s="20" t="n">
        <x:v>0.8</x:v>
      </x:c>
      <x:c r="P314" s="20" t="n">
        <x:v>0.75</x:v>
      </x:c>
      <x:c r="Q314" s="2" t="n">
        <x:v>62</x:v>
      </x:c>
      <x:c r="R314" s="2" t="str">
        <x:v>ISFJ</x:v>
      </x:c>
      <x:c r="S314" s="2" t="str">
        <x:v>西北</x:v>
      </x:c>
      <x:c r="T314" s="2" t="str">
        <x:v>个体经营或自由职业</x:v>
      </x:c>
    </x:row>
    <x:row r="315" ht="24" customHeight="1">
      <x:c r="A315" s="2" t="str">
        <x:v>D020_T04_C080_G075</x:v>
      </x:c>
      <x:c r="B315" s="2" t="str">
        <x:v>A0206</x:v>
      </x:c>
      <x:c r="C315" s="2" t="str">
        <x:v>inside</x:v>
      </x:c>
      <x:c r="D315" s="2" t="n">
        <x:v>4</x:v>
      </x:c>
      <x:c r="E315" s="2" t="n">
        <x:v>1</x:v>
      </x:c>
      <x:c r="F315" s="2" t="n">
        <x:v>4</x:v>
      </x:c>
      <x:c r="G315" s="2" t="str">
        <x:v>observed_post_release</x:v>
      </x:c>
      <x:c r="H315" s="2" t="n">
        <x:f>IF(AND(ISNUMBER(F315),F315&gt;=D315),1,0)</x:f>
        <x:v>1</x:v>
      </x:c>
      <x:c r="I315" s="2" t="n">
        <x:f>IF(AND(ISNUMBER(F315),F315&gt;D315),1,0)</x:f>
        <x:v>0</x:v>
      </x:c>
      <x:c r="J315" s="2" t="n">
        <x:f>IF(H315=1,F315-D315,"")</x:f>
        <x:v>0</x:v>
      </x:c>
      <x:c r="K315" s="2" t="n">
        <x:f>IF(H315=1,F315-E315,"")</x:f>
        <x:v>3</x:v>
      </x:c>
      <x:c r="L315" s="2" t="n">
        <x:v>9</x:v>
      </x:c>
      <x:c r="M315" s="2" t="n">
        <x:v>4</x:v>
      </x:c>
      <x:c r="N315" s="20" t="n">
        <x:v>0.2</x:v>
      </x:c>
      <x:c r="O315" s="20" t="n">
        <x:v>0.8</x:v>
      </x:c>
      <x:c r="P315" s="20" t="n">
        <x:v>0.75</x:v>
      </x:c>
      <x:c r="Q315" s="2" t="n">
        <x:v>21</x:v>
      </x:c>
      <x:c r="R315" s="2" t="str">
        <x:v>ESTP</x:v>
      </x:c>
      <x:c r="S315" s="2" t="str">
        <x:v>西北</x:v>
      </x:c>
      <x:c r="T315" s="2" t="str">
        <x:v>暂未就业或家庭照料</x:v>
      </x:c>
    </x:row>
    <x:row r="316" ht="24" customHeight="1">
      <x:c r="A316" s="2" t="str">
        <x:v>D020_T07_C020_G025</x:v>
      </x:c>
      <x:c r="B316" s="2" t="str">
        <x:v>A0002</x:v>
      </x:c>
      <x:c r="C316" s="2" t="str">
        <x:v>inside</x:v>
      </x:c>
      <x:c r="D316" s="2" t="n">
        <x:v>7</x:v>
      </x:c>
      <x:c r="E316" s="2" t="n">
        <x:v>1</x:v>
      </x:c>
      <x:c r="F316" s="2"/>
      <x:c r="G316" s="2" t="str">
        <x:v>right_censored</x:v>
      </x:c>
      <x:c r="H316" s="2" t="n">
        <x:f>IF(AND(ISNUMBER(F316),F316&gt;=D316),1,0)</x:f>
        <x:v>0</x:v>
      </x:c>
      <x:c r="I316" s="2" t="n">
        <x:f>IF(AND(ISNUMBER(F316),F316&gt;D316),1,0)</x:f>
        <x:v>0</x:v>
      </x:c>
      <x:c r="J316" s="2" t="str">
        <x:f>IF(H316=1,F316-D316,"")</x:f>
      </x:c>
      <x:c r="K316" s="2" t="str">
        <x:f>IF(H316=1,F316-E316,"")</x:f>
      </x:c>
      <x:c r="L316" s="2" t="n">
        <x:v>9</x:v>
      </x:c>
      <x:c r="M316" s="2"/>
      <x:c r="N316" s="20" t="n">
        <x:v>0.2</x:v>
      </x:c>
      <x:c r="O316" s="20" t="n">
        <x:v>0.2</x:v>
      </x:c>
      <x:c r="P316" s="20" t="n">
        <x:v>0.25</x:v>
      </x:c>
      <x:c r="Q316" s="2" t="n">
        <x:v>19</x:v>
      </x:c>
      <x:c r="R316" s="2" t="str">
        <x:v>ESTP</x:v>
      </x:c>
      <x:c r="S316" s="2" t="str">
        <x:v>华南</x:v>
      </x:c>
      <x:c r="T316" s="2" t="str">
        <x:v>商业服务岗位</x:v>
      </x:c>
    </x:row>
    <x:row r="317" ht="24" customHeight="1">
      <x:c r="A317" s="2" t="str">
        <x:v>D020_T07_C020_G025</x:v>
      </x:c>
      <x:c r="B317" s="2" t="str">
        <x:v>A0005</x:v>
      </x:c>
      <x:c r="C317" s="2" t="str">
        <x:v>inside</x:v>
      </x:c>
      <x:c r="D317" s="2" t="n">
        <x:v>7</x:v>
      </x:c>
      <x:c r="E317" s="2" t="n">
        <x:v>1</x:v>
      </x:c>
      <x:c r="F317" s="2"/>
      <x:c r="G317" s="2" t="str">
        <x:v>right_censored</x:v>
      </x:c>
      <x:c r="H317" s="2" t="n">
        <x:f>IF(AND(ISNUMBER(F317),F317&gt;=D317),1,0)</x:f>
        <x:v>0</x:v>
      </x:c>
      <x:c r="I317" s="2" t="n">
        <x:f>IF(AND(ISNUMBER(F317),F317&gt;D317),1,0)</x:f>
        <x:v>0</x:v>
      </x:c>
      <x:c r="J317" s="2" t="str">
        <x:f>IF(H317=1,F317-D317,"")</x:f>
      </x:c>
      <x:c r="K317" s="2" t="str">
        <x:f>IF(H317=1,F317-E317,"")</x:f>
      </x:c>
      <x:c r="L317" s="2" t="n">
        <x:v>9</x:v>
      </x:c>
      <x:c r="M317" s="2"/>
      <x:c r="N317" s="20" t="n">
        <x:v>0.2</x:v>
      </x:c>
      <x:c r="O317" s="20" t="n">
        <x:v>0.2</x:v>
      </x:c>
      <x:c r="P317" s="20" t="n">
        <x:v>0.25</x:v>
      </x:c>
      <x:c r="Q317" s="2" t="n">
        <x:v>51</x:v>
      </x:c>
      <x:c r="R317" s="2" t="str">
        <x:v>ISTP</x:v>
      </x:c>
      <x:c r="S317" s="2" t="str">
        <x:v>华南</x:v>
      </x:c>
      <x:c r="T317" s="2" t="str">
        <x:v>生产运输或体力岗位</x:v>
      </x:c>
    </x:row>
    <x:row r="318" ht="24" customHeight="1">
      <x:c r="A318" s="2" t="str">
        <x:v>D020_T07_C020_G025</x:v>
      </x:c>
      <x:c r="B318" s="2" t="str">
        <x:v>A0006</x:v>
      </x:c>
      <x:c r="C318" s="2" t="str">
        <x:v>inside</x:v>
      </x:c>
      <x:c r="D318" s="2" t="n">
        <x:v>7</x:v>
      </x:c>
      <x:c r="E318" s="2" t="n">
        <x:v>1</x:v>
      </x:c>
      <x:c r="F318" s="2"/>
      <x:c r="G318" s="2" t="str">
        <x:v>right_censored</x:v>
      </x:c>
      <x:c r="H318" s="2" t="n">
        <x:f>IF(AND(ISNUMBER(F318),F318&gt;=D318),1,0)</x:f>
        <x:v>0</x:v>
      </x:c>
      <x:c r="I318" s="2" t="n">
        <x:f>IF(AND(ISNUMBER(F318),F318&gt;D318),1,0)</x:f>
        <x:v>0</x:v>
      </x:c>
      <x:c r="J318" s="2" t="str">
        <x:f>IF(H318=1,F318-D318,"")</x:f>
      </x:c>
      <x:c r="K318" s="2" t="str">
        <x:f>IF(H318=1,F318-E318,"")</x:f>
      </x:c>
      <x:c r="L318" s="2" t="n">
        <x:v>9</x:v>
      </x:c>
      <x:c r="M318" s="2" t="n">
        <x:v>10</x:v>
      </x:c>
      <x:c r="N318" s="20" t="n">
        <x:v>0.2</x:v>
      </x:c>
      <x:c r="O318" s="20" t="n">
        <x:v>0.2</x:v>
      </x:c>
      <x:c r="P318" s="20" t="n">
        <x:v>0.25</x:v>
      </x:c>
      <x:c r="Q318" s="2" t="n">
        <x:v>60</x:v>
      </x:c>
      <x:c r="R318" s="2" t="str">
        <x:v>ENFP</x:v>
      </x:c>
      <x:c r="S318" s="2" t="str">
        <x:v>华中</x:v>
      </x:c>
      <x:c r="T318" s="2" t="str">
        <x:v>行政或办公室岗位</x:v>
      </x:c>
    </x:row>
    <x:row r="319" ht="24" customHeight="1">
      <x:c r="A319" s="2" t="str">
        <x:v>D020_T07_C020_G025</x:v>
      </x:c>
      <x:c r="B319" s="2" t="str">
        <x:v>A0009</x:v>
      </x:c>
      <x:c r="C319" s="2" t="str">
        <x:v>inside</x:v>
      </x:c>
      <x:c r="D319" s="2" t="n">
        <x:v>7</x:v>
      </x:c>
      <x:c r="E319" s="2" t="n">
        <x:v>1</x:v>
      </x:c>
      <x:c r="F319" s="2"/>
      <x:c r="G319" s="2" t="str">
        <x:v>right_censored</x:v>
      </x:c>
      <x:c r="H319" s="2" t="n">
        <x:f>IF(AND(ISNUMBER(F319),F319&gt;=D319),1,0)</x:f>
        <x:v>0</x:v>
      </x:c>
      <x:c r="I319" s="2" t="n">
        <x:f>IF(AND(ISNUMBER(F319),F319&gt;D319),1,0)</x:f>
        <x:v>0</x:v>
      </x:c>
      <x:c r="J319" s="2" t="str">
        <x:f>IF(H319=1,F319-D319,"")</x:f>
      </x:c>
      <x:c r="K319" s="2" t="str">
        <x:f>IF(H319=1,F319-E319,"")</x:f>
      </x:c>
      <x:c r="L319" s="2" t="n">
        <x:v>9</x:v>
      </x:c>
      <x:c r="M319" s="2"/>
      <x:c r="N319" s="20" t="n">
        <x:v>0.2</x:v>
      </x:c>
      <x:c r="O319" s="20" t="n">
        <x:v>0.2</x:v>
      </x:c>
      <x:c r="P319" s="20" t="n">
        <x:v>0.25</x:v>
      </x:c>
      <x:c r="Q319" s="2" t="n">
        <x:v>32</x:v>
      </x:c>
      <x:c r="R319" s="2" t="str">
        <x:v>ENFJ</x:v>
      </x:c>
      <x:c r="S319" s="2" t="str">
        <x:v>华东</x:v>
      </x:c>
      <x:c r="T319" s="2" t="str">
        <x:v>商业服务岗位</x:v>
      </x:c>
    </x:row>
    <x:row r="320" ht="24" customHeight="1">
      <x:c r="A320" s="2" t="str">
        <x:v>D020_T07_C020_G025</x:v>
      </x:c>
      <x:c r="B320" s="2" t="str">
        <x:v>A0011</x:v>
      </x:c>
      <x:c r="C320" s="2" t="str">
        <x:v>inside</x:v>
      </x:c>
      <x:c r="D320" s="2" t="n">
        <x:v>7</x:v>
      </x:c>
      <x:c r="E320" s="2" t="n">
        <x:v>1</x:v>
      </x:c>
      <x:c r="F320" s="2"/>
      <x:c r="G320" s="2" t="str">
        <x:v>right_censored</x:v>
      </x:c>
      <x:c r="H320" s="2" t="n">
        <x:f>IF(AND(ISNUMBER(F320),F320&gt;=D320),1,0)</x:f>
        <x:v>0</x:v>
      </x:c>
      <x:c r="I320" s="2" t="n">
        <x:f>IF(AND(ISNUMBER(F320),F320&gt;D320),1,0)</x:f>
        <x:v>0</x:v>
      </x:c>
      <x:c r="J320" s="2" t="str">
        <x:f>IF(H320=1,F320-D320,"")</x:f>
      </x:c>
      <x:c r="K320" s="2" t="str">
        <x:f>IF(H320=1,F320-E320,"")</x:f>
      </x:c>
      <x:c r="L320" s="2" t="n">
        <x:v>9</x:v>
      </x:c>
      <x:c r="M320" s="2" t="n">
        <x:v>7</x:v>
      </x:c>
      <x:c r="N320" s="20" t="n">
        <x:v>0.2</x:v>
      </x:c>
      <x:c r="O320" s="20" t="n">
        <x:v>0.2</x:v>
      </x:c>
      <x:c r="P320" s="20" t="n">
        <x:v>0.25</x:v>
      </x:c>
      <x:c r="Q320" s="2" t="n">
        <x:v>42</x:v>
      </x:c>
      <x:c r="R320" s="2" t="str">
        <x:v>ENFJ</x:v>
      </x:c>
      <x:c r="S320" s="2" t="str">
        <x:v>西南</x:v>
      </x:c>
      <x:c r="T320" s="2" t="str">
        <x:v>行政或办公室岗位</x:v>
      </x:c>
    </x:row>
    <x:row r="321" ht="24" customHeight="1">
      <x:c r="A321" s="2" t="str">
        <x:v>D020_T07_C020_G025</x:v>
      </x:c>
      <x:c r="B321" s="2" t="str">
        <x:v>A0012</x:v>
      </x:c>
      <x:c r="C321" s="2" t="str">
        <x:v>inside</x:v>
      </x:c>
      <x:c r="D321" s="2" t="n">
        <x:v>7</x:v>
      </x:c>
      <x:c r="E321" s="2" t="n">
        <x:v>1</x:v>
      </x:c>
      <x:c r="F321" s="2"/>
      <x:c r="G321" s="2" t="str">
        <x:v>right_censored</x:v>
      </x:c>
      <x:c r="H321" s="2" t="n">
        <x:f>IF(AND(ISNUMBER(F321),F321&gt;=D321),1,0)</x:f>
        <x:v>0</x:v>
      </x:c>
      <x:c r="I321" s="2" t="n">
        <x:f>IF(AND(ISNUMBER(F321),F321&gt;D321),1,0)</x:f>
        <x:v>0</x:v>
      </x:c>
      <x:c r="J321" s="2" t="str">
        <x:f>IF(H321=1,F321-D321,"")</x:f>
      </x:c>
      <x:c r="K321" s="2" t="str">
        <x:f>IF(H321=1,F321-E321,"")</x:f>
      </x:c>
      <x:c r="L321" s="2" t="n">
        <x:v>9</x:v>
      </x:c>
      <x:c r="M321" s="2"/>
      <x:c r="N321" s="20" t="n">
        <x:v>0.2</x:v>
      </x:c>
      <x:c r="O321" s="20" t="n">
        <x:v>0.2</x:v>
      </x:c>
      <x:c r="P321" s="20" t="n">
        <x:v>0.25</x:v>
      </x:c>
      <x:c r="Q321" s="2" t="n">
        <x:v>38</x:v>
      </x:c>
      <x:c r="R321" s="2" t="str">
        <x:v>ESFP</x:v>
      </x:c>
      <x:c r="S321" s="2" t="str">
        <x:v>华中</x:v>
      </x:c>
      <x:c r="T321" s="2" t="str">
        <x:v>行政或办公室岗位</x:v>
      </x:c>
    </x:row>
    <x:row r="322" ht="24" customHeight="1">
      <x:c r="A322" s="2" t="str">
        <x:v>D020_T07_C020_G025</x:v>
      </x:c>
      <x:c r="B322" s="2" t="str">
        <x:v>A0014</x:v>
      </x:c>
      <x:c r="C322" s="2" t="str">
        <x:v>inside</x:v>
      </x:c>
      <x:c r="D322" s="2" t="n">
        <x:v>7</x:v>
      </x:c>
      <x:c r="E322" s="2" t="n">
        <x:v>1</x:v>
      </x:c>
      <x:c r="F322" s="2" t="n">
        <x:v>7</x:v>
      </x:c>
      <x:c r="G322" s="2" t="str">
        <x:v>observed_post_release</x:v>
      </x:c>
      <x:c r="H322" s="2" t="n">
        <x:f>IF(AND(ISNUMBER(F322),F322&gt;=D322),1,0)</x:f>
        <x:v>1</x:v>
      </x:c>
      <x:c r="I322" s="2" t="n">
        <x:f>IF(AND(ISNUMBER(F322),F322&gt;D322),1,0)</x:f>
        <x:v>0</x:v>
      </x:c>
      <x:c r="J322" s="2" t="n">
        <x:f>IF(H322=1,F322-D322,"")</x:f>
        <x:v>0</x:v>
      </x:c>
      <x:c r="K322" s="2" t="n">
        <x:f>IF(H322=1,F322-E322,"")</x:f>
        <x:v>6</x:v>
      </x:c>
      <x:c r="L322" s="2" t="n">
        <x:v>9</x:v>
      </x:c>
      <x:c r="M322" s="2" t="n">
        <x:v>7</x:v>
      </x:c>
      <x:c r="N322" s="20" t="n">
        <x:v>0.2</x:v>
      </x:c>
      <x:c r="O322" s="20" t="n">
        <x:v>0.2</x:v>
      </x:c>
      <x:c r="P322" s="20" t="n">
        <x:v>0.25</x:v>
      </x:c>
      <x:c r="Q322" s="2" t="n">
        <x:v>52</x:v>
      </x:c>
      <x:c r="R322" s="2" t="str">
        <x:v>INFJ</x:v>
      </x:c>
      <x:c r="S322" s="2" t="str">
        <x:v>华东</x:v>
      </x:c>
      <x:c r="T322" s="2" t="str">
        <x:v>生产运输或体力岗位</x:v>
      </x:c>
    </x:row>
    <x:row r="323" ht="24" customHeight="1">
      <x:c r="A323" s="2" t="str">
        <x:v>D020_T07_C020_G025</x:v>
      </x:c>
      <x:c r="B323" s="2" t="str">
        <x:v>A0017</x:v>
      </x:c>
      <x:c r="C323" s="2" t="str">
        <x:v>inside</x:v>
      </x:c>
      <x:c r="D323" s="2" t="n">
        <x:v>7</x:v>
      </x:c>
      <x:c r="E323" s="2" t="n">
        <x:v>1</x:v>
      </x:c>
      <x:c r="F323" s="2"/>
      <x:c r="G323" s="2" t="str">
        <x:v>right_censored</x:v>
      </x:c>
      <x:c r="H323" s="2" t="n">
        <x:f>IF(AND(ISNUMBER(F323),F323&gt;=D323),1,0)</x:f>
        <x:v>0</x:v>
      </x:c>
      <x:c r="I323" s="2" t="n">
        <x:f>IF(AND(ISNUMBER(F323),F323&gt;D323),1,0)</x:f>
        <x:v>0</x:v>
      </x:c>
      <x:c r="J323" s="2" t="str">
        <x:f>IF(H323=1,F323-D323,"")</x:f>
      </x:c>
      <x:c r="K323" s="2" t="str">
        <x:f>IF(H323=1,F323-E323,"")</x:f>
      </x:c>
      <x:c r="L323" s="2" t="n">
        <x:v>9</x:v>
      </x:c>
      <x:c r="M323" s="2"/>
      <x:c r="N323" s="20" t="n">
        <x:v>0.2</x:v>
      </x:c>
      <x:c r="O323" s="20" t="n">
        <x:v>0.2</x:v>
      </x:c>
      <x:c r="P323" s="20" t="n">
        <x:v>0.25</x:v>
      </x:c>
      <x:c r="Q323" s="2" t="n">
        <x:v>30</x:v>
      </x:c>
      <x:c r="R323" s="2" t="str">
        <x:v>ISTJ</x:v>
      </x:c>
      <x:c r="S323" s="2" t="str">
        <x:v>华东</x:v>
      </x:c>
      <x:c r="T323" s="2" t="str">
        <x:v>商业服务岗位</x:v>
      </x:c>
    </x:row>
    <x:row r="324" ht="24" customHeight="1">
      <x:c r="A324" s="2" t="str">
        <x:v>D020_T07_C020_G025</x:v>
      </x:c>
      <x:c r="B324" s="2" t="str">
        <x:v>A0018</x:v>
      </x:c>
      <x:c r="C324" s="2" t="str">
        <x:v>inside</x:v>
      </x:c>
      <x:c r="D324" s="2" t="n">
        <x:v>7</x:v>
      </x:c>
      <x:c r="E324" s="2" t="n">
        <x:v>1</x:v>
      </x:c>
      <x:c r="F324" s="2"/>
      <x:c r="G324" s="2" t="str">
        <x:v>right_censored</x:v>
      </x:c>
      <x:c r="H324" s="2" t="n">
        <x:f>IF(AND(ISNUMBER(F324),F324&gt;=D324),1,0)</x:f>
        <x:v>0</x:v>
      </x:c>
      <x:c r="I324" s="2" t="n">
        <x:f>IF(AND(ISNUMBER(F324),F324&gt;D324),1,0)</x:f>
        <x:v>0</x:v>
      </x:c>
      <x:c r="J324" s="2" t="str">
        <x:f>IF(H324=1,F324-D324,"")</x:f>
      </x:c>
      <x:c r="K324" s="2" t="str">
        <x:f>IF(H324=1,F324-E324,"")</x:f>
      </x:c>
      <x:c r="L324" s="2" t="n">
        <x:v>9</x:v>
      </x:c>
      <x:c r="M324" s="2"/>
      <x:c r="N324" s="20" t="n">
        <x:v>0.2</x:v>
      </x:c>
      <x:c r="O324" s="20" t="n">
        <x:v>0.2</x:v>
      </x:c>
      <x:c r="P324" s="20" t="n">
        <x:v>0.25</x:v>
      </x:c>
      <x:c r="Q324" s="2" t="n">
        <x:v>60</x:v>
      </x:c>
      <x:c r="R324" s="2" t="str">
        <x:v>INTJ</x:v>
      </x:c>
      <x:c r="S324" s="2" t="str">
        <x:v>华南</x:v>
      </x:c>
      <x:c r="T324" s="2" t="str">
        <x:v>专业技术岗位</x:v>
      </x:c>
    </x:row>
    <x:row r="325" ht="24" customHeight="1">
      <x:c r="A325" s="2" t="str">
        <x:v>D020_T07_C020_G025</x:v>
      </x:c>
      <x:c r="B325" s="2" t="str">
        <x:v>A0019</x:v>
      </x:c>
      <x:c r="C325" s="2" t="str">
        <x:v>inside</x:v>
      </x:c>
      <x:c r="D325" s="2" t="n">
        <x:v>7</x:v>
      </x:c>
      <x:c r="E325" s="2" t="n">
        <x:v>1</x:v>
      </x:c>
      <x:c r="F325" s="2"/>
      <x:c r="G325" s="2" t="str">
        <x:v>right_censored</x:v>
      </x:c>
      <x:c r="H325" s="2" t="n">
        <x:f>IF(AND(ISNUMBER(F325),F325&gt;=D325),1,0)</x:f>
        <x:v>0</x:v>
      </x:c>
      <x:c r="I325" s="2" t="n">
        <x:f>IF(AND(ISNUMBER(F325),F325&gt;D325),1,0)</x:f>
        <x:v>0</x:v>
      </x:c>
      <x:c r="J325" s="2" t="str">
        <x:f>IF(H325=1,F325-D325,"")</x:f>
      </x:c>
      <x:c r="K325" s="2" t="str">
        <x:f>IF(H325=1,F325-E325,"")</x:f>
      </x:c>
      <x:c r="L325" s="2" t="n">
        <x:v>9</x:v>
      </x:c>
      <x:c r="M325" s="2"/>
      <x:c r="N325" s="20" t="n">
        <x:v>0.2</x:v>
      </x:c>
      <x:c r="O325" s="20" t="n">
        <x:v>0.2</x:v>
      </x:c>
      <x:c r="P325" s="20" t="n">
        <x:v>0.25</x:v>
      </x:c>
      <x:c r="Q325" s="2" t="n">
        <x:v>19</x:v>
      </x:c>
      <x:c r="R325" s="2" t="str">
        <x:v>INTJ</x:v>
      </x:c>
      <x:c r="S325" s="2" t="str">
        <x:v>西南</x:v>
      </x:c>
      <x:c r="T325" s="2" t="str">
        <x:v>行政或办公室岗位</x:v>
      </x:c>
    </x:row>
    <x:row r="326" ht="24" customHeight="1">
      <x:c r="A326" s="2" t="str">
        <x:v>D020_T07_C020_G025</x:v>
      </x:c>
      <x:c r="B326" s="2" t="str">
        <x:v>A0024</x:v>
      </x:c>
      <x:c r="C326" s="2" t="str">
        <x:v>inside</x:v>
      </x:c>
      <x:c r="D326" s="2" t="n">
        <x:v>7</x:v>
      </x:c>
      <x:c r="E326" s="2" t="n">
        <x:v>1</x:v>
      </x:c>
      <x:c r="F326" s="2"/>
      <x:c r="G326" s="2" t="str">
        <x:v>right_censored</x:v>
      </x:c>
      <x:c r="H326" s="2" t="n">
        <x:f>IF(AND(ISNUMBER(F326),F326&gt;=D326),1,0)</x:f>
        <x:v>0</x:v>
      </x:c>
      <x:c r="I326" s="2" t="n">
        <x:f>IF(AND(ISNUMBER(F326),F326&gt;D326),1,0)</x:f>
        <x:v>0</x:v>
      </x:c>
      <x:c r="J326" s="2" t="str">
        <x:f>IF(H326=1,F326-D326,"")</x:f>
      </x:c>
      <x:c r="K326" s="2" t="str">
        <x:f>IF(H326=1,F326-E326,"")</x:f>
      </x:c>
      <x:c r="L326" s="2" t="n">
        <x:v>9</x:v>
      </x:c>
      <x:c r="M326" s="2"/>
      <x:c r="N326" s="20" t="n">
        <x:v>0.2</x:v>
      </x:c>
      <x:c r="O326" s="20" t="n">
        <x:v>0.2</x:v>
      </x:c>
      <x:c r="P326" s="20" t="n">
        <x:v>0.25</x:v>
      </x:c>
      <x:c r="Q326" s="2" t="n">
        <x:v>31</x:v>
      </x:c>
      <x:c r="R326" s="2" t="str">
        <x:v>ESTP</x:v>
      </x:c>
      <x:c r="S326" s="2" t="str">
        <x:v>华北</x:v>
      </x:c>
      <x:c r="T326" s="2" t="str">
        <x:v>商业服务岗位</x:v>
      </x:c>
    </x:row>
    <x:row r="327" ht="24" customHeight="1">
      <x:c r="A327" s="2" t="str">
        <x:v>D020_T07_C020_G025</x:v>
      </x:c>
      <x:c r="B327" s="2" t="str">
        <x:v>A0025</x:v>
      </x:c>
      <x:c r="C327" s="2" t="str">
        <x:v>inside</x:v>
      </x:c>
      <x:c r="D327" s="2" t="n">
        <x:v>7</x:v>
      </x:c>
      <x:c r="E327" s="2" t="n">
        <x:v>1</x:v>
      </x:c>
      <x:c r="F327" s="2"/>
      <x:c r="G327" s="2" t="str">
        <x:v>right_censored</x:v>
      </x:c>
      <x:c r="H327" s="2" t="n">
        <x:f>IF(AND(ISNUMBER(F327),F327&gt;=D327),1,0)</x:f>
        <x:v>0</x:v>
      </x:c>
      <x:c r="I327" s="2" t="n">
        <x:f>IF(AND(ISNUMBER(F327),F327&gt;D327),1,0)</x:f>
        <x:v>0</x:v>
      </x:c>
      <x:c r="J327" s="2" t="str">
        <x:f>IF(H327=1,F327-D327,"")</x:f>
      </x:c>
      <x:c r="K327" s="2" t="str">
        <x:f>IF(H327=1,F327-E327,"")</x:f>
      </x:c>
      <x:c r="L327" s="2" t="n">
        <x:v>9</x:v>
      </x:c>
      <x:c r="M327" s="2" t="n">
        <x:v>7</x:v>
      </x:c>
      <x:c r="N327" s="20" t="n">
        <x:v>0.2</x:v>
      </x:c>
      <x:c r="O327" s="20" t="n">
        <x:v>0.2</x:v>
      </x:c>
      <x:c r="P327" s="20" t="n">
        <x:v>0.25</x:v>
      </x:c>
      <x:c r="Q327" s="2" t="n">
        <x:v>23</x:v>
      </x:c>
      <x:c r="R327" s="2" t="str">
        <x:v>ISTP</x:v>
      </x:c>
      <x:c r="S327" s="2" t="str">
        <x:v>华南</x:v>
      </x:c>
      <x:c r="T327" s="2" t="str">
        <x:v>行政或办公室岗位</x:v>
      </x:c>
    </x:row>
    <x:row r="328" ht="24" customHeight="1">
      <x:c r="A328" s="2" t="str">
        <x:v>D020_T07_C020_G025</x:v>
      </x:c>
      <x:c r="B328" s="2" t="str">
        <x:v>A0032</x:v>
      </x:c>
      <x:c r="C328" s="2" t="str">
        <x:v>inside</x:v>
      </x:c>
      <x:c r="D328" s="2" t="n">
        <x:v>7</x:v>
      </x:c>
      <x:c r="E328" s="2" t="n">
        <x:v>1</x:v>
      </x:c>
      <x:c r="F328" s="2"/>
      <x:c r="G328" s="2" t="str">
        <x:v>right_censored</x:v>
      </x:c>
      <x:c r="H328" s="2" t="n">
        <x:f>IF(AND(ISNUMBER(F328),F328&gt;=D328),1,0)</x:f>
        <x:v>0</x:v>
      </x:c>
      <x:c r="I328" s="2" t="n">
        <x:f>IF(AND(ISNUMBER(F328),F328&gt;D328),1,0)</x:f>
        <x:v>0</x:v>
      </x:c>
      <x:c r="J328" s="2" t="str">
        <x:f>IF(H328=1,F328-D328,"")</x:f>
      </x:c>
      <x:c r="K328" s="2" t="str">
        <x:f>IF(H328=1,F328-E328,"")</x:f>
      </x:c>
      <x:c r="L328" s="2" t="n">
        <x:v>9</x:v>
      </x:c>
      <x:c r="M328" s="2" t="n">
        <x:v>7</x:v>
      </x:c>
      <x:c r="N328" s="20" t="n">
        <x:v>0.2</x:v>
      </x:c>
      <x:c r="O328" s="20" t="n">
        <x:v>0.2</x:v>
      </x:c>
      <x:c r="P328" s="20" t="n">
        <x:v>0.25</x:v>
      </x:c>
      <x:c r="Q328" s="2" t="n">
        <x:v>53</x:v>
      </x:c>
      <x:c r="R328" s="2" t="str">
        <x:v>INTP</x:v>
      </x:c>
      <x:c r="S328" s="2" t="str">
        <x:v>华北</x:v>
      </x:c>
      <x:c r="T328" s="2" t="str">
        <x:v>个体经营或自由职业</x:v>
      </x:c>
    </x:row>
    <x:row r="329" ht="24" customHeight="1">
      <x:c r="A329" s="2" t="str">
        <x:v>D020_T07_C020_G025</x:v>
      </x:c>
      <x:c r="B329" s="2" t="str">
        <x:v>A0033</x:v>
      </x:c>
      <x:c r="C329" s="2" t="str">
        <x:v>inside</x:v>
      </x:c>
      <x:c r="D329" s="2" t="n">
        <x:v>7</x:v>
      </x:c>
      <x:c r="E329" s="2" t="n">
        <x:v>1</x:v>
      </x:c>
      <x:c r="F329" s="2"/>
      <x:c r="G329" s="2" t="str">
        <x:v>right_censored</x:v>
      </x:c>
      <x:c r="H329" s="2" t="n">
        <x:f>IF(AND(ISNUMBER(F329),F329&gt;=D329),1,0)</x:f>
        <x:v>0</x:v>
      </x:c>
      <x:c r="I329" s="2" t="n">
        <x:f>IF(AND(ISNUMBER(F329),F329&gt;D329),1,0)</x:f>
        <x:v>0</x:v>
      </x:c>
      <x:c r="J329" s="2" t="str">
        <x:f>IF(H329=1,F329-D329,"")</x:f>
      </x:c>
      <x:c r="K329" s="2" t="str">
        <x:f>IF(H329=1,F329-E329,"")</x:f>
      </x:c>
      <x:c r="L329" s="2" t="n">
        <x:v>9</x:v>
      </x:c>
      <x:c r="M329" s="2" t="n">
        <x:v>9</x:v>
      </x:c>
      <x:c r="N329" s="20" t="n">
        <x:v>0.2</x:v>
      </x:c>
      <x:c r="O329" s="20" t="n">
        <x:v>0.2</x:v>
      </x:c>
      <x:c r="P329" s="20" t="n">
        <x:v>0.25</x:v>
      </x:c>
      <x:c r="Q329" s="2" t="n">
        <x:v>55</x:v>
      </x:c>
      <x:c r="R329" s="2" t="str">
        <x:v>ENFP</x:v>
      </x:c>
      <x:c r="S329" s="2" t="str">
        <x:v>华南</x:v>
      </x:c>
      <x:c r="T329" s="2" t="str">
        <x:v>个体经营或自由职业</x:v>
      </x:c>
    </x:row>
    <x:row r="330" ht="24" customHeight="1">
      <x:c r="A330" s="2" t="str">
        <x:v>D020_T07_C020_G025</x:v>
      </x:c>
      <x:c r="B330" s="2" t="str">
        <x:v>A0035</x:v>
      </x:c>
      <x:c r="C330" s="2" t="str">
        <x:v>inside</x:v>
      </x:c>
      <x:c r="D330" s="2" t="n">
        <x:v>7</x:v>
      </x:c>
      <x:c r="E330" s="2" t="n">
        <x:v>1</x:v>
      </x:c>
      <x:c r="F330" s="2"/>
      <x:c r="G330" s="2" t="str">
        <x:v>right_censored</x:v>
      </x:c>
      <x:c r="H330" s="2" t="n">
        <x:f>IF(AND(ISNUMBER(F330),F330&gt;=D330),1,0)</x:f>
        <x:v>0</x:v>
      </x:c>
      <x:c r="I330" s="2" t="n">
        <x:f>IF(AND(ISNUMBER(F330),F330&gt;D330),1,0)</x:f>
        <x:v>0</x:v>
      </x:c>
      <x:c r="J330" s="2" t="str">
        <x:f>IF(H330=1,F330-D330,"")</x:f>
      </x:c>
      <x:c r="K330" s="2" t="str">
        <x:f>IF(H330=1,F330-E330,"")</x:f>
      </x:c>
      <x:c r="L330" s="2" t="n">
        <x:v>9</x:v>
      </x:c>
      <x:c r="M330" s="2"/>
      <x:c r="N330" s="20" t="n">
        <x:v>0.2</x:v>
      </x:c>
      <x:c r="O330" s="20" t="n">
        <x:v>0.2</x:v>
      </x:c>
      <x:c r="P330" s="20" t="n">
        <x:v>0.25</x:v>
      </x:c>
      <x:c r="Q330" s="2" t="n">
        <x:v>42</x:v>
      </x:c>
      <x:c r="R330" s="2" t="str">
        <x:v>ISFJ</x:v>
      </x:c>
      <x:c r="S330" s="2" t="str">
        <x:v>华南</x:v>
      </x:c>
      <x:c r="T330" s="2" t="str">
        <x:v>专业技术岗位</x:v>
      </x:c>
    </x:row>
    <x:row r="331" ht="24" customHeight="1">
      <x:c r="A331" s="2" t="str">
        <x:v>D020_T07_C020_G025</x:v>
      </x:c>
      <x:c r="B331" s="2" t="str">
        <x:v>A0036</x:v>
      </x:c>
      <x:c r="C331" s="2" t="str">
        <x:v>inside</x:v>
      </x:c>
      <x:c r="D331" s="2" t="n">
        <x:v>7</x:v>
      </x:c>
      <x:c r="E331" s="2" t="n">
        <x:v>1</x:v>
      </x:c>
      <x:c r="F331" s="2"/>
      <x:c r="G331" s="2" t="str">
        <x:v>right_censored</x:v>
      </x:c>
      <x:c r="H331" s="2" t="n">
        <x:f>IF(AND(ISNUMBER(F331),F331&gt;=D331),1,0)</x:f>
        <x:v>0</x:v>
      </x:c>
      <x:c r="I331" s="2" t="n">
        <x:f>IF(AND(ISNUMBER(F331),F331&gt;D331),1,0)</x:f>
        <x:v>0</x:v>
      </x:c>
      <x:c r="J331" s="2" t="str">
        <x:f>IF(H331=1,F331-D331,"")</x:f>
      </x:c>
      <x:c r="K331" s="2" t="str">
        <x:f>IF(H331=1,F331-E331,"")</x:f>
      </x:c>
      <x:c r="L331" s="2" t="n">
        <x:v>9</x:v>
      </x:c>
      <x:c r="M331" s="2"/>
      <x:c r="N331" s="20" t="n">
        <x:v>0.2</x:v>
      </x:c>
      <x:c r="O331" s="20" t="n">
        <x:v>0.2</x:v>
      </x:c>
      <x:c r="P331" s="20" t="n">
        <x:v>0.25</x:v>
      </x:c>
      <x:c r="Q331" s="2" t="n">
        <x:v>43</x:v>
      </x:c>
      <x:c r="R331" s="2" t="str">
        <x:v>ISFJ</x:v>
      </x:c>
      <x:c r="S331" s="2" t="str">
        <x:v>华东</x:v>
      </x:c>
      <x:c r="T331" s="2" t="str">
        <x:v>生产运输或体力岗位</x:v>
      </x:c>
    </x:row>
    <x:row r="332" ht="24" customHeight="1">
      <x:c r="A332" s="2" t="str">
        <x:v>D020_T07_C020_G025</x:v>
      </x:c>
      <x:c r="B332" s="2" t="str">
        <x:v>A0037</x:v>
      </x:c>
      <x:c r="C332" s="2" t="str">
        <x:v>inside</x:v>
      </x:c>
      <x:c r="D332" s="2" t="n">
        <x:v>7</x:v>
      </x:c>
      <x:c r="E332" s="2" t="n">
        <x:v>1</x:v>
      </x:c>
      <x:c r="F332" s="2"/>
      <x:c r="G332" s="2" t="str">
        <x:v>right_censored</x:v>
      </x:c>
      <x:c r="H332" s="2" t="n">
        <x:f>IF(AND(ISNUMBER(F332),F332&gt;=D332),1,0)</x:f>
        <x:v>0</x:v>
      </x:c>
      <x:c r="I332" s="2" t="n">
        <x:f>IF(AND(ISNUMBER(F332),F332&gt;D332),1,0)</x:f>
        <x:v>0</x:v>
      </x:c>
      <x:c r="J332" s="2" t="str">
        <x:f>IF(H332=1,F332-D332,"")</x:f>
      </x:c>
      <x:c r="K332" s="2" t="str">
        <x:f>IF(H332=1,F332-E332,"")</x:f>
      </x:c>
      <x:c r="L332" s="2" t="n">
        <x:v>9</x:v>
      </x:c>
      <x:c r="M332" s="2"/>
      <x:c r="N332" s="20" t="n">
        <x:v>0.2</x:v>
      </x:c>
      <x:c r="O332" s="20" t="n">
        <x:v>0.2</x:v>
      </x:c>
      <x:c r="P332" s="20" t="n">
        <x:v>0.25</x:v>
      </x:c>
      <x:c r="Q332" s="2" t="n">
        <x:v>24</x:v>
      </x:c>
      <x:c r="R332" s="2" t="str">
        <x:v>ENTP</x:v>
      </x:c>
      <x:c r="S332" s="2" t="str">
        <x:v>华南</x:v>
      </x:c>
      <x:c r="T332" s="2" t="str">
        <x:v>在校学生</x:v>
      </x:c>
    </x:row>
    <x:row r="333" ht="24" customHeight="1">
      <x:c r="A333" s="2" t="str">
        <x:v>D020_T07_C020_G025</x:v>
      </x:c>
      <x:c r="B333" s="2" t="str">
        <x:v>A0038</x:v>
      </x:c>
      <x:c r="C333" s="2" t="str">
        <x:v>inside</x:v>
      </x:c>
      <x:c r="D333" s="2" t="n">
        <x:v>7</x:v>
      </x:c>
      <x:c r="E333" s="2" t="n">
        <x:v>5</x:v>
      </x:c>
      <x:c r="F333" s="2"/>
      <x:c r="G333" s="2" t="str">
        <x:v>right_censored</x:v>
      </x:c>
      <x:c r="H333" s="2" t="n">
        <x:f>IF(AND(ISNUMBER(F333),F333&gt;=D333),1,0)</x:f>
        <x:v>0</x:v>
      </x:c>
      <x:c r="I333" s="2" t="n">
        <x:f>IF(AND(ISNUMBER(F333),F333&gt;D333),1,0)</x:f>
        <x:v>0</x:v>
      </x:c>
      <x:c r="J333" s="2" t="str">
        <x:f>IF(H333=1,F333-D333,"")</x:f>
      </x:c>
      <x:c r="K333" s="2" t="str">
        <x:f>IF(H333=1,F333-E333,"")</x:f>
      </x:c>
      <x:c r="L333" s="2" t="n">
        <x:v>5</x:v>
      </x:c>
      <x:c r="M333" s="2"/>
      <x:c r="N333" s="20" t="n">
        <x:v>0.2</x:v>
      </x:c>
      <x:c r="O333" s="20" t="n">
        <x:v>0.2</x:v>
      </x:c>
      <x:c r="P333" s="20" t="n">
        <x:v>0.25</x:v>
      </x:c>
      <x:c r="Q333" s="2" t="n">
        <x:v>46</x:v>
      </x:c>
      <x:c r="R333" s="2" t="str">
        <x:v>ISTP</x:v>
      </x:c>
      <x:c r="S333" s="2" t="str">
        <x:v>华东</x:v>
      </x:c>
      <x:c r="T333" s="2" t="str">
        <x:v>行政或办公室岗位</x:v>
      </x:c>
    </x:row>
    <x:row r="334" ht="24" customHeight="1">
      <x:c r="A334" s="2" t="str">
        <x:v>D020_T07_C020_G025</x:v>
      </x:c>
      <x:c r="B334" s="2" t="str">
        <x:v>A0040</x:v>
      </x:c>
      <x:c r="C334" s="2" t="str">
        <x:v>inside</x:v>
      </x:c>
      <x:c r="D334" s="2" t="n">
        <x:v>7</x:v>
      </x:c>
      <x:c r="E334" s="2" t="n">
        <x:v>1</x:v>
      </x:c>
      <x:c r="F334" s="2"/>
      <x:c r="G334" s="2" t="str">
        <x:v>right_censored</x:v>
      </x:c>
      <x:c r="H334" s="2" t="n">
        <x:f>IF(AND(ISNUMBER(F334),F334&gt;=D334),1,0)</x:f>
        <x:v>0</x:v>
      </x:c>
      <x:c r="I334" s="2" t="n">
        <x:f>IF(AND(ISNUMBER(F334),F334&gt;D334),1,0)</x:f>
        <x:v>0</x:v>
      </x:c>
      <x:c r="J334" s="2" t="str">
        <x:f>IF(H334=1,F334-D334,"")</x:f>
      </x:c>
      <x:c r="K334" s="2" t="str">
        <x:f>IF(H334=1,F334-E334,"")</x:f>
      </x:c>
      <x:c r="L334" s="2" t="n">
        <x:v>9</x:v>
      </x:c>
      <x:c r="M334" s="2" t="n">
        <x:v>10</x:v>
      </x:c>
      <x:c r="N334" s="20" t="n">
        <x:v>0.2</x:v>
      </x:c>
      <x:c r="O334" s="20" t="n">
        <x:v>0.2</x:v>
      </x:c>
      <x:c r="P334" s="20" t="n">
        <x:v>0.25</x:v>
      </x:c>
      <x:c r="Q334" s="2" t="n">
        <x:v>48</x:v>
      </x:c>
      <x:c r="R334" s="2" t="str">
        <x:v>INFP</x:v>
      </x:c>
      <x:c r="S334" s="2" t="str">
        <x:v>西北</x:v>
      </x:c>
      <x:c r="T334" s="2" t="str">
        <x:v>个体经营或自由职业</x:v>
      </x:c>
    </x:row>
    <x:row r="335" ht="24" customHeight="1">
      <x:c r="A335" s="2" t="str">
        <x:v>D020_T07_C020_G025</x:v>
      </x:c>
      <x:c r="B335" s="2" t="str">
        <x:v>A0090</x:v>
      </x:c>
      <x:c r="C335" s="2" t="str">
        <x:v>inside</x:v>
      </x:c>
      <x:c r="D335" s="2" t="n">
        <x:v>7</x:v>
      </x:c>
      <x:c r="E335" s="2" t="n">
        <x:v>1</x:v>
      </x:c>
      <x:c r="F335" s="2"/>
      <x:c r="G335" s="2" t="str">
        <x:v>right_censored</x:v>
      </x:c>
      <x:c r="H335" s="2" t="n">
        <x:f>IF(AND(ISNUMBER(F335),F335&gt;=D335),1,0)</x:f>
        <x:v>0</x:v>
      </x:c>
      <x:c r="I335" s="2" t="n">
        <x:f>IF(AND(ISNUMBER(F335),F335&gt;D335),1,0)</x:f>
        <x:v>0</x:v>
      </x:c>
      <x:c r="J335" s="2" t="str">
        <x:f>IF(H335=1,F335-D335,"")</x:f>
      </x:c>
      <x:c r="K335" s="2" t="str">
        <x:f>IF(H335=1,F335-E335,"")</x:f>
      </x:c>
      <x:c r="L335" s="2" t="n">
        <x:v>9</x:v>
      </x:c>
      <x:c r="M335" s="2"/>
      <x:c r="N335" s="20" t="n">
        <x:v>0.2</x:v>
      </x:c>
      <x:c r="O335" s="20" t="n">
        <x:v>0.2</x:v>
      </x:c>
      <x:c r="P335" s="20" t="n">
        <x:v>0.25</x:v>
      </x:c>
      <x:c r="Q335" s="2" t="n">
        <x:v>46</x:v>
      </x:c>
      <x:c r="R335" s="2" t="str">
        <x:v>ENFJ</x:v>
      </x:c>
      <x:c r="S335" s="2" t="str">
        <x:v>西北</x:v>
      </x:c>
      <x:c r="T335" s="2" t="str">
        <x:v>个体经营或自由职业</x:v>
      </x:c>
    </x:row>
    <x:row r="336" ht="24" customHeight="1">
      <x:c r="A336" s="2" t="str">
        <x:v>D020_T07_C020_G025</x:v>
      </x:c>
      <x:c r="B336" s="2" t="str">
        <x:v>A0206</x:v>
      </x:c>
      <x:c r="C336" s="2" t="str">
        <x:v>inside</x:v>
      </x:c>
      <x:c r="D336" s="2" t="n">
        <x:v>7</x:v>
      </x:c>
      <x:c r="E336" s="2" t="n">
        <x:v>1</x:v>
      </x:c>
      <x:c r="F336" s="2" t="n">
        <x:v>7</x:v>
      </x:c>
      <x:c r="G336" s="2" t="str">
        <x:v>observed_post_release</x:v>
      </x:c>
      <x:c r="H336" s="2" t="n">
        <x:f>IF(AND(ISNUMBER(F336),F336&gt;=D336),1,0)</x:f>
        <x:v>1</x:v>
      </x:c>
      <x:c r="I336" s="2" t="n">
        <x:f>IF(AND(ISNUMBER(F336),F336&gt;D336),1,0)</x:f>
        <x:v>0</x:v>
      </x:c>
      <x:c r="J336" s="2" t="n">
        <x:f>IF(H336=1,F336-D336,"")</x:f>
        <x:v>0</x:v>
      </x:c>
      <x:c r="K336" s="2" t="n">
        <x:f>IF(H336=1,F336-E336,"")</x:f>
        <x:v>6</x:v>
      </x:c>
      <x:c r="L336" s="2" t="n">
        <x:v>9</x:v>
      </x:c>
      <x:c r="M336" s="2" t="n">
        <x:v>7</x:v>
      </x:c>
      <x:c r="N336" s="20" t="n">
        <x:v>0.2</x:v>
      </x:c>
      <x:c r="O336" s="20" t="n">
        <x:v>0.2</x:v>
      </x:c>
      <x:c r="P336" s="20" t="n">
        <x:v>0.25</x:v>
      </x:c>
      <x:c r="Q336" s="2" t="n">
        <x:v>21</x:v>
      </x:c>
      <x:c r="R336" s="2" t="str">
        <x:v>ESTP</x:v>
      </x:c>
      <x:c r="S336" s="2" t="str">
        <x:v>西北</x:v>
      </x:c>
      <x:c r="T336" s="2" t="str">
        <x:v>暂未就业或家庭照料</x:v>
      </x:c>
    </x:row>
    <x:row r="337" ht="24" customHeight="1">
      <x:c r="A337" s="2" t="str">
        <x:v>D020_T07_C020_G050</x:v>
      </x:c>
      <x:c r="B337" s="2" t="str">
        <x:v>A0005</x:v>
      </x:c>
      <x:c r="C337" s="2" t="str">
        <x:v>inside</x:v>
      </x:c>
      <x:c r="D337" s="2" t="n">
        <x:v>7</x:v>
      </x:c>
      <x:c r="E337" s="2" t="n">
        <x:v>1</x:v>
      </x:c>
      <x:c r="F337" s="2"/>
      <x:c r="G337" s="2" t="str">
        <x:v>right_censored</x:v>
      </x:c>
      <x:c r="H337" s="2" t="n">
        <x:f>IF(AND(ISNUMBER(F337),F337&gt;=D337),1,0)</x:f>
        <x:v>0</x:v>
      </x:c>
      <x:c r="I337" s="2" t="n">
        <x:f>IF(AND(ISNUMBER(F337),F337&gt;D337),1,0)</x:f>
        <x:v>0</x:v>
      </x:c>
      <x:c r="J337" s="2" t="str">
        <x:f>IF(H337=1,F337-D337,"")</x:f>
      </x:c>
      <x:c r="K337" s="2" t="str">
        <x:f>IF(H337=1,F337-E337,"")</x:f>
      </x:c>
      <x:c r="L337" s="2" t="n">
        <x:v>9</x:v>
      </x:c>
      <x:c r="M337" s="2"/>
      <x:c r="N337" s="20" t="n">
        <x:v>0.2</x:v>
      </x:c>
      <x:c r="O337" s="20" t="n">
        <x:v>0.2</x:v>
      </x:c>
      <x:c r="P337" s="20" t="n">
        <x:v>0.5</x:v>
      </x:c>
      <x:c r="Q337" s="2" t="n">
        <x:v>51</x:v>
      </x:c>
      <x:c r="R337" s="2" t="str">
        <x:v>ISTP</x:v>
      </x:c>
      <x:c r="S337" s="2" t="str">
        <x:v>华南</x:v>
      </x:c>
      <x:c r="T337" s="2" t="str">
        <x:v>生产运输或体力岗位</x:v>
      </x:c>
    </x:row>
    <x:row r="338" ht="24" customHeight="1">
      <x:c r="A338" s="2" t="str">
        <x:v>D020_T07_C020_G050</x:v>
      </x:c>
      <x:c r="B338" s="2" t="str">
        <x:v>A0008</x:v>
      </x:c>
      <x:c r="C338" s="2" t="str">
        <x:v>inside</x:v>
      </x:c>
      <x:c r="D338" s="2" t="n">
        <x:v>7</x:v>
      </x:c>
      <x:c r="E338" s="2" t="n">
        <x:v>1</x:v>
      </x:c>
      <x:c r="F338" s="2" t="n">
        <x:v>10</x:v>
      </x:c>
      <x:c r="G338" s="2" t="str">
        <x:v>observed_post_release</x:v>
      </x:c>
      <x:c r="H338" s="2" t="n">
        <x:f>IF(AND(ISNUMBER(F338),F338&gt;=D338),1,0)</x:f>
        <x:v>1</x:v>
      </x:c>
      <x:c r="I338" s="2" t="n">
        <x:f>IF(AND(ISNUMBER(F338),F338&gt;D338),1,0)</x:f>
        <x:v>1</x:v>
      </x:c>
      <x:c r="J338" s="2" t="n">
        <x:f>IF(H338=1,F338-D338,"")</x:f>
        <x:v>3</x:v>
      </x:c>
      <x:c r="K338" s="2" t="n">
        <x:f>IF(H338=1,F338-E338,"")</x:f>
        <x:v>9</x:v>
      </x:c>
      <x:c r="L338" s="2" t="n">
        <x:v>9</x:v>
      </x:c>
      <x:c r="M338" s="2" t="n">
        <x:v>10</x:v>
      </x:c>
      <x:c r="N338" s="20" t="n">
        <x:v>0.2</x:v>
      </x:c>
      <x:c r="O338" s="20" t="n">
        <x:v>0.2</x:v>
      </x:c>
      <x:c r="P338" s="20" t="n">
        <x:v>0.5</x:v>
      </x:c>
      <x:c r="Q338" s="2" t="n">
        <x:v>36</x:v>
      </x:c>
      <x:c r="R338" s="2" t="str">
        <x:v>ISFP</x:v>
      </x:c>
      <x:c r="S338" s="2" t="str">
        <x:v>华南</x:v>
      </x:c>
      <x:c r="T338" s="2" t="str">
        <x:v>生产运输或体力岗位</x:v>
      </x:c>
    </x:row>
    <x:row r="339" ht="24" customHeight="1">
      <x:c r="A339" s="2" t="str">
        <x:v>D020_T07_C020_G050</x:v>
      </x:c>
      <x:c r="B339" s="2" t="str">
        <x:v>A0011</x:v>
      </x:c>
      <x:c r="C339" s="2" t="str">
        <x:v>inside</x:v>
      </x:c>
      <x:c r="D339" s="2" t="n">
        <x:v>7</x:v>
      </x:c>
      <x:c r="E339" s="2" t="n">
        <x:v>1</x:v>
      </x:c>
      <x:c r="F339" s="2" t="n">
        <x:v>8</x:v>
      </x:c>
      <x:c r="G339" s="2" t="str">
        <x:v>observed_post_release</x:v>
      </x:c>
      <x:c r="H339" s="2" t="n">
        <x:f>IF(AND(ISNUMBER(F339),F339&gt;=D339),1,0)</x:f>
        <x:v>1</x:v>
      </x:c>
      <x:c r="I339" s="2" t="n">
        <x:f>IF(AND(ISNUMBER(F339),F339&gt;D339),1,0)</x:f>
        <x:v>1</x:v>
      </x:c>
      <x:c r="J339" s="2" t="n">
        <x:f>IF(H339=1,F339-D339,"")</x:f>
        <x:v>1</x:v>
      </x:c>
      <x:c r="K339" s="2" t="n">
        <x:f>IF(H339=1,F339-E339,"")</x:f>
        <x:v>7</x:v>
      </x:c>
      <x:c r="L339" s="2" t="n">
        <x:v>9</x:v>
      </x:c>
      <x:c r="M339" s="2" t="n">
        <x:v>7</x:v>
      </x:c>
      <x:c r="N339" s="20" t="n">
        <x:v>0.2</x:v>
      </x:c>
      <x:c r="O339" s="20" t="n">
        <x:v>0.2</x:v>
      </x:c>
      <x:c r="P339" s="20" t="n">
        <x:v>0.5</x:v>
      </x:c>
      <x:c r="Q339" s="2" t="n">
        <x:v>42</x:v>
      </x:c>
      <x:c r="R339" s="2" t="str">
        <x:v>ENFJ</x:v>
      </x:c>
      <x:c r="S339" s="2" t="str">
        <x:v>西南</x:v>
      </x:c>
      <x:c r="T339" s="2" t="str">
        <x:v>行政或办公室岗位</x:v>
      </x:c>
    </x:row>
    <x:row r="340" ht="24" customHeight="1">
      <x:c r="A340" s="2" t="str">
        <x:v>D020_T07_C020_G050</x:v>
      </x:c>
      <x:c r="B340" s="2" t="str">
        <x:v>A0012</x:v>
      </x:c>
      <x:c r="C340" s="2" t="str">
        <x:v>inside</x:v>
      </x:c>
      <x:c r="D340" s="2" t="n">
        <x:v>7</x:v>
      </x:c>
      <x:c r="E340" s="2" t="n">
        <x:v>1</x:v>
      </x:c>
      <x:c r="F340" s="2" t="n">
        <x:v>10</x:v>
      </x:c>
      <x:c r="G340" s="2" t="str">
        <x:v>observed_post_release</x:v>
      </x:c>
      <x:c r="H340" s="2" t="n">
        <x:f>IF(AND(ISNUMBER(F340),F340&gt;=D340),1,0)</x:f>
        <x:v>1</x:v>
      </x:c>
      <x:c r="I340" s="2" t="n">
        <x:f>IF(AND(ISNUMBER(F340),F340&gt;D340),1,0)</x:f>
        <x:v>1</x:v>
      </x:c>
      <x:c r="J340" s="2" t="n">
        <x:f>IF(H340=1,F340-D340,"")</x:f>
        <x:v>3</x:v>
      </x:c>
      <x:c r="K340" s="2" t="n">
        <x:f>IF(H340=1,F340-E340,"")</x:f>
        <x:v>9</x:v>
      </x:c>
      <x:c r="L340" s="2" t="n">
        <x:v>9</x:v>
      </x:c>
      <x:c r="M340" s="2" t="n">
        <x:v>8</x:v>
      </x:c>
      <x:c r="N340" s="20" t="n">
        <x:v>0.2</x:v>
      </x:c>
      <x:c r="O340" s="20" t="n">
        <x:v>0.2</x:v>
      </x:c>
      <x:c r="P340" s="20" t="n">
        <x:v>0.5</x:v>
      </x:c>
      <x:c r="Q340" s="2" t="n">
        <x:v>38</x:v>
      </x:c>
      <x:c r="R340" s="2" t="str">
        <x:v>ESFP</x:v>
      </x:c>
      <x:c r="S340" s="2" t="str">
        <x:v>华中</x:v>
      </x:c>
      <x:c r="T340" s="2" t="str">
        <x:v>行政或办公室岗位</x:v>
      </x:c>
    </x:row>
    <x:row r="341" ht="24" customHeight="1">
      <x:c r="A341" s="2" t="str">
        <x:v>D020_T07_C020_G050</x:v>
      </x:c>
      <x:c r="B341" s="2" t="str">
        <x:v>A0017</x:v>
      </x:c>
      <x:c r="C341" s="2" t="str">
        <x:v>inside</x:v>
      </x:c>
      <x:c r="D341" s="2" t="n">
        <x:v>7</x:v>
      </x:c>
      <x:c r="E341" s="2" t="n">
        <x:v>1</x:v>
      </x:c>
      <x:c r="F341" s="2"/>
      <x:c r="G341" s="2" t="str">
        <x:v>right_censored</x:v>
      </x:c>
      <x:c r="H341" s="2" t="n">
        <x:f>IF(AND(ISNUMBER(F341),F341&gt;=D341),1,0)</x:f>
        <x:v>0</x:v>
      </x:c>
      <x:c r="I341" s="2" t="n">
        <x:f>IF(AND(ISNUMBER(F341),F341&gt;D341),1,0)</x:f>
        <x:v>0</x:v>
      </x:c>
      <x:c r="J341" s="2" t="str">
        <x:f>IF(H341=1,F341-D341,"")</x:f>
      </x:c>
      <x:c r="K341" s="2" t="str">
        <x:f>IF(H341=1,F341-E341,"")</x:f>
      </x:c>
      <x:c r="L341" s="2" t="n">
        <x:v>9</x:v>
      </x:c>
      <x:c r="M341" s="2"/>
      <x:c r="N341" s="20" t="n">
        <x:v>0.2</x:v>
      </x:c>
      <x:c r="O341" s="20" t="n">
        <x:v>0.2</x:v>
      </x:c>
      <x:c r="P341" s="20" t="n">
        <x:v>0.5</x:v>
      </x:c>
      <x:c r="Q341" s="2" t="n">
        <x:v>30</x:v>
      </x:c>
      <x:c r="R341" s="2" t="str">
        <x:v>ISTJ</x:v>
      </x:c>
      <x:c r="S341" s="2" t="str">
        <x:v>华东</x:v>
      </x:c>
      <x:c r="T341" s="2" t="str">
        <x:v>商业服务岗位</x:v>
      </x:c>
    </x:row>
    <x:row r="342" ht="24" customHeight="1">
      <x:c r="A342" s="2" t="str">
        <x:v>D020_T07_C020_G050</x:v>
      </x:c>
      <x:c r="B342" s="2" t="str">
        <x:v>A0018</x:v>
      </x:c>
      <x:c r="C342" s="2" t="str">
        <x:v>inside</x:v>
      </x:c>
      <x:c r="D342" s="2" t="n">
        <x:v>7</x:v>
      </x:c>
      <x:c r="E342" s="2" t="n">
        <x:v>1</x:v>
      </x:c>
      <x:c r="F342" s="2"/>
      <x:c r="G342" s="2" t="str">
        <x:v>right_censored</x:v>
      </x:c>
      <x:c r="H342" s="2" t="n">
        <x:f>IF(AND(ISNUMBER(F342),F342&gt;=D342),1,0)</x:f>
        <x:v>0</x:v>
      </x:c>
      <x:c r="I342" s="2" t="n">
        <x:f>IF(AND(ISNUMBER(F342),F342&gt;D342),1,0)</x:f>
        <x:v>0</x:v>
      </x:c>
      <x:c r="J342" s="2" t="str">
        <x:f>IF(H342=1,F342-D342,"")</x:f>
      </x:c>
      <x:c r="K342" s="2" t="str">
        <x:f>IF(H342=1,F342-E342,"")</x:f>
      </x:c>
      <x:c r="L342" s="2" t="n">
        <x:v>9</x:v>
      </x:c>
      <x:c r="M342" s="2"/>
      <x:c r="N342" s="20" t="n">
        <x:v>0.2</x:v>
      </x:c>
      <x:c r="O342" s="20" t="n">
        <x:v>0.2</x:v>
      </x:c>
      <x:c r="P342" s="20" t="n">
        <x:v>0.5</x:v>
      </x:c>
      <x:c r="Q342" s="2" t="n">
        <x:v>60</x:v>
      </x:c>
      <x:c r="R342" s="2" t="str">
        <x:v>INTJ</x:v>
      </x:c>
      <x:c r="S342" s="2" t="str">
        <x:v>华南</x:v>
      </x:c>
      <x:c r="T342" s="2" t="str">
        <x:v>专业技术岗位</x:v>
      </x:c>
    </x:row>
    <x:row r="343" ht="24" customHeight="1">
      <x:c r="A343" s="2" t="str">
        <x:v>D020_T07_C020_G050</x:v>
      </x:c>
      <x:c r="B343" s="2" t="str">
        <x:v>A0020</x:v>
      </x:c>
      <x:c r="C343" s="2" t="str">
        <x:v>inside</x:v>
      </x:c>
      <x:c r="D343" s="2" t="n">
        <x:v>7</x:v>
      </x:c>
      <x:c r="E343" s="2" t="n">
        <x:v>1</x:v>
      </x:c>
      <x:c r="F343" s="2" t="n">
        <x:v>7</x:v>
      </x:c>
      <x:c r="G343" s="2" t="str">
        <x:v>observed_post_release</x:v>
      </x:c>
      <x:c r="H343" s="2" t="n">
        <x:f>IF(AND(ISNUMBER(F343),F343&gt;=D343),1,0)</x:f>
        <x:v>1</x:v>
      </x:c>
      <x:c r="I343" s="2" t="n">
        <x:f>IF(AND(ISNUMBER(F343),F343&gt;D343),1,0)</x:f>
        <x:v>0</x:v>
      </x:c>
      <x:c r="J343" s="2" t="n">
        <x:f>IF(H343=1,F343-D343,"")</x:f>
        <x:v>0</x:v>
      </x:c>
      <x:c r="K343" s="2" t="n">
        <x:f>IF(H343=1,F343-E343,"")</x:f>
        <x:v>6</x:v>
      </x:c>
      <x:c r="L343" s="2" t="n">
        <x:v>9</x:v>
      </x:c>
      <x:c r="M343" s="2" t="n">
        <x:v>7</x:v>
      </x:c>
      <x:c r="N343" s="20" t="n">
        <x:v>0.2</x:v>
      </x:c>
      <x:c r="O343" s="20" t="n">
        <x:v>0.2</x:v>
      </x:c>
      <x:c r="P343" s="20" t="n">
        <x:v>0.5</x:v>
      </x:c>
      <x:c r="Q343" s="2" t="n">
        <x:v>42</x:v>
      </x:c>
      <x:c r="R343" s="2" t="str">
        <x:v>ENTJ</x:v>
      </x:c>
      <x:c r="S343" s="2" t="str">
        <x:v>西南</x:v>
      </x:c>
      <x:c r="T343" s="2" t="str">
        <x:v>行政或办公室岗位</x:v>
      </x:c>
    </x:row>
    <x:row r="344" ht="24" customHeight="1">
      <x:c r="A344" s="2" t="str">
        <x:v>D020_T07_C020_G050</x:v>
      </x:c>
      <x:c r="B344" s="2" t="str">
        <x:v>A0025</x:v>
      </x:c>
      <x:c r="C344" s="2" t="str">
        <x:v>inside</x:v>
      </x:c>
      <x:c r="D344" s="2" t="n">
        <x:v>7</x:v>
      </x:c>
      <x:c r="E344" s="2" t="n">
        <x:v>1</x:v>
      </x:c>
      <x:c r="F344" s="2" t="n">
        <x:v>8</x:v>
      </x:c>
      <x:c r="G344" s="2" t="str">
        <x:v>observed_post_release</x:v>
      </x:c>
      <x:c r="H344" s="2" t="n">
        <x:f>IF(AND(ISNUMBER(F344),F344&gt;=D344),1,0)</x:f>
        <x:v>1</x:v>
      </x:c>
      <x:c r="I344" s="2" t="n">
        <x:f>IF(AND(ISNUMBER(F344),F344&gt;D344),1,0)</x:f>
        <x:v>1</x:v>
      </x:c>
      <x:c r="J344" s="2" t="n">
        <x:f>IF(H344=1,F344-D344,"")</x:f>
        <x:v>1</x:v>
      </x:c>
      <x:c r="K344" s="2" t="n">
        <x:f>IF(H344=1,F344-E344,"")</x:f>
        <x:v>7</x:v>
      </x:c>
      <x:c r="L344" s="2" t="n">
        <x:v>9</x:v>
      </x:c>
      <x:c r="M344" s="2" t="n">
        <x:v>7</x:v>
      </x:c>
      <x:c r="N344" s="20" t="n">
        <x:v>0.2</x:v>
      </x:c>
      <x:c r="O344" s="20" t="n">
        <x:v>0.2</x:v>
      </x:c>
      <x:c r="P344" s="20" t="n">
        <x:v>0.5</x:v>
      </x:c>
      <x:c r="Q344" s="2" t="n">
        <x:v>23</x:v>
      </x:c>
      <x:c r="R344" s="2" t="str">
        <x:v>ISTP</x:v>
      </x:c>
      <x:c r="S344" s="2" t="str">
        <x:v>华南</x:v>
      </x:c>
      <x:c r="T344" s="2" t="str">
        <x:v>行政或办公室岗位</x:v>
      </x:c>
    </x:row>
    <x:row r="345" ht="24" customHeight="1">
      <x:c r="A345" s="2" t="str">
        <x:v>D020_T07_C020_G050</x:v>
      </x:c>
      <x:c r="B345" s="2" t="str">
        <x:v>A0027</x:v>
      </x:c>
      <x:c r="C345" s="2" t="str">
        <x:v>inside</x:v>
      </x:c>
      <x:c r="D345" s="2" t="n">
        <x:v>7</x:v>
      </x:c>
      <x:c r="E345" s="2" t="n">
        <x:v>1</x:v>
      </x:c>
      <x:c r="F345" s="2" t="n">
        <x:v>8</x:v>
      </x:c>
      <x:c r="G345" s="2" t="str">
        <x:v>observed_post_release</x:v>
      </x:c>
      <x:c r="H345" s="2" t="n">
        <x:f>IF(AND(ISNUMBER(F345),F345&gt;=D345),1,0)</x:f>
        <x:v>1</x:v>
      </x:c>
      <x:c r="I345" s="2" t="n">
        <x:f>IF(AND(ISNUMBER(F345),F345&gt;D345),1,0)</x:f>
        <x:v>1</x:v>
      </x:c>
      <x:c r="J345" s="2" t="n">
        <x:f>IF(H345=1,F345-D345,"")</x:f>
        <x:v>1</x:v>
      </x:c>
      <x:c r="K345" s="2" t="n">
        <x:f>IF(H345=1,F345-E345,"")</x:f>
        <x:v>7</x:v>
      </x:c>
      <x:c r="L345" s="2" t="n">
        <x:v>9</x:v>
      </x:c>
      <x:c r="M345" s="2" t="n">
        <x:v>8</x:v>
      </x:c>
      <x:c r="N345" s="20" t="n">
        <x:v>0.2</x:v>
      </x:c>
      <x:c r="O345" s="20" t="n">
        <x:v>0.2</x:v>
      </x:c>
      <x:c r="P345" s="20" t="n">
        <x:v>0.5</x:v>
      </x:c>
      <x:c r="Q345" s="2" t="n">
        <x:v>25</x:v>
      </x:c>
      <x:c r="R345" s="2" t="str">
        <x:v>ESFP</x:v>
      </x:c>
      <x:c r="S345" s="2" t="str">
        <x:v>西北</x:v>
      </x:c>
      <x:c r="T345" s="2" t="str">
        <x:v>暂未就业或家庭照料</x:v>
      </x:c>
    </x:row>
    <x:row r="346" ht="24" customHeight="1">
      <x:c r="A346" s="2" t="str">
        <x:v>D020_T07_C020_G050</x:v>
      </x:c>
      <x:c r="B346" s="2" t="str">
        <x:v>A0032</x:v>
      </x:c>
      <x:c r="C346" s="2" t="str">
        <x:v>inside</x:v>
      </x:c>
      <x:c r="D346" s="2" t="n">
        <x:v>7</x:v>
      </x:c>
      <x:c r="E346" s="2" t="n">
        <x:v>1</x:v>
      </x:c>
      <x:c r="F346" s="2" t="n">
        <x:v>8</x:v>
      </x:c>
      <x:c r="G346" s="2" t="str">
        <x:v>observed_post_release</x:v>
      </x:c>
      <x:c r="H346" s="2" t="n">
        <x:f>IF(AND(ISNUMBER(F346),F346&gt;=D346),1,0)</x:f>
        <x:v>1</x:v>
      </x:c>
      <x:c r="I346" s="2" t="n">
        <x:f>IF(AND(ISNUMBER(F346),F346&gt;D346),1,0)</x:f>
        <x:v>1</x:v>
      </x:c>
      <x:c r="J346" s="2" t="n">
        <x:f>IF(H346=1,F346-D346,"")</x:f>
        <x:v>1</x:v>
      </x:c>
      <x:c r="K346" s="2" t="n">
        <x:f>IF(H346=1,F346-E346,"")</x:f>
        <x:v>7</x:v>
      </x:c>
      <x:c r="L346" s="2" t="n">
        <x:v>9</x:v>
      </x:c>
      <x:c r="M346" s="2" t="n">
        <x:v>7</x:v>
      </x:c>
      <x:c r="N346" s="20" t="n">
        <x:v>0.2</x:v>
      </x:c>
      <x:c r="O346" s="20" t="n">
        <x:v>0.2</x:v>
      </x:c>
      <x:c r="P346" s="20" t="n">
        <x:v>0.5</x:v>
      </x:c>
      <x:c r="Q346" s="2" t="n">
        <x:v>53</x:v>
      </x:c>
      <x:c r="R346" s="2" t="str">
        <x:v>INTP</x:v>
      </x:c>
      <x:c r="S346" s="2" t="str">
        <x:v>华北</x:v>
      </x:c>
      <x:c r="T346" s="2" t="str">
        <x:v>个体经营或自由职业</x:v>
      </x:c>
    </x:row>
    <x:row r="347" ht="24" customHeight="1">
      <x:c r="A347" s="2" t="str">
        <x:v>D020_T07_C020_G050</x:v>
      </x:c>
      <x:c r="B347" s="2" t="str">
        <x:v>A0033</x:v>
      </x:c>
      <x:c r="C347" s="2" t="str">
        <x:v>inside</x:v>
      </x:c>
      <x:c r="D347" s="2" t="n">
        <x:v>7</x:v>
      </x:c>
      <x:c r="E347" s="2" t="n">
        <x:v>1</x:v>
      </x:c>
      <x:c r="F347" s="2" t="n">
        <x:v>10</x:v>
      </x:c>
      <x:c r="G347" s="2" t="str">
        <x:v>observed_post_release</x:v>
      </x:c>
      <x:c r="H347" s="2" t="n">
        <x:f>IF(AND(ISNUMBER(F347),F347&gt;=D347),1,0)</x:f>
        <x:v>1</x:v>
      </x:c>
      <x:c r="I347" s="2" t="n">
        <x:f>IF(AND(ISNUMBER(F347),F347&gt;D347),1,0)</x:f>
        <x:v>1</x:v>
      </x:c>
      <x:c r="J347" s="2" t="n">
        <x:f>IF(H347=1,F347-D347,"")</x:f>
        <x:v>3</x:v>
      </x:c>
      <x:c r="K347" s="2" t="n">
        <x:f>IF(H347=1,F347-E347,"")</x:f>
        <x:v>9</x:v>
      </x:c>
      <x:c r="L347" s="2" t="n">
        <x:v>9</x:v>
      </x:c>
      <x:c r="M347" s="2" t="n">
        <x:v>9</x:v>
      </x:c>
      <x:c r="N347" s="20" t="n">
        <x:v>0.2</x:v>
      </x:c>
      <x:c r="O347" s="20" t="n">
        <x:v>0.2</x:v>
      </x:c>
      <x:c r="P347" s="20" t="n">
        <x:v>0.5</x:v>
      </x:c>
      <x:c r="Q347" s="2" t="n">
        <x:v>55</x:v>
      </x:c>
      <x:c r="R347" s="2" t="str">
        <x:v>ENFP</x:v>
      </x:c>
      <x:c r="S347" s="2" t="str">
        <x:v>华南</x:v>
      </x:c>
      <x:c r="T347" s="2" t="str">
        <x:v>个体经营或自由职业</x:v>
      </x:c>
    </x:row>
    <x:row r="348" ht="24" customHeight="1">
      <x:c r="A348" s="2" t="str">
        <x:v>D020_T07_C020_G050</x:v>
      </x:c>
      <x:c r="B348" s="2" t="str">
        <x:v>A0036</x:v>
      </x:c>
      <x:c r="C348" s="2" t="str">
        <x:v>inside</x:v>
      </x:c>
      <x:c r="D348" s="2" t="n">
        <x:v>7</x:v>
      </x:c>
      <x:c r="E348" s="2" t="n">
        <x:v>1</x:v>
      </x:c>
      <x:c r="F348" s="2" t="n">
        <x:v>9</x:v>
      </x:c>
      <x:c r="G348" s="2" t="str">
        <x:v>observed_post_release</x:v>
      </x:c>
      <x:c r="H348" s="2" t="n">
        <x:f>IF(AND(ISNUMBER(F348),F348&gt;=D348),1,0)</x:f>
        <x:v>1</x:v>
      </x:c>
      <x:c r="I348" s="2" t="n">
        <x:f>IF(AND(ISNUMBER(F348),F348&gt;D348),1,0)</x:f>
        <x:v>1</x:v>
      </x:c>
      <x:c r="J348" s="2" t="n">
        <x:f>IF(H348=1,F348-D348,"")</x:f>
        <x:v>2</x:v>
      </x:c>
      <x:c r="K348" s="2" t="n">
        <x:f>IF(H348=1,F348-E348,"")</x:f>
        <x:v>8</x:v>
      </x:c>
      <x:c r="L348" s="2" t="n">
        <x:v>9</x:v>
      </x:c>
      <x:c r="M348" s="2" t="n">
        <x:v>8</x:v>
      </x:c>
      <x:c r="N348" s="20" t="n">
        <x:v>0.2</x:v>
      </x:c>
      <x:c r="O348" s="20" t="n">
        <x:v>0.2</x:v>
      </x:c>
      <x:c r="P348" s="20" t="n">
        <x:v>0.5</x:v>
      </x:c>
      <x:c r="Q348" s="2" t="n">
        <x:v>43</x:v>
      </x:c>
      <x:c r="R348" s="2" t="str">
        <x:v>ISFJ</x:v>
      </x:c>
      <x:c r="S348" s="2" t="str">
        <x:v>华东</x:v>
      </x:c>
      <x:c r="T348" s="2" t="str">
        <x:v>生产运输或体力岗位</x:v>
      </x:c>
    </x:row>
    <x:row r="349" ht="24" customHeight="1">
      <x:c r="A349" s="2" t="str">
        <x:v>D020_T07_C020_G050</x:v>
      </x:c>
      <x:c r="B349" s="2" t="str">
        <x:v>A0037</x:v>
      </x:c>
      <x:c r="C349" s="2" t="str">
        <x:v>inside</x:v>
      </x:c>
      <x:c r="D349" s="2" t="n">
        <x:v>7</x:v>
      </x:c>
      <x:c r="E349" s="2" t="n">
        <x:v>1</x:v>
      </x:c>
      <x:c r="F349" s="2"/>
      <x:c r="G349" s="2" t="str">
        <x:v>right_censored</x:v>
      </x:c>
      <x:c r="H349" s="2" t="n">
        <x:f>IF(AND(ISNUMBER(F349),F349&gt;=D349),1,0)</x:f>
        <x:v>0</x:v>
      </x:c>
      <x:c r="I349" s="2" t="n">
        <x:f>IF(AND(ISNUMBER(F349),F349&gt;D349),1,0)</x:f>
        <x:v>0</x:v>
      </x:c>
      <x:c r="J349" s="2" t="str">
        <x:f>IF(H349=1,F349-D349,"")</x:f>
      </x:c>
      <x:c r="K349" s="2" t="str">
        <x:f>IF(H349=1,F349-E349,"")</x:f>
      </x:c>
      <x:c r="L349" s="2" t="n">
        <x:v>9</x:v>
      </x:c>
      <x:c r="M349" s="2"/>
      <x:c r="N349" s="20" t="n">
        <x:v>0.2</x:v>
      </x:c>
      <x:c r="O349" s="20" t="n">
        <x:v>0.2</x:v>
      </x:c>
      <x:c r="P349" s="20" t="n">
        <x:v>0.5</x:v>
      </x:c>
      <x:c r="Q349" s="2" t="n">
        <x:v>24</x:v>
      </x:c>
      <x:c r="R349" s="2" t="str">
        <x:v>ENTP</x:v>
      </x:c>
      <x:c r="S349" s="2" t="str">
        <x:v>华南</x:v>
      </x:c>
      <x:c r="T349" s="2" t="str">
        <x:v>在校学生</x:v>
      </x:c>
    </x:row>
    <x:row r="350" ht="24" customHeight="1">
      <x:c r="A350" s="2" t="str">
        <x:v>D020_T07_C020_G050</x:v>
      </x:c>
      <x:c r="B350" s="2" t="str">
        <x:v>A0040</x:v>
      </x:c>
      <x:c r="C350" s="2" t="str">
        <x:v>inside</x:v>
      </x:c>
      <x:c r="D350" s="2" t="n">
        <x:v>7</x:v>
      </x:c>
      <x:c r="E350" s="2" t="n">
        <x:v>1</x:v>
      </x:c>
      <x:c r="F350" s="2" t="n">
        <x:v>9</x:v>
      </x:c>
      <x:c r="G350" s="2" t="str">
        <x:v>observed_post_release</x:v>
      </x:c>
      <x:c r="H350" s="2" t="n">
        <x:f>IF(AND(ISNUMBER(F350),F350&gt;=D350),1,0)</x:f>
        <x:v>1</x:v>
      </x:c>
      <x:c r="I350" s="2" t="n">
        <x:f>IF(AND(ISNUMBER(F350),F350&gt;D350),1,0)</x:f>
        <x:v>1</x:v>
      </x:c>
      <x:c r="J350" s="2" t="n">
        <x:f>IF(H350=1,F350-D350,"")</x:f>
        <x:v>2</x:v>
      </x:c>
      <x:c r="K350" s="2" t="n">
        <x:f>IF(H350=1,F350-E350,"")</x:f>
        <x:v>8</x:v>
      </x:c>
      <x:c r="L350" s="2" t="n">
        <x:v>9</x:v>
      </x:c>
      <x:c r="M350" s="2" t="n">
        <x:v>9</x:v>
      </x:c>
      <x:c r="N350" s="20" t="n">
        <x:v>0.2</x:v>
      </x:c>
      <x:c r="O350" s="20" t="n">
        <x:v>0.2</x:v>
      </x:c>
      <x:c r="P350" s="20" t="n">
        <x:v>0.5</x:v>
      </x:c>
      <x:c r="Q350" s="2" t="n">
        <x:v>48</x:v>
      </x:c>
      <x:c r="R350" s="2" t="str">
        <x:v>INFP</x:v>
      </x:c>
      <x:c r="S350" s="2" t="str">
        <x:v>西北</x:v>
      </x:c>
      <x:c r="T350" s="2" t="str">
        <x:v>个体经营或自由职业</x:v>
      </x:c>
    </x:row>
    <x:row r="351" ht="24" customHeight="1">
      <x:c r="A351" s="2" t="str">
        <x:v>D020_T07_C020_G050</x:v>
      </x:c>
      <x:c r="B351" s="2" t="str">
        <x:v>A0041</x:v>
      </x:c>
      <x:c r="C351" s="2" t="str">
        <x:v>inside</x:v>
      </x:c>
      <x:c r="D351" s="2" t="n">
        <x:v>7</x:v>
      </x:c>
      <x:c r="E351" s="2" t="n">
        <x:v>1</x:v>
      </x:c>
      <x:c r="F351" s="2"/>
      <x:c r="G351" s="2" t="str">
        <x:v>right_censored</x:v>
      </x:c>
      <x:c r="H351" s="2" t="n">
        <x:f>IF(AND(ISNUMBER(F351),F351&gt;=D351),1,0)</x:f>
        <x:v>0</x:v>
      </x:c>
      <x:c r="I351" s="2" t="n">
        <x:f>IF(AND(ISNUMBER(F351),F351&gt;D351),1,0)</x:f>
        <x:v>0</x:v>
      </x:c>
      <x:c r="J351" s="2" t="str">
        <x:f>IF(H351=1,F351-D351,"")</x:f>
      </x:c>
      <x:c r="K351" s="2" t="str">
        <x:f>IF(H351=1,F351-E351,"")</x:f>
      </x:c>
      <x:c r="L351" s="2" t="n">
        <x:v>9</x:v>
      </x:c>
      <x:c r="M351" s="2"/>
      <x:c r="N351" s="20" t="n">
        <x:v>0.2</x:v>
      </x:c>
      <x:c r="O351" s="20" t="n">
        <x:v>0.2</x:v>
      </x:c>
      <x:c r="P351" s="20" t="n">
        <x:v>0.5</x:v>
      </x:c>
      <x:c r="Q351" s="2" t="n">
        <x:v>62</x:v>
      </x:c>
      <x:c r="R351" s="2" t="str">
        <x:v>ISFJ</x:v>
      </x:c>
      <x:c r="S351" s="2" t="str">
        <x:v>西北</x:v>
      </x:c>
      <x:c r="T351" s="2" t="str">
        <x:v>个体经营或自由职业</x:v>
      </x:c>
    </x:row>
    <x:row r="352" ht="24" customHeight="1">
      <x:c r="A352" s="2" t="str">
        <x:v>D020_T07_C020_G050</x:v>
      </x:c>
      <x:c r="B352" s="2" t="str">
        <x:v>A0042</x:v>
      </x:c>
      <x:c r="C352" s="2" t="str">
        <x:v>inside</x:v>
      </x:c>
      <x:c r="D352" s="2" t="n">
        <x:v>7</x:v>
      </x:c>
      <x:c r="E352" s="2" t="n">
        <x:v>1</x:v>
      </x:c>
      <x:c r="F352" s="2" t="n">
        <x:v>9</x:v>
      </x:c>
      <x:c r="G352" s="2" t="str">
        <x:v>observed_post_release</x:v>
      </x:c>
      <x:c r="H352" s="2" t="n">
        <x:f>IF(AND(ISNUMBER(F352),F352&gt;=D352),1,0)</x:f>
        <x:v>1</x:v>
      </x:c>
      <x:c r="I352" s="2" t="n">
        <x:f>IF(AND(ISNUMBER(F352),F352&gt;D352),1,0)</x:f>
        <x:v>1</x:v>
      </x:c>
      <x:c r="J352" s="2" t="n">
        <x:f>IF(H352=1,F352-D352,"")</x:f>
        <x:v>2</x:v>
      </x:c>
      <x:c r="K352" s="2" t="n">
        <x:f>IF(H352=1,F352-E352,"")</x:f>
        <x:v>8</x:v>
      </x:c>
      <x:c r="L352" s="2" t="n">
        <x:v>9</x:v>
      </x:c>
      <x:c r="M352" s="2" t="n">
        <x:v>9</x:v>
      </x:c>
      <x:c r="N352" s="20" t="n">
        <x:v>0.2</x:v>
      </x:c>
      <x:c r="O352" s="20" t="n">
        <x:v>0.2</x:v>
      </x:c>
      <x:c r="P352" s="20" t="n">
        <x:v>0.5</x:v>
      </x:c>
      <x:c r="Q352" s="2" t="n">
        <x:v>31</x:v>
      </x:c>
      <x:c r="R352" s="2" t="str">
        <x:v>INTJ</x:v>
      </x:c>
      <x:c r="S352" s="2" t="str">
        <x:v>华东</x:v>
      </x:c>
      <x:c r="T352" s="2" t="str">
        <x:v>生产运输或体力岗位</x:v>
      </x:c>
    </x:row>
    <x:row r="353" ht="24" customHeight="1">
      <x:c r="A353" s="2" t="str">
        <x:v>D020_T07_C020_G050</x:v>
      </x:c>
      <x:c r="B353" s="2" t="str">
        <x:v>A0090</x:v>
      </x:c>
      <x:c r="C353" s="2" t="str">
        <x:v>inside</x:v>
      </x:c>
      <x:c r="D353" s="2" t="n">
        <x:v>7</x:v>
      </x:c>
      <x:c r="E353" s="2" t="n">
        <x:v>1</x:v>
      </x:c>
      <x:c r="F353" s="2" t="n">
        <x:v>9</x:v>
      </x:c>
      <x:c r="G353" s="2" t="str">
        <x:v>observed_post_release</x:v>
      </x:c>
      <x:c r="H353" s="2" t="n">
        <x:f>IF(AND(ISNUMBER(F353),F353&gt;=D353),1,0)</x:f>
        <x:v>1</x:v>
      </x:c>
      <x:c r="I353" s="2" t="n">
        <x:f>IF(AND(ISNUMBER(F353),F353&gt;D353),1,0)</x:f>
        <x:v>1</x:v>
      </x:c>
      <x:c r="J353" s="2" t="n">
        <x:f>IF(H353=1,F353-D353,"")</x:f>
        <x:v>2</x:v>
      </x:c>
      <x:c r="K353" s="2" t="n">
        <x:f>IF(H353=1,F353-E353,"")</x:f>
        <x:v>8</x:v>
      </x:c>
      <x:c r="L353" s="2" t="n">
        <x:v>9</x:v>
      </x:c>
      <x:c r="M353" s="2" t="n">
        <x:v>9</x:v>
      </x:c>
      <x:c r="N353" s="20" t="n">
        <x:v>0.2</x:v>
      </x:c>
      <x:c r="O353" s="20" t="n">
        <x:v>0.2</x:v>
      </x:c>
      <x:c r="P353" s="20" t="n">
        <x:v>0.5</x:v>
      </x:c>
      <x:c r="Q353" s="2" t="n">
        <x:v>46</x:v>
      </x:c>
      <x:c r="R353" s="2" t="str">
        <x:v>ENFJ</x:v>
      </x:c>
      <x:c r="S353" s="2" t="str">
        <x:v>西北</x:v>
      </x:c>
      <x:c r="T353" s="2" t="str">
        <x:v>个体经营或自由职业</x:v>
      </x:c>
    </x:row>
    <x:row r="354" ht="24" customHeight="1">
      <x:c r="A354" s="2" t="str">
        <x:v>D020_T07_C020_G050</x:v>
      </x:c>
      <x:c r="B354" s="2" t="str">
        <x:v>A0206</x:v>
      </x:c>
      <x:c r="C354" s="2" t="str">
        <x:v>inside</x:v>
      </x:c>
      <x:c r="D354" s="2" t="n">
        <x:v>7</x:v>
      </x:c>
      <x:c r="E354" s="2" t="n">
        <x:v>1</x:v>
      </x:c>
      <x:c r="F354" s="2" t="n">
        <x:v>7</x:v>
      </x:c>
      <x:c r="G354" s="2" t="str">
        <x:v>observed_post_release</x:v>
      </x:c>
      <x:c r="H354" s="2" t="n">
        <x:f>IF(AND(ISNUMBER(F354),F354&gt;=D354),1,0)</x:f>
        <x:v>1</x:v>
      </x:c>
      <x:c r="I354" s="2" t="n">
        <x:f>IF(AND(ISNUMBER(F354),F354&gt;D354),1,0)</x:f>
        <x:v>0</x:v>
      </x:c>
      <x:c r="J354" s="2" t="n">
        <x:f>IF(H354=1,F354-D354,"")</x:f>
        <x:v>0</x:v>
      </x:c>
      <x:c r="K354" s="2" t="n">
        <x:f>IF(H354=1,F354-E354,"")</x:f>
        <x:v>6</x:v>
      </x:c>
      <x:c r="L354" s="2" t="n">
        <x:v>9</x:v>
      </x:c>
      <x:c r="M354" s="2" t="n">
        <x:v>7</x:v>
      </x:c>
      <x:c r="N354" s="20" t="n">
        <x:v>0.2</x:v>
      </x:c>
      <x:c r="O354" s="20" t="n">
        <x:v>0.2</x:v>
      </x:c>
      <x:c r="P354" s="20" t="n">
        <x:v>0.5</x:v>
      </x:c>
      <x:c r="Q354" s="2" t="n">
        <x:v>21</x:v>
      </x:c>
      <x:c r="R354" s="2" t="str">
        <x:v>ESTP</x:v>
      </x:c>
      <x:c r="S354" s="2" t="str">
        <x:v>西北</x:v>
      </x:c>
      <x:c r="T354" s="2" t="str">
        <x:v>暂未就业或家庭照料</x:v>
      </x:c>
    </x:row>
    <x:row r="355" ht="24" customHeight="1">
      <x:c r="A355" s="2" t="str">
        <x:v>D020_T07_C020_G075</x:v>
      </x:c>
      <x:c r="B355" s="2" t="str">
        <x:v>A0003</x:v>
      </x:c>
      <x:c r="C355" s="2" t="str">
        <x:v>inside</x:v>
      </x:c>
      <x:c r="D355" s="2" t="n">
        <x:v>7</x:v>
      </x:c>
      <x:c r="E355" s="2" t="n">
        <x:v>5</x:v>
      </x:c>
      <x:c r="F355" s="2" t="n">
        <x:v>7</x:v>
      </x:c>
      <x:c r="G355" s="2" t="str">
        <x:v>observed_post_release</x:v>
      </x:c>
      <x:c r="H355" s="2" t="n">
        <x:f>IF(AND(ISNUMBER(F355),F355&gt;=D355),1,0)</x:f>
        <x:v>1</x:v>
      </x:c>
      <x:c r="I355" s="2" t="n">
        <x:f>IF(AND(ISNUMBER(F355),F355&gt;D355),1,0)</x:f>
        <x:v>0</x:v>
      </x:c>
      <x:c r="J355" s="2" t="n">
        <x:f>IF(H355=1,F355-D355,"")</x:f>
        <x:v>0</x:v>
      </x:c>
      <x:c r="K355" s="2" t="n">
        <x:f>IF(H355=1,F355-E355,"")</x:f>
        <x:v>2</x:v>
      </x:c>
      <x:c r="L355" s="2" t="n">
        <x:v>5</x:v>
      </x:c>
      <x:c r="M355" s="2" t="n">
        <x:v>7</x:v>
      </x:c>
      <x:c r="N355" s="20" t="n">
        <x:v>0.2</x:v>
      </x:c>
      <x:c r="O355" s="20" t="n">
        <x:v>0.2</x:v>
      </x:c>
      <x:c r="P355" s="20" t="n">
        <x:v>0.75</x:v>
      </x:c>
      <x:c r="Q355" s="2" t="n">
        <x:v>20</x:v>
      </x:c>
      <x:c r="R355" s="2" t="str">
        <x:v>ENFP</x:v>
      </x:c>
      <x:c r="S355" s="2" t="str">
        <x:v>华北</x:v>
      </x:c>
      <x:c r="T355" s="2" t="str">
        <x:v>行政或办公室岗位</x:v>
      </x:c>
    </x:row>
    <x:row r="356" ht="24" customHeight="1">
      <x:c r="A356" s="2" t="str">
        <x:v>D020_T07_C020_G075</x:v>
      </x:c>
      <x:c r="B356" s="2" t="str">
        <x:v>A0005</x:v>
      </x:c>
      <x:c r="C356" s="2" t="str">
        <x:v>inside</x:v>
      </x:c>
      <x:c r="D356" s="2" t="n">
        <x:v>7</x:v>
      </x:c>
      <x:c r="E356" s="2" t="n">
        <x:v>1</x:v>
      </x:c>
      <x:c r="F356" s="2"/>
      <x:c r="G356" s="2" t="str">
        <x:v>right_censored</x:v>
      </x:c>
      <x:c r="H356" s="2" t="n">
        <x:f>IF(AND(ISNUMBER(F356),F356&gt;=D356),1,0)</x:f>
        <x:v>0</x:v>
      </x:c>
      <x:c r="I356" s="2" t="n">
        <x:f>IF(AND(ISNUMBER(F356),F356&gt;D356),1,0)</x:f>
        <x:v>0</x:v>
      </x:c>
      <x:c r="J356" s="2" t="str">
        <x:f>IF(H356=1,F356-D356,"")</x:f>
      </x:c>
      <x:c r="K356" s="2" t="str">
        <x:f>IF(H356=1,F356-E356,"")</x:f>
      </x:c>
      <x:c r="L356" s="2" t="n">
        <x:v>9</x:v>
      </x:c>
      <x:c r="M356" s="2"/>
      <x:c r="N356" s="20" t="n">
        <x:v>0.2</x:v>
      </x:c>
      <x:c r="O356" s="20" t="n">
        <x:v>0.2</x:v>
      </x:c>
      <x:c r="P356" s="20" t="n">
        <x:v>0.75</x:v>
      </x:c>
      <x:c r="Q356" s="2" t="n">
        <x:v>51</x:v>
      </x:c>
      <x:c r="R356" s="2" t="str">
        <x:v>ISTP</x:v>
      </x:c>
      <x:c r="S356" s="2" t="str">
        <x:v>华南</x:v>
      </x:c>
      <x:c r="T356" s="2" t="str">
        <x:v>生产运输或体力岗位</x:v>
      </x:c>
    </x:row>
    <x:row r="357" ht="24" customHeight="1">
      <x:c r="A357" s="2" t="str">
        <x:v>D020_T07_C020_G075</x:v>
      </x:c>
      <x:c r="B357" s="2" t="str">
        <x:v>A0011</x:v>
      </x:c>
      <x:c r="C357" s="2" t="str">
        <x:v>inside</x:v>
      </x:c>
      <x:c r="D357" s="2" t="n">
        <x:v>7</x:v>
      </x:c>
      <x:c r="E357" s="2" t="n">
        <x:v>1</x:v>
      </x:c>
      <x:c r="F357" s="2" t="n">
        <x:v>7</x:v>
      </x:c>
      <x:c r="G357" s="2" t="str">
        <x:v>observed_post_release</x:v>
      </x:c>
      <x:c r="H357" s="2" t="n">
        <x:f>IF(AND(ISNUMBER(F357),F357&gt;=D357),1,0)</x:f>
        <x:v>1</x:v>
      </x:c>
      <x:c r="I357" s="2" t="n">
        <x:f>IF(AND(ISNUMBER(F357),F357&gt;D357),1,0)</x:f>
        <x:v>0</x:v>
      </x:c>
      <x:c r="J357" s="2" t="n">
        <x:f>IF(H357=1,F357-D357,"")</x:f>
        <x:v>0</x:v>
      </x:c>
      <x:c r="K357" s="2" t="n">
        <x:f>IF(H357=1,F357-E357,"")</x:f>
        <x:v>6</x:v>
      </x:c>
      <x:c r="L357" s="2" t="n">
        <x:v>9</x:v>
      </x:c>
      <x:c r="M357" s="2" t="n">
        <x:v>7</x:v>
      </x:c>
      <x:c r="N357" s="20" t="n">
        <x:v>0.2</x:v>
      </x:c>
      <x:c r="O357" s="20" t="n">
        <x:v>0.2</x:v>
      </x:c>
      <x:c r="P357" s="20" t="n">
        <x:v>0.75</x:v>
      </x:c>
      <x:c r="Q357" s="2" t="n">
        <x:v>42</x:v>
      </x:c>
      <x:c r="R357" s="2" t="str">
        <x:v>ENFJ</x:v>
      </x:c>
      <x:c r="S357" s="2" t="str">
        <x:v>西南</x:v>
      </x:c>
      <x:c r="T357" s="2" t="str">
        <x:v>行政或办公室岗位</x:v>
      </x:c>
    </x:row>
    <x:row r="358" ht="24" customHeight="1">
      <x:c r="A358" s="2" t="str">
        <x:v>D020_T07_C020_G075</x:v>
      </x:c>
      <x:c r="B358" s="2" t="str">
        <x:v>A0012</x:v>
      </x:c>
      <x:c r="C358" s="2" t="str">
        <x:v>inside</x:v>
      </x:c>
      <x:c r="D358" s="2" t="n">
        <x:v>7</x:v>
      </x:c>
      <x:c r="E358" s="2" t="n">
        <x:v>1</x:v>
      </x:c>
      <x:c r="F358" s="2" t="n">
        <x:v>8</x:v>
      </x:c>
      <x:c r="G358" s="2" t="str">
        <x:v>observed_post_release</x:v>
      </x:c>
      <x:c r="H358" s="2" t="n">
        <x:f>IF(AND(ISNUMBER(F358),F358&gt;=D358),1,0)</x:f>
        <x:v>1</x:v>
      </x:c>
      <x:c r="I358" s="2" t="n">
        <x:f>IF(AND(ISNUMBER(F358),F358&gt;D358),1,0)</x:f>
        <x:v>1</x:v>
      </x:c>
      <x:c r="J358" s="2" t="n">
        <x:f>IF(H358=1,F358-D358,"")</x:f>
        <x:v>1</x:v>
      </x:c>
      <x:c r="K358" s="2" t="n">
        <x:f>IF(H358=1,F358-E358,"")</x:f>
        <x:v>7</x:v>
      </x:c>
      <x:c r="L358" s="2" t="n">
        <x:v>9</x:v>
      </x:c>
      <x:c r="M358" s="2" t="n">
        <x:v>8</x:v>
      </x:c>
      <x:c r="N358" s="20" t="n">
        <x:v>0.2</x:v>
      </x:c>
      <x:c r="O358" s="20" t="n">
        <x:v>0.2</x:v>
      </x:c>
      <x:c r="P358" s="20" t="n">
        <x:v>0.75</x:v>
      </x:c>
      <x:c r="Q358" s="2" t="n">
        <x:v>38</x:v>
      </x:c>
      <x:c r="R358" s="2" t="str">
        <x:v>ESFP</x:v>
      </x:c>
      <x:c r="S358" s="2" t="str">
        <x:v>华中</x:v>
      </x:c>
      <x:c r="T358" s="2" t="str">
        <x:v>行政或办公室岗位</x:v>
      </x:c>
    </x:row>
    <x:row r="359" ht="24" customHeight="1">
      <x:c r="A359" s="2" t="str">
        <x:v>D020_T07_C020_G075</x:v>
      </x:c>
      <x:c r="B359" s="2" t="str">
        <x:v>A0014</x:v>
      </x:c>
      <x:c r="C359" s="2" t="str">
        <x:v>inside</x:v>
      </x:c>
      <x:c r="D359" s="2" t="n">
        <x:v>7</x:v>
      </x:c>
      <x:c r="E359" s="2" t="n">
        <x:v>1</x:v>
      </x:c>
      <x:c r="F359" s="2" t="n">
        <x:v>7</x:v>
      </x:c>
      <x:c r="G359" s="2" t="str">
        <x:v>observed_post_release</x:v>
      </x:c>
      <x:c r="H359" s="2" t="n">
        <x:f>IF(AND(ISNUMBER(F359),F359&gt;=D359),1,0)</x:f>
        <x:v>1</x:v>
      </x:c>
      <x:c r="I359" s="2" t="n">
        <x:f>IF(AND(ISNUMBER(F359),F359&gt;D359),1,0)</x:f>
        <x:v>0</x:v>
      </x:c>
      <x:c r="J359" s="2" t="n">
        <x:f>IF(H359=1,F359-D359,"")</x:f>
        <x:v>0</x:v>
      </x:c>
      <x:c r="K359" s="2" t="n">
        <x:f>IF(H359=1,F359-E359,"")</x:f>
        <x:v>6</x:v>
      </x:c>
      <x:c r="L359" s="2" t="n">
        <x:v>9</x:v>
      </x:c>
      <x:c r="M359" s="2" t="n">
        <x:v>7</x:v>
      </x:c>
      <x:c r="N359" s="20" t="n">
        <x:v>0.2</x:v>
      </x:c>
      <x:c r="O359" s="20" t="n">
        <x:v>0.2</x:v>
      </x:c>
      <x:c r="P359" s="20" t="n">
        <x:v>0.75</x:v>
      </x:c>
      <x:c r="Q359" s="2" t="n">
        <x:v>52</x:v>
      </x:c>
      <x:c r="R359" s="2" t="str">
        <x:v>INFJ</x:v>
      </x:c>
      <x:c r="S359" s="2" t="str">
        <x:v>华东</x:v>
      </x:c>
      <x:c r="T359" s="2" t="str">
        <x:v>生产运输或体力岗位</x:v>
      </x:c>
    </x:row>
    <x:row r="360" ht="24" customHeight="1">
      <x:c r="A360" s="2" t="str">
        <x:v>D020_T07_C020_G075</x:v>
      </x:c>
      <x:c r="B360" s="2" t="str">
        <x:v>A0016</x:v>
      </x:c>
      <x:c r="C360" s="2" t="str">
        <x:v>inside</x:v>
      </x:c>
      <x:c r="D360" s="2" t="n">
        <x:v>7</x:v>
      </x:c>
      <x:c r="E360" s="2" t="n">
        <x:v>1</x:v>
      </x:c>
      <x:c r="F360" s="2"/>
      <x:c r="G360" s="2" t="str">
        <x:v>right_censored</x:v>
      </x:c>
      <x:c r="H360" s="2" t="n">
        <x:f>IF(AND(ISNUMBER(F360),F360&gt;=D360),1,0)</x:f>
        <x:v>0</x:v>
      </x:c>
      <x:c r="I360" s="2" t="n">
        <x:f>IF(AND(ISNUMBER(F360),F360&gt;D360),1,0)</x:f>
        <x:v>0</x:v>
      </x:c>
      <x:c r="J360" s="2" t="str">
        <x:f>IF(H360=1,F360-D360,"")</x:f>
      </x:c>
      <x:c r="K360" s="2" t="str">
        <x:f>IF(H360=1,F360-E360,"")</x:f>
      </x:c>
      <x:c r="L360" s="2" t="n">
        <x:v>9</x:v>
      </x:c>
      <x:c r="M360" s="2"/>
      <x:c r="N360" s="20" t="n">
        <x:v>0.2</x:v>
      </x:c>
      <x:c r="O360" s="20" t="n">
        <x:v>0.2</x:v>
      </x:c>
      <x:c r="P360" s="20" t="n">
        <x:v>0.75</x:v>
      </x:c>
      <x:c r="Q360" s="2" t="n">
        <x:v>60</x:v>
      </x:c>
      <x:c r="R360" s="2" t="str">
        <x:v>ESFJ</x:v>
      </x:c>
      <x:c r="S360" s="2" t="str">
        <x:v>华北</x:v>
      </x:c>
      <x:c r="T360" s="2" t="str">
        <x:v>个体经营或自由职业</x:v>
      </x:c>
    </x:row>
    <x:row r="361" ht="24" customHeight="1">
      <x:c r="A361" s="2" t="str">
        <x:v>D020_T07_C020_G075</x:v>
      </x:c>
      <x:c r="B361" s="2" t="str">
        <x:v>A0017</x:v>
      </x:c>
      <x:c r="C361" s="2" t="str">
        <x:v>inside</x:v>
      </x:c>
      <x:c r="D361" s="2" t="n">
        <x:v>7</x:v>
      </x:c>
      <x:c r="E361" s="2" t="n">
        <x:v>1</x:v>
      </x:c>
      <x:c r="F361" s="2"/>
      <x:c r="G361" s="2" t="str">
        <x:v>right_censored</x:v>
      </x:c>
      <x:c r="H361" s="2" t="n">
        <x:f>IF(AND(ISNUMBER(F361),F361&gt;=D361),1,0)</x:f>
        <x:v>0</x:v>
      </x:c>
      <x:c r="I361" s="2" t="n">
        <x:f>IF(AND(ISNUMBER(F361),F361&gt;D361),1,0)</x:f>
        <x:v>0</x:v>
      </x:c>
      <x:c r="J361" s="2" t="str">
        <x:f>IF(H361=1,F361-D361,"")</x:f>
      </x:c>
      <x:c r="K361" s="2" t="str">
        <x:f>IF(H361=1,F361-E361,"")</x:f>
      </x:c>
      <x:c r="L361" s="2" t="n">
        <x:v>9</x:v>
      </x:c>
      <x:c r="M361" s="2"/>
      <x:c r="N361" s="20" t="n">
        <x:v>0.2</x:v>
      </x:c>
      <x:c r="O361" s="20" t="n">
        <x:v>0.2</x:v>
      </x:c>
      <x:c r="P361" s="20" t="n">
        <x:v>0.75</x:v>
      </x:c>
      <x:c r="Q361" s="2" t="n">
        <x:v>30</x:v>
      </x:c>
      <x:c r="R361" s="2" t="str">
        <x:v>ISTJ</x:v>
      </x:c>
      <x:c r="S361" s="2" t="str">
        <x:v>华东</x:v>
      </x:c>
      <x:c r="T361" s="2" t="str">
        <x:v>商业服务岗位</x:v>
      </x:c>
    </x:row>
    <x:row r="362" ht="24" customHeight="1">
      <x:c r="A362" s="2" t="str">
        <x:v>D020_T07_C020_G075</x:v>
      </x:c>
      <x:c r="B362" s="2" t="str">
        <x:v>A0018</x:v>
      </x:c>
      <x:c r="C362" s="2" t="str">
        <x:v>inside</x:v>
      </x:c>
      <x:c r="D362" s="2" t="n">
        <x:v>7</x:v>
      </x:c>
      <x:c r="E362" s="2" t="n">
        <x:v>1</x:v>
      </x:c>
      <x:c r="F362" s="2"/>
      <x:c r="G362" s="2" t="str">
        <x:v>right_censored</x:v>
      </x:c>
      <x:c r="H362" s="2" t="n">
        <x:f>IF(AND(ISNUMBER(F362),F362&gt;=D362),1,0)</x:f>
        <x:v>0</x:v>
      </x:c>
      <x:c r="I362" s="2" t="n">
        <x:f>IF(AND(ISNUMBER(F362),F362&gt;D362),1,0)</x:f>
        <x:v>0</x:v>
      </x:c>
      <x:c r="J362" s="2" t="str">
        <x:f>IF(H362=1,F362-D362,"")</x:f>
      </x:c>
      <x:c r="K362" s="2" t="str">
        <x:f>IF(H362=1,F362-E362,"")</x:f>
      </x:c>
      <x:c r="L362" s="2" t="n">
        <x:v>9</x:v>
      </x:c>
      <x:c r="M362" s="2"/>
      <x:c r="N362" s="20" t="n">
        <x:v>0.2</x:v>
      </x:c>
      <x:c r="O362" s="20" t="n">
        <x:v>0.2</x:v>
      </x:c>
      <x:c r="P362" s="20" t="n">
        <x:v>0.75</x:v>
      </x:c>
      <x:c r="Q362" s="2" t="n">
        <x:v>60</x:v>
      </x:c>
      <x:c r="R362" s="2" t="str">
        <x:v>INTJ</x:v>
      </x:c>
      <x:c r="S362" s="2" t="str">
        <x:v>华南</x:v>
      </x:c>
      <x:c r="T362" s="2" t="str">
        <x:v>专业技术岗位</x:v>
      </x:c>
    </x:row>
    <x:row r="363" ht="24" customHeight="1">
      <x:c r="A363" s="2" t="str">
        <x:v>D020_T07_C020_G075</x:v>
      </x:c>
      <x:c r="B363" s="2" t="str">
        <x:v>A0023</x:v>
      </x:c>
      <x:c r="C363" s="2" t="str">
        <x:v>inside</x:v>
      </x:c>
      <x:c r="D363" s="2" t="n">
        <x:v>7</x:v>
      </x:c>
      <x:c r="E363" s="2" t="n">
        <x:v>1</x:v>
      </x:c>
      <x:c r="F363" s="2" t="n">
        <x:v>10</x:v>
      </x:c>
      <x:c r="G363" s="2" t="str">
        <x:v>observed_post_release</x:v>
      </x:c>
      <x:c r="H363" s="2" t="n">
        <x:f>IF(AND(ISNUMBER(F363),F363&gt;=D363),1,0)</x:f>
        <x:v>1</x:v>
      </x:c>
      <x:c r="I363" s="2" t="n">
        <x:f>IF(AND(ISNUMBER(F363),F363&gt;D363),1,0)</x:f>
        <x:v>1</x:v>
      </x:c>
      <x:c r="J363" s="2" t="n">
        <x:f>IF(H363=1,F363-D363,"")</x:f>
        <x:v>3</x:v>
      </x:c>
      <x:c r="K363" s="2" t="n">
        <x:f>IF(H363=1,F363-E363,"")</x:f>
        <x:v>9</x:v>
      </x:c>
      <x:c r="L363" s="2" t="n">
        <x:v>9</x:v>
      </x:c>
      <x:c r="M363" s="2" t="n">
        <x:v>10</x:v>
      </x:c>
      <x:c r="N363" s="20" t="n">
        <x:v>0.2</x:v>
      </x:c>
      <x:c r="O363" s="20" t="n">
        <x:v>0.2</x:v>
      </x:c>
      <x:c r="P363" s="20" t="n">
        <x:v>0.75</x:v>
      </x:c>
      <x:c r="Q363" s="2" t="n">
        <x:v>56</x:v>
      </x:c>
      <x:c r="R363" s="2" t="str">
        <x:v>INFP</x:v>
      </x:c>
      <x:c r="S363" s="2" t="str">
        <x:v>东北</x:v>
      </x:c>
      <x:c r="T363" s="2" t="str">
        <x:v>行政或办公室岗位</x:v>
      </x:c>
    </x:row>
    <x:row r="364" ht="24" customHeight="1">
      <x:c r="A364" s="2" t="str">
        <x:v>D020_T07_C020_G075</x:v>
      </x:c>
      <x:c r="B364" s="2" t="str">
        <x:v>A0024</x:v>
      </x:c>
      <x:c r="C364" s="2" t="str">
        <x:v>inside</x:v>
      </x:c>
      <x:c r="D364" s="2" t="n">
        <x:v>7</x:v>
      </x:c>
      <x:c r="E364" s="2" t="n">
        <x:v>1</x:v>
      </x:c>
      <x:c r="F364" s="2" t="n">
        <x:v>8</x:v>
      </x:c>
      <x:c r="G364" s="2" t="str">
        <x:v>observed_post_release</x:v>
      </x:c>
      <x:c r="H364" s="2" t="n">
        <x:f>IF(AND(ISNUMBER(F364),F364&gt;=D364),1,0)</x:f>
        <x:v>1</x:v>
      </x:c>
      <x:c r="I364" s="2" t="n">
        <x:f>IF(AND(ISNUMBER(F364),F364&gt;D364),1,0)</x:f>
        <x:v>1</x:v>
      </x:c>
      <x:c r="J364" s="2" t="n">
        <x:f>IF(H364=1,F364-D364,"")</x:f>
        <x:v>1</x:v>
      </x:c>
      <x:c r="K364" s="2" t="n">
        <x:f>IF(H364=1,F364-E364,"")</x:f>
        <x:v>7</x:v>
      </x:c>
      <x:c r="L364" s="2" t="n">
        <x:v>9</x:v>
      </x:c>
      <x:c r="M364" s="2" t="n">
        <x:v>8</x:v>
      </x:c>
      <x:c r="N364" s="20" t="n">
        <x:v>0.2</x:v>
      </x:c>
      <x:c r="O364" s="20" t="n">
        <x:v>0.2</x:v>
      </x:c>
      <x:c r="P364" s="20" t="n">
        <x:v>0.75</x:v>
      </x:c>
      <x:c r="Q364" s="2" t="n">
        <x:v>31</x:v>
      </x:c>
      <x:c r="R364" s="2" t="str">
        <x:v>ESTP</x:v>
      </x:c>
      <x:c r="S364" s="2" t="str">
        <x:v>华北</x:v>
      </x:c>
      <x:c r="T364" s="2" t="str">
        <x:v>商业服务岗位</x:v>
      </x:c>
    </x:row>
    <x:row r="365" ht="24" customHeight="1">
      <x:c r="A365" s="2" t="str">
        <x:v>D020_T07_C020_G075</x:v>
      </x:c>
      <x:c r="B365" s="2" t="str">
        <x:v>A0025</x:v>
      </x:c>
      <x:c r="C365" s="2" t="str">
        <x:v>inside</x:v>
      </x:c>
      <x:c r="D365" s="2" t="n">
        <x:v>7</x:v>
      </x:c>
      <x:c r="E365" s="2" t="n">
        <x:v>1</x:v>
      </x:c>
      <x:c r="F365" s="2" t="n">
        <x:v>7</x:v>
      </x:c>
      <x:c r="G365" s="2" t="str">
        <x:v>observed_post_release</x:v>
      </x:c>
      <x:c r="H365" s="2" t="n">
        <x:f>IF(AND(ISNUMBER(F365),F365&gt;=D365),1,0)</x:f>
        <x:v>1</x:v>
      </x:c>
      <x:c r="I365" s="2" t="n">
        <x:f>IF(AND(ISNUMBER(F365),F365&gt;D365),1,0)</x:f>
        <x:v>0</x:v>
      </x:c>
      <x:c r="J365" s="2" t="n">
        <x:f>IF(H365=1,F365-D365,"")</x:f>
        <x:v>0</x:v>
      </x:c>
      <x:c r="K365" s="2" t="n">
        <x:f>IF(H365=1,F365-E365,"")</x:f>
        <x:v>6</x:v>
      </x:c>
      <x:c r="L365" s="2" t="n">
        <x:v>9</x:v>
      </x:c>
      <x:c r="M365" s="2" t="n">
        <x:v>7</x:v>
      </x:c>
      <x:c r="N365" s="20" t="n">
        <x:v>0.2</x:v>
      </x:c>
      <x:c r="O365" s="20" t="n">
        <x:v>0.2</x:v>
      </x:c>
      <x:c r="P365" s="20" t="n">
        <x:v>0.75</x:v>
      </x:c>
      <x:c r="Q365" s="2" t="n">
        <x:v>23</x:v>
      </x:c>
      <x:c r="R365" s="2" t="str">
        <x:v>ISTP</x:v>
      </x:c>
      <x:c r="S365" s="2" t="str">
        <x:v>华南</x:v>
      </x:c>
      <x:c r="T365" s="2" t="str">
        <x:v>行政或办公室岗位</x:v>
      </x:c>
    </x:row>
    <x:row r="366" ht="24" customHeight="1">
      <x:c r="A366" s="2" t="str">
        <x:v>D020_T07_C020_G075</x:v>
      </x:c>
      <x:c r="B366" s="2" t="str">
        <x:v>A0026</x:v>
      </x:c>
      <x:c r="C366" s="2" t="str">
        <x:v>inside</x:v>
      </x:c>
      <x:c r="D366" s="2" t="n">
        <x:v>7</x:v>
      </x:c>
      <x:c r="E366" s="2" t="n">
        <x:v>1</x:v>
      </x:c>
      <x:c r="F366" s="2" t="n">
        <x:v>7</x:v>
      </x:c>
      <x:c r="G366" s="2" t="str">
        <x:v>observed_post_release</x:v>
      </x:c>
      <x:c r="H366" s="2" t="n">
        <x:f>IF(AND(ISNUMBER(F366),F366&gt;=D366),1,0)</x:f>
        <x:v>1</x:v>
      </x:c>
      <x:c r="I366" s="2" t="n">
        <x:f>IF(AND(ISNUMBER(F366),F366&gt;D366),1,0)</x:f>
        <x:v>0</x:v>
      </x:c>
      <x:c r="J366" s="2" t="n">
        <x:f>IF(H366=1,F366-D366,"")</x:f>
        <x:v>0</x:v>
      </x:c>
      <x:c r="K366" s="2" t="n">
        <x:f>IF(H366=1,F366-E366,"")</x:f>
        <x:v>6</x:v>
      </x:c>
      <x:c r="L366" s="2" t="n">
        <x:v>9</x:v>
      </x:c>
      <x:c r="M366" s="2" t="n">
        <x:v>7</x:v>
      </x:c>
      <x:c r="N366" s="20" t="n">
        <x:v>0.2</x:v>
      </x:c>
      <x:c r="O366" s="20" t="n">
        <x:v>0.2</x:v>
      </x:c>
      <x:c r="P366" s="20" t="n">
        <x:v>0.75</x:v>
      </x:c>
      <x:c r="Q366" s="2" t="n">
        <x:v>36</x:v>
      </x:c>
      <x:c r="R366" s="2" t="str">
        <x:v>ISFP</x:v>
      </x:c>
      <x:c r="S366" s="2" t="str">
        <x:v>西北</x:v>
      </x:c>
      <x:c r="T366" s="2" t="str">
        <x:v>个体经营或自由职业</x:v>
      </x:c>
    </x:row>
    <x:row r="367" ht="24" customHeight="1">
      <x:c r="A367" s="2" t="str">
        <x:v>D020_T07_C020_G075</x:v>
      </x:c>
      <x:c r="B367" s="2" t="str">
        <x:v>A0027</x:v>
      </x:c>
      <x:c r="C367" s="2" t="str">
        <x:v>inside</x:v>
      </x:c>
      <x:c r="D367" s="2" t="n">
        <x:v>7</x:v>
      </x:c>
      <x:c r="E367" s="2" t="n">
        <x:v>1</x:v>
      </x:c>
      <x:c r="F367" s="2"/>
      <x:c r="G367" s="2" t="str">
        <x:v>right_censored</x:v>
      </x:c>
      <x:c r="H367" s="2" t="n">
        <x:f>IF(AND(ISNUMBER(F367),F367&gt;=D367),1,0)</x:f>
        <x:v>0</x:v>
      </x:c>
      <x:c r="I367" s="2" t="n">
        <x:f>IF(AND(ISNUMBER(F367),F367&gt;D367),1,0)</x:f>
        <x:v>0</x:v>
      </x:c>
      <x:c r="J367" s="2" t="str">
        <x:f>IF(H367=1,F367-D367,"")</x:f>
      </x:c>
      <x:c r="K367" s="2" t="str">
        <x:f>IF(H367=1,F367-E367,"")</x:f>
      </x:c>
      <x:c r="L367" s="2" t="n">
        <x:v>9</x:v>
      </x:c>
      <x:c r="M367" s="2"/>
      <x:c r="N367" s="20" t="n">
        <x:v>0.2</x:v>
      </x:c>
      <x:c r="O367" s="20" t="n">
        <x:v>0.2</x:v>
      </x:c>
      <x:c r="P367" s="20" t="n">
        <x:v>0.75</x:v>
      </x:c>
      <x:c r="Q367" s="2" t="n">
        <x:v>25</x:v>
      </x:c>
      <x:c r="R367" s="2" t="str">
        <x:v>ESFP</x:v>
      </x:c>
      <x:c r="S367" s="2" t="str">
        <x:v>西北</x:v>
      </x:c>
      <x:c r="T367" s="2" t="str">
        <x:v>暂未就业或家庭照料</x:v>
      </x:c>
    </x:row>
    <x:row r="368" ht="24" customHeight="1">
      <x:c r="A368" s="2" t="str">
        <x:v>D020_T07_C020_G075</x:v>
      </x:c>
      <x:c r="B368" s="2" t="str">
        <x:v>A0030</x:v>
      </x:c>
      <x:c r="C368" s="2" t="str">
        <x:v>inside</x:v>
      </x:c>
      <x:c r="D368" s="2" t="n">
        <x:v>7</x:v>
      </x:c>
      <x:c r="E368" s="2" t="n">
        <x:v>1</x:v>
      </x:c>
      <x:c r="F368" s="2"/>
      <x:c r="G368" s="2" t="str">
        <x:v>right_censored</x:v>
      </x:c>
      <x:c r="H368" s="2" t="n">
        <x:f>IF(AND(ISNUMBER(F368),F368&gt;=D368),1,0)</x:f>
        <x:v>0</x:v>
      </x:c>
      <x:c r="I368" s="2" t="n">
        <x:f>IF(AND(ISNUMBER(F368),F368&gt;D368),1,0)</x:f>
        <x:v>0</x:v>
      </x:c>
      <x:c r="J368" s="2" t="str">
        <x:f>IF(H368=1,F368-D368,"")</x:f>
      </x:c>
      <x:c r="K368" s="2" t="str">
        <x:f>IF(H368=1,F368-E368,"")</x:f>
      </x:c>
      <x:c r="L368" s="2" t="n">
        <x:v>9</x:v>
      </x:c>
      <x:c r="M368" s="2"/>
      <x:c r="N368" s="20" t="n">
        <x:v>0.2</x:v>
      </x:c>
      <x:c r="O368" s="20" t="n">
        <x:v>0.2</x:v>
      </x:c>
      <x:c r="P368" s="20" t="n">
        <x:v>0.75</x:v>
      </x:c>
      <x:c r="Q368" s="2" t="n">
        <x:v>23</x:v>
      </x:c>
      <x:c r="R368" s="2" t="str">
        <x:v>ISFP</x:v>
      </x:c>
      <x:c r="S368" s="2" t="str">
        <x:v>华东</x:v>
      </x:c>
      <x:c r="T368" s="2" t="str">
        <x:v>在校学生</x:v>
      </x:c>
    </x:row>
    <x:row r="369" ht="24" customHeight="1">
      <x:c r="A369" s="2" t="str">
        <x:v>D020_T07_C020_G075</x:v>
      </x:c>
      <x:c r="B369" s="2" t="str">
        <x:v>A0032</x:v>
      </x:c>
      <x:c r="C369" s="2" t="str">
        <x:v>inside</x:v>
      </x:c>
      <x:c r="D369" s="2" t="n">
        <x:v>7</x:v>
      </x:c>
      <x:c r="E369" s="2" t="n">
        <x:v>1</x:v>
      </x:c>
      <x:c r="F369" s="2" t="n">
        <x:v>8</x:v>
      </x:c>
      <x:c r="G369" s="2" t="str">
        <x:v>observed_post_release</x:v>
      </x:c>
      <x:c r="H369" s="2" t="n">
        <x:f>IF(AND(ISNUMBER(F369),F369&gt;=D369),1,0)</x:f>
        <x:v>1</x:v>
      </x:c>
      <x:c r="I369" s="2" t="n">
        <x:f>IF(AND(ISNUMBER(F369),F369&gt;D369),1,0)</x:f>
        <x:v>1</x:v>
      </x:c>
      <x:c r="J369" s="2" t="n">
        <x:f>IF(H369=1,F369-D369,"")</x:f>
        <x:v>1</x:v>
      </x:c>
      <x:c r="K369" s="2" t="n">
        <x:f>IF(H369=1,F369-E369,"")</x:f>
        <x:v>7</x:v>
      </x:c>
      <x:c r="L369" s="2" t="n">
        <x:v>9</x:v>
      </x:c>
      <x:c r="M369" s="2" t="n">
        <x:v>7</x:v>
      </x:c>
      <x:c r="N369" s="20" t="n">
        <x:v>0.2</x:v>
      </x:c>
      <x:c r="O369" s="20" t="n">
        <x:v>0.2</x:v>
      </x:c>
      <x:c r="P369" s="20" t="n">
        <x:v>0.75</x:v>
      </x:c>
      <x:c r="Q369" s="2" t="n">
        <x:v>53</x:v>
      </x:c>
      <x:c r="R369" s="2" t="str">
        <x:v>INTP</x:v>
      </x:c>
      <x:c r="S369" s="2" t="str">
        <x:v>华北</x:v>
      </x:c>
      <x:c r="T369" s="2" t="str">
        <x:v>个体经营或自由职业</x:v>
      </x:c>
    </x:row>
    <x:row r="370" ht="24" customHeight="1">
      <x:c r="A370" s="2" t="str">
        <x:v>D020_T07_C020_G075</x:v>
      </x:c>
      <x:c r="B370" s="2" t="str">
        <x:v>A0033</x:v>
      </x:c>
      <x:c r="C370" s="2" t="str">
        <x:v>inside</x:v>
      </x:c>
      <x:c r="D370" s="2" t="n">
        <x:v>7</x:v>
      </x:c>
      <x:c r="E370" s="2" t="n">
        <x:v>1</x:v>
      </x:c>
      <x:c r="F370" s="2" t="n">
        <x:v>10</x:v>
      </x:c>
      <x:c r="G370" s="2" t="str">
        <x:v>observed_post_release</x:v>
      </x:c>
      <x:c r="H370" s="2" t="n">
        <x:f>IF(AND(ISNUMBER(F370),F370&gt;=D370),1,0)</x:f>
        <x:v>1</x:v>
      </x:c>
      <x:c r="I370" s="2" t="n">
        <x:f>IF(AND(ISNUMBER(F370),F370&gt;D370),1,0)</x:f>
        <x:v>1</x:v>
      </x:c>
      <x:c r="J370" s="2" t="n">
        <x:f>IF(H370=1,F370-D370,"")</x:f>
        <x:v>3</x:v>
      </x:c>
      <x:c r="K370" s="2" t="n">
        <x:f>IF(H370=1,F370-E370,"")</x:f>
        <x:v>9</x:v>
      </x:c>
      <x:c r="L370" s="2" t="n">
        <x:v>9</x:v>
      </x:c>
      <x:c r="M370" s="2" t="n">
        <x:v>10</x:v>
      </x:c>
      <x:c r="N370" s="20" t="n">
        <x:v>0.2</x:v>
      </x:c>
      <x:c r="O370" s="20" t="n">
        <x:v>0.2</x:v>
      </x:c>
      <x:c r="P370" s="20" t="n">
        <x:v>0.75</x:v>
      </x:c>
      <x:c r="Q370" s="2" t="n">
        <x:v>55</x:v>
      </x:c>
      <x:c r="R370" s="2" t="str">
        <x:v>ENFP</x:v>
      </x:c>
      <x:c r="S370" s="2" t="str">
        <x:v>华南</x:v>
      </x:c>
      <x:c r="T370" s="2" t="str">
        <x:v>个体经营或自由职业</x:v>
      </x:c>
    </x:row>
    <x:row r="371" ht="24" customHeight="1">
      <x:c r="A371" s="2" t="str">
        <x:v>D020_T07_C020_G075</x:v>
      </x:c>
      <x:c r="B371" s="2" t="str">
        <x:v>A0036</x:v>
      </x:c>
      <x:c r="C371" s="2" t="str">
        <x:v>inside</x:v>
      </x:c>
      <x:c r="D371" s="2" t="n">
        <x:v>7</x:v>
      </x:c>
      <x:c r="E371" s="2" t="n">
        <x:v>1</x:v>
      </x:c>
      <x:c r="F371" s="2" t="n">
        <x:v>8</x:v>
      </x:c>
      <x:c r="G371" s="2" t="str">
        <x:v>observed_post_release</x:v>
      </x:c>
      <x:c r="H371" s="2" t="n">
        <x:f>IF(AND(ISNUMBER(F371),F371&gt;=D371),1,0)</x:f>
        <x:v>1</x:v>
      </x:c>
      <x:c r="I371" s="2" t="n">
        <x:f>IF(AND(ISNUMBER(F371),F371&gt;D371),1,0)</x:f>
        <x:v>1</x:v>
      </x:c>
      <x:c r="J371" s="2" t="n">
        <x:f>IF(H371=1,F371-D371,"")</x:f>
        <x:v>1</x:v>
      </x:c>
      <x:c r="K371" s="2" t="n">
        <x:f>IF(H371=1,F371-E371,"")</x:f>
        <x:v>7</x:v>
      </x:c>
      <x:c r="L371" s="2" t="n">
        <x:v>9</x:v>
      </x:c>
      <x:c r="M371" s="2" t="n">
        <x:v>8</x:v>
      </x:c>
      <x:c r="N371" s="20" t="n">
        <x:v>0.2</x:v>
      </x:c>
      <x:c r="O371" s="20" t="n">
        <x:v>0.2</x:v>
      </x:c>
      <x:c r="P371" s="20" t="n">
        <x:v>0.75</x:v>
      </x:c>
      <x:c r="Q371" s="2" t="n">
        <x:v>43</x:v>
      </x:c>
      <x:c r="R371" s="2" t="str">
        <x:v>ISFJ</x:v>
      </x:c>
      <x:c r="S371" s="2" t="str">
        <x:v>华东</x:v>
      </x:c>
      <x:c r="T371" s="2" t="str">
        <x:v>生产运输或体力岗位</x:v>
      </x:c>
    </x:row>
    <x:row r="372" ht="24" customHeight="1">
      <x:c r="A372" s="2" t="str">
        <x:v>D020_T07_C020_G075</x:v>
      </x:c>
      <x:c r="B372" s="2" t="str">
        <x:v>A0037</x:v>
      </x:c>
      <x:c r="C372" s="2" t="str">
        <x:v>inside</x:v>
      </x:c>
      <x:c r="D372" s="2" t="n">
        <x:v>7</x:v>
      </x:c>
      <x:c r="E372" s="2" t="n">
        <x:v>10</x:v>
      </x:c>
      <x:c r="F372" s="2"/>
      <x:c r="G372" s="2" t="str">
        <x:v>right_censored</x:v>
      </x:c>
      <x:c r="H372" s="2" t="n">
        <x:f>IF(AND(ISNUMBER(F372),F372&gt;=D372),1,0)</x:f>
        <x:v>0</x:v>
      </x:c>
      <x:c r="I372" s="2" t="n">
        <x:f>IF(AND(ISNUMBER(F372),F372&gt;D372),1,0)</x:f>
        <x:v>0</x:v>
      </x:c>
      <x:c r="J372" s="2" t="str">
        <x:f>IF(H372=1,F372-D372,"")</x:f>
      </x:c>
      <x:c r="K372" s="2" t="str">
        <x:f>IF(H372=1,F372-E372,"")</x:f>
      </x:c>
      <x:c r="L372" s="2" t="n">
        <x:v>0</x:v>
      </x:c>
      <x:c r="M372" s="2"/>
      <x:c r="N372" s="20" t="n">
        <x:v>0.2</x:v>
      </x:c>
      <x:c r="O372" s="20" t="n">
        <x:v>0.2</x:v>
      </x:c>
      <x:c r="P372" s="20" t="n">
        <x:v>0.75</x:v>
      </x:c>
      <x:c r="Q372" s="2" t="n">
        <x:v>24</x:v>
      </x:c>
      <x:c r="R372" s="2" t="str">
        <x:v>ENTP</x:v>
      </x:c>
      <x:c r="S372" s="2" t="str">
        <x:v>华南</x:v>
      </x:c>
      <x:c r="T372" s="2" t="str">
        <x:v>在校学生</x:v>
      </x:c>
    </x:row>
    <x:row r="373" ht="24" customHeight="1">
      <x:c r="A373" s="2" t="str">
        <x:v>D020_T07_C020_G075</x:v>
      </x:c>
      <x:c r="B373" s="2" t="str">
        <x:v>A0071</x:v>
      </x:c>
      <x:c r="C373" s="2" t="str">
        <x:v>inside</x:v>
      </x:c>
      <x:c r="D373" s="2" t="n">
        <x:v>7</x:v>
      </x:c>
      <x:c r="E373" s="2" t="n">
        <x:v>5</x:v>
      </x:c>
      <x:c r="F373" s="2"/>
      <x:c r="G373" s="2" t="str">
        <x:v>resolved_before_release</x:v>
      </x:c>
      <x:c r="H373" s="2" t="n">
        <x:f>IF(AND(ISNUMBER(F373),F373&gt;=D373),1,0)</x:f>
        <x:v>0</x:v>
      </x:c>
      <x:c r="I373" s="2" t="n">
        <x:f>IF(AND(ISNUMBER(F373),F373&gt;D373),1,0)</x:f>
        <x:v>0</x:v>
      </x:c>
      <x:c r="J373" s="2" t="str">
        <x:f>IF(H373=1,F373-D373,"")</x:f>
      </x:c>
      <x:c r="K373" s="2" t="str">
        <x:f>IF(H373=1,F373-E373,"")</x:f>
      </x:c>
      <x:c r="L373" s="2" t="n">
        <x:v>5</x:v>
      </x:c>
      <x:c r="M373" s="2" t="n">
        <x:v>8</x:v>
      </x:c>
      <x:c r="N373" s="20" t="n">
        <x:v>0.2</x:v>
      </x:c>
      <x:c r="O373" s="20" t="n">
        <x:v>0.2</x:v>
      </x:c>
      <x:c r="P373" s="20" t="n">
        <x:v>0.75</x:v>
      </x:c>
      <x:c r="Q373" s="2" t="n">
        <x:v>33</x:v>
      </x:c>
      <x:c r="R373" s="2" t="str">
        <x:v>ISTJ</x:v>
      </x:c>
      <x:c r="S373" s="2" t="str">
        <x:v>华东</x:v>
      </x:c>
      <x:c r="T373" s="2" t="str">
        <x:v>商业服务岗位</x:v>
      </x:c>
    </x:row>
    <x:row r="374" ht="24" customHeight="1">
      <x:c r="A374" s="2" t="str">
        <x:v>D020_T07_C020_G075</x:v>
      </x:c>
      <x:c r="B374" s="2" t="str">
        <x:v>A0189</x:v>
      </x:c>
      <x:c r="C374" s="2" t="str">
        <x:v>inside</x:v>
      </x:c>
      <x:c r="D374" s="2" t="n">
        <x:v>7</x:v>
      </x:c>
      <x:c r="E374" s="2" t="n">
        <x:v>1</x:v>
      </x:c>
      <x:c r="F374" s="2" t="n">
        <x:v>8</x:v>
      </x:c>
      <x:c r="G374" s="2" t="str">
        <x:v>observed_post_release</x:v>
      </x:c>
      <x:c r="H374" s="2" t="n">
        <x:f>IF(AND(ISNUMBER(F374),F374&gt;=D374),1,0)</x:f>
        <x:v>1</x:v>
      </x:c>
      <x:c r="I374" s="2" t="n">
        <x:f>IF(AND(ISNUMBER(F374),F374&gt;D374),1,0)</x:f>
        <x:v>1</x:v>
      </x:c>
      <x:c r="J374" s="2" t="n">
        <x:f>IF(H374=1,F374-D374,"")</x:f>
        <x:v>1</x:v>
      </x:c>
      <x:c r="K374" s="2" t="n">
        <x:f>IF(H374=1,F374-E374,"")</x:f>
        <x:v>7</x:v>
      </x:c>
      <x:c r="L374" s="2" t="n">
        <x:v>9</x:v>
      </x:c>
      <x:c r="M374" s="2" t="n">
        <x:v>8</x:v>
      </x:c>
      <x:c r="N374" s="20" t="n">
        <x:v>0.2</x:v>
      </x:c>
      <x:c r="O374" s="20" t="n">
        <x:v>0.2</x:v>
      </x:c>
      <x:c r="P374" s="20" t="n">
        <x:v>0.75</x:v>
      </x:c>
      <x:c r="Q374" s="2" t="n">
        <x:v>45</x:v>
      </x:c>
      <x:c r="R374" s="2" t="str">
        <x:v>ISFJ</x:v>
      </x:c>
      <x:c r="S374" s="2" t="str">
        <x:v>西北</x:v>
      </x:c>
      <x:c r="T374" s="2" t="str">
        <x:v>生产运输或体力岗位</x:v>
      </x:c>
    </x:row>
    <x:row r="375" ht="24" customHeight="1">
      <x:c r="A375" s="2" t="str">
        <x:v>D020_T07_C080_G025</x:v>
      </x:c>
      <x:c r="B375" s="2" t="str">
        <x:v>A0002</x:v>
      </x:c>
      <x:c r="C375" s="2" t="str">
        <x:v>inside</x:v>
      </x:c>
      <x:c r="D375" s="2" t="n">
        <x:v>7</x:v>
      </x:c>
      <x:c r="E375" s="2" t="n">
        <x:v>1</x:v>
      </x:c>
      <x:c r="F375" s="2"/>
      <x:c r="G375" s="2" t="str">
        <x:v>right_censored</x:v>
      </x:c>
      <x:c r="H375" s="2" t="n">
        <x:f>IF(AND(ISNUMBER(F375),F375&gt;=D375),1,0)</x:f>
        <x:v>0</x:v>
      </x:c>
      <x:c r="I375" s="2" t="n">
        <x:f>IF(AND(ISNUMBER(F375),F375&gt;D375),1,0)</x:f>
        <x:v>0</x:v>
      </x:c>
      <x:c r="J375" s="2" t="str">
        <x:f>IF(H375=1,F375-D375,"")</x:f>
      </x:c>
      <x:c r="K375" s="2" t="str">
        <x:f>IF(H375=1,F375-E375,"")</x:f>
      </x:c>
      <x:c r="L375" s="2" t="n">
        <x:v>9</x:v>
      </x:c>
      <x:c r="M375" s="2"/>
      <x:c r="N375" s="20" t="n">
        <x:v>0.2</x:v>
      </x:c>
      <x:c r="O375" s="20" t="n">
        <x:v>0.8</x:v>
      </x:c>
      <x:c r="P375" s="20" t="n">
        <x:v>0.25</x:v>
      </x:c>
      <x:c r="Q375" s="2" t="n">
        <x:v>19</x:v>
      </x:c>
      <x:c r="R375" s="2" t="str">
        <x:v>ESTP</x:v>
      </x:c>
      <x:c r="S375" s="2" t="str">
        <x:v>华南</x:v>
      </x:c>
      <x:c r="T375" s="2" t="str">
        <x:v>商业服务岗位</x:v>
      </x:c>
    </x:row>
    <x:row r="376" ht="24" customHeight="1">
      <x:c r="A376" s="2" t="str">
        <x:v>D020_T07_C080_G025</x:v>
      </x:c>
      <x:c r="B376" s="2" t="str">
        <x:v>A0005</x:v>
      </x:c>
      <x:c r="C376" s="2" t="str">
        <x:v>inside</x:v>
      </x:c>
      <x:c r="D376" s="2" t="n">
        <x:v>7</x:v>
      </x:c>
      <x:c r="E376" s="2" t="n">
        <x:v>1</x:v>
      </x:c>
      <x:c r="F376" s="2"/>
      <x:c r="G376" s="2" t="str">
        <x:v>right_censored</x:v>
      </x:c>
      <x:c r="H376" s="2" t="n">
        <x:f>IF(AND(ISNUMBER(F376),F376&gt;=D376),1,0)</x:f>
        <x:v>0</x:v>
      </x:c>
      <x:c r="I376" s="2" t="n">
        <x:f>IF(AND(ISNUMBER(F376),F376&gt;D376),1,0)</x:f>
        <x:v>0</x:v>
      </x:c>
      <x:c r="J376" s="2" t="str">
        <x:f>IF(H376=1,F376-D376,"")</x:f>
      </x:c>
      <x:c r="K376" s="2" t="str">
        <x:f>IF(H376=1,F376-E376,"")</x:f>
      </x:c>
      <x:c r="L376" s="2" t="n">
        <x:v>9</x:v>
      </x:c>
      <x:c r="M376" s="2" t="n">
        <x:v>7</x:v>
      </x:c>
      <x:c r="N376" s="20" t="n">
        <x:v>0.2</x:v>
      </x:c>
      <x:c r="O376" s="20" t="n">
        <x:v>0.8</x:v>
      </x:c>
      <x:c r="P376" s="20" t="n">
        <x:v>0.25</x:v>
      </x:c>
      <x:c r="Q376" s="2" t="n">
        <x:v>51</x:v>
      </x:c>
      <x:c r="R376" s="2" t="str">
        <x:v>ISTP</x:v>
      </x:c>
      <x:c r="S376" s="2" t="str">
        <x:v>华南</x:v>
      </x:c>
      <x:c r="T376" s="2" t="str">
        <x:v>生产运输或体力岗位</x:v>
      </x:c>
    </x:row>
    <x:row r="377" ht="24" customHeight="1">
      <x:c r="A377" s="2" t="str">
        <x:v>D020_T07_C080_G025</x:v>
      </x:c>
      <x:c r="B377" s="2" t="str">
        <x:v>A0011</x:v>
      </x:c>
      <x:c r="C377" s="2" t="str">
        <x:v>inside</x:v>
      </x:c>
      <x:c r="D377" s="2" t="n">
        <x:v>7</x:v>
      </x:c>
      <x:c r="E377" s="2" t="n">
        <x:v>1</x:v>
      </x:c>
      <x:c r="F377" s="2" t="n">
        <x:v>10</x:v>
      </x:c>
      <x:c r="G377" s="2" t="str">
        <x:v>observed_post_release</x:v>
      </x:c>
      <x:c r="H377" s="2" t="n">
        <x:f>IF(AND(ISNUMBER(F377),F377&gt;=D377),1,0)</x:f>
        <x:v>1</x:v>
      </x:c>
      <x:c r="I377" s="2" t="n">
        <x:f>IF(AND(ISNUMBER(F377),F377&gt;D377),1,0)</x:f>
        <x:v>1</x:v>
      </x:c>
      <x:c r="J377" s="2" t="n">
        <x:f>IF(H377=1,F377-D377,"")</x:f>
        <x:v>3</x:v>
      </x:c>
      <x:c r="K377" s="2" t="n">
        <x:f>IF(H377=1,F377-E377,"")</x:f>
        <x:v>9</x:v>
      </x:c>
      <x:c r="L377" s="2" t="n">
        <x:v>9</x:v>
      </x:c>
      <x:c r="M377" s="2" t="n">
        <x:v>8</x:v>
      </x:c>
      <x:c r="N377" s="20" t="n">
        <x:v>0.2</x:v>
      </x:c>
      <x:c r="O377" s="20" t="n">
        <x:v>0.8</x:v>
      </x:c>
      <x:c r="P377" s="20" t="n">
        <x:v>0.25</x:v>
      </x:c>
      <x:c r="Q377" s="2" t="n">
        <x:v>42</x:v>
      </x:c>
      <x:c r="R377" s="2" t="str">
        <x:v>ENFJ</x:v>
      </x:c>
      <x:c r="S377" s="2" t="str">
        <x:v>西南</x:v>
      </x:c>
      <x:c r="T377" s="2" t="str">
        <x:v>行政或办公室岗位</x:v>
      </x:c>
    </x:row>
    <x:row r="378" ht="24" customHeight="1">
      <x:c r="A378" s="2" t="str">
        <x:v>D020_T07_C080_G025</x:v>
      </x:c>
      <x:c r="B378" s="2" t="str">
        <x:v>A0012</x:v>
      </x:c>
      <x:c r="C378" s="2" t="str">
        <x:v>inside</x:v>
      </x:c>
      <x:c r="D378" s="2" t="n">
        <x:v>7</x:v>
      </x:c>
      <x:c r="E378" s="2" t="n">
        <x:v>1</x:v>
      </x:c>
      <x:c r="F378" s="2"/>
      <x:c r="G378" s="2" t="str">
        <x:v>right_censored</x:v>
      </x:c>
      <x:c r="H378" s="2" t="n">
        <x:f>IF(AND(ISNUMBER(F378),F378&gt;=D378),1,0)</x:f>
        <x:v>0</x:v>
      </x:c>
      <x:c r="I378" s="2" t="n">
        <x:f>IF(AND(ISNUMBER(F378),F378&gt;D378),1,0)</x:f>
        <x:v>0</x:v>
      </x:c>
      <x:c r="J378" s="2" t="str">
        <x:f>IF(H378=1,F378-D378,"")</x:f>
      </x:c>
      <x:c r="K378" s="2" t="str">
        <x:f>IF(H378=1,F378-E378,"")</x:f>
      </x:c>
      <x:c r="L378" s="2" t="n">
        <x:v>9</x:v>
      </x:c>
      <x:c r="M378" s="2" t="n">
        <x:v>7</x:v>
      </x:c>
      <x:c r="N378" s="20" t="n">
        <x:v>0.2</x:v>
      </x:c>
      <x:c r="O378" s="20" t="n">
        <x:v>0.8</x:v>
      </x:c>
      <x:c r="P378" s="20" t="n">
        <x:v>0.25</x:v>
      </x:c>
      <x:c r="Q378" s="2" t="n">
        <x:v>38</x:v>
      </x:c>
      <x:c r="R378" s="2" t="str">
        <x:v>ESFP</x:v>
      </x:c>
      <x:c r="S378" s="2" t="str">
        <x:v>华中</x:v>
      </x:c>
      <x:c r="T378" s="2" t="str">
        <x:v>行政或办公室岗位</x:v>
      </x:c>
    </x:row>
    <x:row r="379" ht="24" customHeight="1">
      <x:c r="A379" s="2" t="str">
        <x:v>D020_T07_C080_G025</x:v>
      </x:c>
      <x:c r="B379" s="2" t="str">
        <x:v>A0017</x:v>
      </x:c>
      <x:c r="C379" s="2" t="str">
        <x:v>inside</x:v>
      </x:c>
      <x:c r="D379" s="2" t="n">
        <x:v>7</x:v>
      </x:c>
      <x:c r="E379" s="2" t="n">
        <x:v>1</x:v>
      </x:c>
      <x:c r="F379" s="2"/>
      <x:c r="G379" s="2" t="str">
        <x:v>right_censored</x:v>
      </x:c>
      <x:c r="H379" s="2" t="n">
        <x:f>IF(AND(ISNUMBER(F379),F379&gt;=D379),1,0)</x:f>
        <x:v>0</x:v>
      </x:c>
      <x:c r="I379" s="2" t="n">
        <x:f>IF(AND(ISNUMBER(F379),F379&gt;D379),1,0)</x:f>
        <x:v>0</x:v>
      </x:c>
      <x:c r="J379" s="2" t="str">
        <x:f>IF(H379=1,F379-D379,"")</x:f>
      </x:c>
      <x:c r="K379" s="2" t="str">
        <x:f>IF(H379=1,F379-E379,"")</x:f>
      </x:c>
      <x:c r="L379" s="2" t="n">
        <x:v>9</x:v>
      </x:c>
      <x:c r="M379" s="2" t="n">
        <x:v>9</x:v>
      </x:c>
      <x:c r="N379" s="20" t="n">
        <x:v>0.2</x:v>
      </x:c>
      <x:c r="O379" s="20" t="n">
        <x:v>0.8</x:v>
      </x:c>
      <x:c r="P379" s="20" t="n">
        <x:v>0.25</x:v>
      </x:c>
      <x:c r="Q379" s="2" t="n">
        <x:v>30</x:v>
      </x:c>
      <x:c r="R379" s="2" t="str">
        <x:v>ISTJ</x:v>
      </x:c>
      <x:c r="S379" s="2" t="str">
        <x:v>华东</x:v>
      </x:c>
      <x:c r="T379" s="2" t="str">
        <x:v>商业服务岗位</x:v>
      </x:c>
    </x:row>
    <x:row r="380" ht="24" customHeight="1">
      <x:c r="A380" s="2" t="str">
        <x:v>D020_T07_C080_G025</x:v>
      </x:c>
      <x:c r="B380" s="2" t="str">
        <x:v>A0018</x:v>
      </x:c>
      <x:c r="C380" s="2" t="str">
        <x:v>inside</x:v>
      </x:c>
      <x:c r="D380" s="2" t="n">
        <x:v>7</x:v>
      </x:c>
      <x:c r="E380" s="2" t="n">
        <x:v>1</x:v>
      </x:c>
      <x:c r="F380" s="2" t="n">
        <x:v>10</x:v>
      </x:c>
      <x:c r="G380" s="2" t="str">
        <x:v>observed_post_release</x:v>
      </x:c>
      <x:c r="H380" s="2" t="n">
        <x:f>IF(AND(ISNUMBER(F380),F380&gt;=D380),1,0)</x:f>
        <x:v>1</x:v>
      </x:c>
      <x:c r="I380" s="2" t="n">
        <x:f>IF(AND(ISNUMBER(F380),F380&gt;D380),1,0)</x:f>
        <x:v>1</x:v>
      </x:c>
      <x:c r="J380" s="2" t="n">
        <x:f>IF(H380=1,F380-D380,"")</x:f>
        <x:v>3</x:v>
      </x:c>
      <x:c r="K380" s="2" t="n">
        <x:f>IF(H380=1,F380-E380,"")</x:f>
        <x:v>9</x:v>
      </x:c>
      <x:c r="L380" s="2" t="n">
        <x:v>9</x:v>
      </x:c>
      <x:c r="M380" s="2" t="n">
        <x:v>7</x:v>
      </x:c>
      <x:c r="N380" s="20" t="n">
        <x:v>0.2</x:v>
      </x:c>
      <x:c r="O380" s="20" t="n">
        <x:v>0.8</x:v>
      </x:c>
      <x:c r="P380" s="20" t="n">
        <x:v>0.25</x:v>
      </x:c>
      <x:c r="Q380" s="2" t="n">
        <x:v>60</x:v>
      </x:c>
      <x:c r="R380" s="2" t="str">
        <x:v>INTJ</x:v>
      </x:c>
      <x:c r="S380" s="2" t="str">
        <x:v>华南</x:v>
      </x:c>
      <x:c r="T380" s="2" t="str">
        <x:v>专业技术岗位</x:v>
      </x:c>
    </x:row>
    <x:row r="381" ht="24" customHeight="1">
      <x:c r="A381" s="2" t="str">
        <x:v>D020_T07_C080_G025</x:v>
      </x:c>
      <x:c r="B381" s="2" t="str">
        <x:v>A0019</x:v>
      </x:c>
      <x:c r="C381" s="2" t="str">
        <x:v>inside</x:v>
      </x:c>
      <x:c r="D381" s="2" t="n">
        <x:v>7</x:v>
      </x:c>
      <x:c r="E381" s="2" t="n">
        <x:v>1</x:v>
      </x:c>
      <x:c r="F381" s="2" t="n">
        <x:v>8</x:v>
      </x:c>
      <x:c r="G381" s="2" t="str">
        <x:v>observed_post_release</x:v>
      </x:c>
      <x:c r="H381" s="2" t="n">
        <x:f>IF(AND(ISNUMBER(F381),F381&gt;=D381),1,0)</x:f>
        <x:v>1</x:v>
      </x:c>
      <x:c r="I381" s="2" t="n">
        <x:f>IF(AND(ISNUMBER(F381),F381&gt;D381),1,0)</x:f>
        <x:v>1</x:v>
      </x:c>
      <x:c r="J381" s="2" t="n">
        <x:f>IF(H381=1,F381-D381,"")</x:f>
        <x:v>1</x:v>
      </x:c>
      <x:c r="K381" s="2" t="n">
        <x:f>IF(H381=1,F381-E381,"")</x:f>
        <x:v>7</x:v>
      </x:c>
      <x:c r="L381" s="2" t="n">
        <x:v>9</x:v>
      </x:c>
      <x:c r="M381" s="2" t="n">
        <x:v>7</x:v>
      </x:c>
      <x:c r="N381" s="20" t="n">
        <x:v>0.2</x:v>
      </x:c>
      <x:c r="O381" s="20" t="n">
        <x:v>0.8</x:v>
      </x:c>
      <x:c r="P381" s="20" t="n">
        <x:v>0.25</x:v>
      </x:c>
      <x:c r="Q381" s="2" t="n">
        <x:v>19</x:v>
      </x:c>
      <x:c r="R381" s="2" t="str">
        <x:v>INTJ</x:v>
      </x:c>
      <x:c r="S381" s="2" t="str">
        <x:v>西南</x:v>
      </x:c>
      <x:c r="T381" s="2" t="str">
        <x:v>行政或办公室岗位</x:v>
      </x:c>
    </x:row>
    <x:row r="382" ht="24" customHeight="1">
      <x:c r="A382" s="2" t="str">
        <x:v>D020_T07_C080_G025</x:v>
      </x:c>
      <x:c r="B382" s="2" t="str">
        <x:v>A0024</x:v>
      </x:c>
      <x:c r="C382" s="2" t="str">
        <x:v>inside</x:v>
      </x:c>
      <x:c r="D382" s="2" t="n">
        <x:v>7</x:v>
      </x:c>
      <x:c r="E382" s="2" t="n">
        <x:v>1</x:v>
      </x:c>
      <x:c r="F382" s="2"/>
      <x:c r="G382" s="2" t="str">
        <x:v>right_censored</x:v>
      </x:c>
      <x:c r="H382" s="2" t="n">
        <x:f>IF(AND(ISNUMBER(F382),F382&gt;=D382),1,0)</x:f>
        <x:v>0</x:v>
      </x:c>
      <x:c r="I382" s="2" t="n">
        <x:f>IF(AND(ISNUMBER(F382),F382&gt;D382),1,0)</x:f>
        <x:v>0</x:v>
      </x:c>
      <x:c r="J382" s="2" t="str">
        <x:f>IF(H382=1,F382-D382,"")</x:f>
      </x:c>
      <x:c r="K382" s="2" t="str">
        <x:f>IF(H382=1,F382-E382,"")</x:f>
      </x:c>
      <x:c r="L382" s="2" t="n">
        <x:v>9</x:v>
      </x:c>
      <x:c r="M382" s="2" t="n">
        <x:v>7</x:v>
      </x:c>
      <x:c r="N382" s="20" t="n">
        <x:v>0.2</x:v>
      </x:c>
      <x:c r="O382" s="20" t="n">
        <x:v>0.8</x:v>
      </x:c>
      <x:c r="P382" s="20" t="n">
        <x:v>0.25</x:v>
      </x:c>
      <x:c r="Q382" s="2" t="n">
        <x:v>31</x:v>
      </x:c>
      <x:c r="R382" s="2" t="str">
        <x:v>ESTP</x:v>
      </x:c>
      <x:c r="S382" s="2" t="str">
        <x:v>华北</x:v>
      </x:c>
      <x:c r="T382" s="2" t="str">
        <x:v>商业服务岗位</x:v>
      </x:c>
    </x:row>
    <x:row r="383" ht="24" customHeight="1">
      <x:c r="A383" s="2" t="str">
        <x:v>D020_T07_C080_G025</x:v>
      </x:c>
      <x:c r="B383" s="2" t="str">
        <x:v>A0025</x:v>
      </x:c>
      <x:c r="C383" s="2" t="str">
        <x:v>inside</x:v>
      </x:c>
      <x:c r="D383" s="2" t="n">
        <x:v>7</x:v>
      </x:c>
      <x:c r="E383" s="2" t="n">
        <x:v>1</x:v>
      </x:c>
      <x:c r="F383" s="2"/>
      <x:c r="G383" s="2" t="str">
        <x:v>right_censored</x:v>
      </x:c>
      <x:c r="H383" s="2" t="n">
        <x:f>IF(AND(ISNUMBER(F383),F383&gt;=D383),1,0)</x:f>
        <x:v>0</x:v>
      </x:c>
      <x:c r="I383" s="2" t="n">
        <x:f>IF(AND(ISNUMBER(F383),F383&gt;D383),1,0)</x:f>
        <x:v>0</x:v>
      </x:c>
      <x:c r="J383" s="2" t="str">
        <x:f>IF(H383=1,F383-D383,"")</x:f>
      </x:c>
      <x:c r="K383" s="2" t="str">
        <x:f>IF(H383=1,F383-E383,"")</x:f>
      </x:c>
      <x:c r="L383" s="2" t="n">
        <x:v>9</x:v>
      </x:c>
      <x:c r="M383" s="2" t="n">
        <x:v>7</x:v>
      </x:c>
      <x:c r="N383" s="20" t="n">
        <x:v>0.2</x:v>
      </x:c>
      <x:c r="O383" s="20" t="n">
        <x:v>0.8</x:v>
      </x:c>
      <x:c r="P383" s="20" t="n">
        <x:v>0.25</x:v>
      </x:c>
      <x:c r="Q383" s="2" t="n">
        <x:v>23</x:v>
      </x:c>
      <x:c r="R383" s="2" t="str">
        <x:v>ISTP</x:v>
      </x:c>
      <x:c r="S383" s="2" t="str">
        <x:v>华南</x:v>
      </x:c>
      <x:c r="T383" s="2" t="str">
        <x:v>行政或办公室岗位</x:v>
      </x:c>
    </x:row>
    <x:row r="384" ht="24" customHeight="1">
      <x:c r="A384" s="2" t="str">
        <x:v>D020_T07_C080_G025</x:v>
      </x:c>
      <x:c r="B384" s="2" t="str">
        <x:v>A0027</x:v>
      </x:c>
      <x:c r="C384" s="2" t="str">
        <x:v>inside</x:v>
      </x:c>
      <x:c r="D384" s="2" t="n">
        <x:v>7</x:v>
      </x:c>
      <x:c r="E384" s="2" t="n">
        <x:v>1</x:v>
      </x:c>
      <x:c r="F384" s="2"/>
      <x:c r="G384" s="2" t="str">
        <x:v>right_censored</x:v>
      </x:c>
      <x:c r="H384" s="2" t="n">
        <x:f>IF(AND(ISNUMBER(F384),F384&gt;=D384),1,0)</x:f>
        <x:v>0</x:v>
      </x:c>
      <x:c r="I384" s="2" t="n">
        <x:f>IF(AND(ISNUMBER(F384),F384&gt;D384),1,0)</x:f>
        <x:v>0</x:v>
      </x:c>
      <x:c r="J384" s="2" t="str">
        <x:f>IF(H384=1,F384-D384,"")</x:f>
      </x:c>
      <x:c r="K384" s="2" t="str">
        <x:f>IF(H384=1,F384-E384,"")</x:f>
      </x:c>
      <x:c r="L384" s="2" t="n">
        <x:v>9</x:v>
      </x:c>
      <x:c r="M384" s="2" t="n">
        <x:v>7</x:v>
      </x:c>
      <x:c r="N384" s="20" t="n">
        <x:v>0.2</x:v>
      </x:c>
      <x:c r="O384" s="20" t="n">
        <x:v>0.8</x:v>
      </x:c>
      <x:c r="P384" s="20" t="n">
        <x:v>0.25</x:v>
      </x:c>
      <x:c r="Q384" s="2" t="n">
        <x:v>25</x:v>
      </x:c>
      <x:c r="R384" s="2" t="str">
        <x:v>ESFP</x:v>
      </x:c>
      <x:c r="S384" s="2" t="str">
        <x:v>西北</x:v>
      </x:c>
      <x:c r="T384" s="2" t="str">
        <x:v>暂未就业或家庭照料</x:v>
      </x:c>
    </x:row>
    <x:row r="385" ht="24" customHeight="1">
      <x:c r="A385" s="2" t="str">
        <x:v>D020_T07_C080_G025</x:v>
      </x:c>
      <x:c r="B385" s="2" t="str">
        <x:v>A0029</x:v>
      </x:c>
      <x:c r="C385" s="2" t="str">
        <x:v>inside</x:v>
      </x:c>
      <x:c r="D385" s="2" t="n">
        <x:v>7</x:v>
      </x:c>
      <x:c r="E385" s="2" t="n">
        <x:v>1</x:v>
      </x:c>
      <x:c r="F385" s="2"/>
      <x:c r="G385" s="2" t="str">
        <x:v>right_censored</x:v>
      </x:c>
      <x:c r="H385" s="2" t="n">
        <x:f>IF(AND(ISNUMBER(F385),F385&gt;=D385),1,0)</x:f>
        <x:v>0</x:v>
      </x:c>
      <x:c r="I385" s="2" t="n">
        <x:f>IF(AND(ISNUMBER(F385),F385&gt;D385),1,0)</x:f>
        <x:v>0</x:v>
      </x:c>
      <x:c r="J385" s="2" t="str">
        <x:f>IF(H385=1,F385-D385,"")</x:f>
      </x:c>
      <x:c r="K385" s="2" t="str">
        <x:f>IF(H385=1,F385-E385,"")</x:f>
      </x:c>
      <x:c r="L385" s="2" t="n">
        <x:v>9</x:v>
      </x:c>
      <x:c r="M385" s="2" t="n">
        <x:v>7</x:v>
      </x:c>
      <x:c r="N385" s="20" t="n">
        <x:v>0.2</x:v>
      </x:c>
      <x:c r="O385" s="20" t="n">
        <x:v>0.8</x:v>
      </x:c>
      <x:c r="P385" s="20" t="n">
        <x:v>0.25</x:v>
      </x:c>
      <x:c r="Q385" s="2" t="n">
        <x:v>69</x:v>
      </x:c>
      <x:c r="R385" s="2" t="str">
        <x:v>ENTP</x:v>
      </x:c>
      <x:c r="S385" s="2" t="str">
        <x:v>华东</x:v>
      </x:c>
      <x:c r="T385" s="2" t="str">
        <x:v>退休人员</x:v>
      </x:c>
    </x:row>
    <x:row r="386" ht="24" customHeight="1">
      <x:c r="A386" s="2" t="str">
        <x:v>D020_T07_C080_G025</x:v>
      </x:c>
      <x:c r="B386" s="2" t="str">
        <x:v>A0032</x:v>
      </x:c>
      <x:c r="C386" s="2" t="str">
        <x:v>inside</x:v>
      </x:c>
      <x:c r="D386" s="2" t="n">
        <x:v>7</x:v>
      </x:c>
      <x:c r="E386" s="2" t="n">
        <x:v>1</x:v>
      </x:c>
      <x:c r="F386" s="2"/>
      <x:c r="G386" s="2" t="str">
        <x:v>right_censored</x:v>
      </x:c>
      <x:c r="H386" s="2" t="n">
        <x:f>IF(AND(ISNUMBER(F386),F386&gt;=D386),1,0)</x:f>
        <x:v>0</x:v>
      </x:c>
      <x:c r="I386" s="2" t="n">
        <x:f>IF(AND(ISNUMBER(F386),F386&gt;D386),1,0)</x:f>
        <x:v>0</x:v>
      </x:c>
      <x:c r="J386" s="2" t="str">
        <x:f>IF(H386=1,F386-D386,"")</x:f>
      </x:c>
      <x:c r="K386" s="2" t="str">
        <x:f>IF(H386=1,F386-E386,"")</x:f>
      </x:c>
      <x:c r="L386" s="2" t="n">
        <x:v>9</x:v>
      </x:c>
      <x:c r="M386" s="2" t="n">
        <x:v>7</x:v>
      </x:c>
      <x:c r="N386" s="20" t="n">
        <x:v>0.2</x:v>
      </x:c>
      <x:c r="O386" s="20" t="n">
        <x:v>0.8</x:v>
      </x:c>
      <x:c r="P386" s="20" t="n">
        <x:v>0.25</x:v>
      </x:c>
      <x:c r="Q386" s="2" t="n">
        <x:v>53</x:v>
      </x:c>
      <x:c r="R386" s="2" t="str">
        <x:v>INTP</x:v>
      </x:c>
      <x:c r="S386" s="2" t="str">
        <x:v>华北</x:v>
      </x:c>
      <x:c r="T386" s="2" t="str">
        <x:v>个体经营或自由职业</x:v>
      </x:c>
    </x:row>
    <x:row r="387" ht="24" customHeight="1">
      <x:c r="A387" s="2" t="str">
        <x:v>D020_T07_C080_G025</x:v>
      </x:c>
      <x:c r="B387" s="2" t="str">
        <x:v>A0033</x:v>
      </x:c>
      <x:c r="C387" s="2" t="str">
        <x:v>inside</x:v>
      </x:c>
      <x:c r="D387" s="2" t="n">
        <x:v>7</x:v>
      </x:c>
      <x:c r="E387" s="2" t="n">
        <x:v>1</x:v>
      </x:c>
      <x:c r="F387" s="2" t="n">
        <x:v>7</x:v>
      </x:c>
      <x:c r="G387" s="2" t="str">
        <x:v>observed_post_release</x:v>
      </x:c>
      <x:c r="H387" s="2" t="n">
        <x:f>IF(AND(ISNUMBER(F387),F387&gt;=D387),1,0)</x:f>
        <x:v>1</x:v>
      </x:c>
      <x:c r="I387" s="2" t="n">
        <x:f>IF(AND(ISNUMBER(F387),F387&gt;D387),1,0)</x:f>
        <x:v>0</x:v>
      </x:c>
      <x:c r="J387" s="2" t="n">
        <x:f>IF(H387=1,F387-D387,"")</x:f>
        <x:v>0</x:v>
      </x:c>
      <x:c r="K387" s="2" t="n">
        <x:f>IF(H387=1,F387-E387,"")</x:f>
        <x:v>6</x:v>
      </x:c>
      <x:c r="L387" s="2" t="n">
        <x:v>9</x:v>
      </x:c>
      <x:c r="M387" s="2" t="n">
        <x:v>7</x:v>
      </x:c>
      <x:c r="N387" s="20" t="n">
        <x:v>0.2</x:v>
      </x:c>
      <x:c r="O387" s="20" t="n">
        <x:v>0.8</x:v>
      </x:c>
      <x:c r="P387" s="20" t="n">
        <x:v>0.25</x:v>
      </x:c>
      <x:c r="Q387" s="2" t="n">
        <x:v>55</x:v>
      </x:c>
      <x:c r="R387" s="2" t="str">
        <x:v>ENFP</x:v>
      </x:c>
      <x:c r="S387" s="2" t="str">
        <x:v>华南</x:v>
      </x:c>
      <x:c r="T387" s="2" t="str">
        <x:v>个体经营或自由职业</x:v>
      </x:c>
    </x:row>
    <x:row r="388" ht="24" customHeight="1">
      <x:c r="A388" s="2" t="str">
        <x:v>D020_T07_C080_G025</x:v>
      </x:c>
      <x:c r="B388" s="2" t="str">
        <x:v>A0036</x:v>
      </x:c>
      <x:c r="C388" s="2" t="str">
        <x:v>inside</x:v>
      </x:c>
      <x:c r="D388" s="2" t="n">
        <x:v>7</x:v>
      </x:c>
      <x:c r="E388" s="2" t="n">
        <x:v>1</x:v>
      </x:c>
      <x:c r="F388" s="2"/>
      <x:c r="G388" s="2" t="str">
        <x:v>right_censored</x:v>
      </x:c>
      <x:c r="H388" s="2" t="n">
        <x:f>IF(AND(ISNUMBER(F388),F388&gt;=D388),1,0)</x:f>
        <x:v>0</x:v>
      </x:c>
      <x:c r="I388" s="2" t="n">
        <x:f>IF(AND(ISNUMBER(F388),F388&gt;D388),1,0)</x:f>
        <x:v>0</x:v>
      </x:c>
      <x:c r="J388" s="2" t="str">
        <x:f>IF(H388=1,F388-D388,"")</x:f>
      </x:c>
      <x:c r="K388" s="2" t="str">
        <x:f>IF(H388=1,F388-E388,"")</x:f>
      </x:c>
      <x:c r="L388" s="2" t="n">
        <x:v>9</x:v>
      </x:c>
      <x:c r="M388" s="2" t="n">
        <x:v>7</x:v>
      </x:c>
      <x:c r="N388" s="20" t="n">
        <x:v>0.2</x:v>
      </x:c>
      <x:c r="O388" s="20" t="n">
        <x:v>0.8</x:v>
      </x:c>
      <x:c r="P388" s="20" t="n">
        <x:v>0.25</x:v>
      </x:c>
      <x:c r="Q388" s="2" t="n">
        <x:v>43</x:v>
      </x:c>
      <x:c r="R388" s="2" t="str">
        <x:v>ISFJ</x:v>
      </x:c>
      <x:c r="S388" s="2" t="str">
        <x:v>华东</x:v>
      </x:c>
      <x:c r="T388" s="2" t="str">
        <x:v>生产运输或体力岗位</x:v>
      </x:c>
    </x:row>
    <x:row r="389" ht="24" customHeight="1">
      <x:c r="A389" s="2" t="str">
        <x:v>D020_T07_C080_G025</x:v>
      </x:c>
      <x:c r="B389" s="2" t="str">
        <x:v>A0037</x:v>
      </x:c>
      <x:c r="C389" s="2" t="str">
        <x:v>inside</x:v>
      </x:c>
      <x:c r="D389" s="2" t="n">
        <x:v>7</x:v>
      </x:c>
      <x:c r="E389" s="2" t="n">
        <x:v>1</x:v>
      </x:c>
      <x:c r="F389" s="2" t="n">
        <x:v>10</x:v>
      </x:c>
      <x:c r="G389" s="2" t="str">
        <x:v>observed_post_release</x:v>
      </x:c>
      <x:c r="H389" s="2" t="n">
        <x:f>IF(AND(ISNUMBER(F389),F389&gt;=D389),1,0)</x:f>
        <x:v>1</x:v>
      </x:c>
      <x:c r="I389" s="2" t="n">
        <x:f>IF(AND(ISNUMBER(F389),F389&gt;D389),1,0)</x:f>
        <x:v>1</x:v>
      </x:c>
      <x:c r="J389" s="2" t="n">
        <x:f>IF(H389=1,F389-D389,"")</x:f>
        <x:v>3</x:v>
      </x:c>
      <x:c r="K389" s="2" t="n">
        <x:f>IF(H389=1,F389-E389,"")</x:f>
        <x:v>9</x:v>
      </x:c>
      <x:c r="L389" s="2" t="n">
        <x:v>9</x:v>
      </x:c>
      <x:c r="M389" s="2" t="n">
        <x:v>7</x:v>
      </x:c>
      <x:c r="N389" s="20" t="n">
        <x:v>0.2</x:v>
      </x:c>
      <x:c r="O389" s="20" t="n">
        <x:v>0.8</x:v>
      </x:c>
      <x:c r="P389" s="20" t="n">
        <x:v>0.25</x:v>
      </x:c>
      <x:c r="Q389" s="2" t="n">
        <x:v>24</x:v>
      </x:c>
      <x:c r="R389" s="2" t="str">
        <x:v>ENTP</x:v>
      </x:c>
      <x:c r="S389" s="2" t="str">
        <x:v>华南</x:v>
      </x:c>
      <x:c r="T389" s="2" t="str">
        <x:v>在校学生</x:v>
      </x:c>
    </x:row>
    <x:row r="390" ht="24" customHeight="1">
      <x:c r="A390" s="2" t="str">
        <x:v>D020_T07_C080_G025</x:v>
      </x:c>
      <x:c r="B390" s="2" t="str">
        <x:v>A0041</x:v>
      </x:c>
      <x:c r="C390" s="2" t="str">
        <x:v>inside</x:v>
      </x:c>
      <x:c r="D390" s="2" t="n">
        <x:v>7</x:v>
      </x:c>
      <x:c r="E390" s="2" t="n">
        <x:v>1</x:v>
      </x:c>
      <x:c r="F390" s="2" t="n">
        <x:v>10</x:v>
      </x:c>
      <x:c r="G390" s="2" t="str">
        <x:v>observed_post_release</x:v>
      </x:c>
      <x:c r="H390" s="2" t="n">
        <x:f>IF(AND(ISNUMBER(F390),F390&gt;=D390),1,0)</x:f>
        <x:v>1</x:v>
      </x:c>
      <x:c r="I390" s="2" t="n">
        <x:f>IF(AND(ISNUMBER(F390),F390&gt;D390),1,0)</x:f>
        <x:v>1</x:v>
      </x:c>
      <x:c r="J390" s="2" t="n">
        <x:f>IF(H390=1,F390-D390,"")</x:f>
        <x:v>3</x:v>
      </x:c>
      <x:c r="K390" s="2" t="n">
        <x:f>IF(H390=1,F390-E390,"")</x:f>
        <x:v>9</x:v>
      </x:c>
      <x:c r="L390" s="2" t="n">
        <x:v>9</x:v>
      </x:c>
      <x:c r="M390" s="2" t="n">
        <x:v>7</x:v>
      </x:c>
      <x:c r="N390" s="20" t="n">
        <x:v>0.2</x:v>
      </x:c>
      <x:c r="O390" s="20" t="n">
        <x:v>0.8</x:v>
      </x:c>
      <x:c r="P390" s="20" t="n">
        <x:v>0.25</x:v>
      </x:c>
      <x:c r="Q390" s="2" t="n">
        <x:v>62</x:v>
      </x:c>
      <x:c r="R390" s="2" t="str">
        <x:v>ISFJ</x:v>
      </x:c>
      <x:c r="S390" s="2" t="str">
        <x:v>西北</x:v>
      </x:c>
      <x:c r="T390" s="2" t="str">
        <x:v>个体经营或自由职业</x:v>
      </x:c>
    </x:row>
    <x:row r="391" ht="24" customHeight="1">
      <x:c r="A391" s="2" t="str">
        <x:v>D020_T07_C080_G025</x:v>
      </x:c>
      <x:c r="B391" s="2" t="str">
        <x:v>A0071</x:v>
      </x:c>
      <x:c r="C391" s="2" t="str">
        <x:v>inside</x:v>
      </x:c>
      <x:c r="D391" s="2" t="n">
        <x:v>7</x:v>
      </x:c>
      <x:c r="E391" s="2" t="n">
        <x:v>1</x:v>
      </x:c>
      <x:c r="F391" s="2"/>
      <x:c r="G391" s="2" t="str">
        <x:v>right_censored</x:v>
      </x:c>
      <x:c r="H391" s="2" t="n">
        <x:f>IF(AND(ISNUMBER(F391),F391&gt;=D391),1,0)</x:f>
        <x:v>0</x:v>
      </x:c>
      <x:c r="I391" s="2" t="n">
        <x:f>IF(AND(ISNUMBER(F391),F391&gt;D391),1,0)</x:f>
        <x:v>0</x:v>
      </x:c>
      <x:c r="J391" s="2" t="str">
        <x:f>IF(H391=1,F391-D391,"")</x:f>
      </x:c>
      <x:c r="K391" s="2" t="str">
        <x:f>IF(H391=1,F391-E391,"")</x:f>
      </x:c>
      <x:c r="L391" s="2" t="n">
        <x:v>9</x:v>
      </x:c>
      <x:c r="M391" s="2" t="n">
        <x:v>7</x:v>
      </x:c>
      <x:c r="N391" s="20" t="n">
        <x:v>0.2</x:v>
      </x:c>
      <x:c r="O391" s="20" t="n">
        <x:v>0.8</x:v>
      </x:c>
      <x:c r="P391" s="20" t="n">
        <x:v>0.25</x:v>
      </x:c>
      <x:c r="Q391" s="2" t="n">
        <x:v>33</x:v>
      </x:c>
      <x:c r="R391" s="2" t="str">
        <x:v>ISTJ</x:v>
      </x:c>
      <x:c r="S391" s="2" t="str">
        <x:v>华东</x:v>
      </x:c>
      <x:c r="T391" s="2" t="str">
        <x:v>商业服务岗位</x:v>
      </x:c>
    </x:row>
    <x:row r="392" ht="24" customHeight="1">
      <x:c r="A392" s="2" t="str">
        <x:v>D020_T07_C080_G025</x:v>
      </x:c>
      <x:c r="B392" s="2" t="str">
        <x:v>A0155</x:v>
      </x:c>
      <x:c r="C392" s="2" t="str">
        <x:v>outside</x:v>
      </x:c>
      <x:c r="D392" s="2" t="n">
        <x:v>7</x:v>
      </x:c>
      <x:c r="E392" s="2" t="n">
        <x:v>9</x:v>
      </x:c>
      <x:c r="F392" s="2"/>
      <x:c r="G392" s="2" t="str">
        <x:v>right_censored</x:v>
      </x:c>
      <x:c r="H392" s="2" t="n">
        <x:f>IF(AND(ISNUMBER(F392),F392&gt;=D392),1,0)</x:f>
        <x:v>0</x:v>
      </x:c>
      <x:c r="I392" s="2" t="n">
        <x:f>IF(AND(ISNUMBER(F392),F392&gt;D392),1,0)</x:f>
        <x:v>0</x:v>
      </x:c>
      <x:c r="J392" s="2" t="str">
        <x:f>IF(H392=1,F392-D392,"")</x:f>
      </x:c>
      <x:c r="K392" s="2" t="str">
        <x:f>IF(H392=1,F392-E392,"")</x:f>
      </x:c>
      <x:c r="L392" s="2" t="n">
        <x:v>1</x:v>
      </x:c>
      <x:c r="M392" s="2"/>
      <x:c r="N392" s="20" t="n">
        <x:v>0.2</x:v>
      </x:c>
      <x:c r="O392" s="20" t="n">
        <x:v>0.8</x:v>
      </x:c>
      <x:c r="P392" s="20" t="n">
        <x:v>0.25</x:v>
      </x:c>
      <x:c r="Q392" s="2" t="n">
        <x:v>25</x:v>
      </x:c>
      <x:c r="R392" s="2" t="str">
        <x:v>INTP</x:v>
      </x:c>
      <x:c r="S392" s="2" t="str">
        <x:v>华中</x:v>
      </x:c>
      <x:c r="T392" s="2" t="str">
        <x:v>生产运输或体力岗位</x:v>
      </x:c>
    </x:row>
    <x:row r="393" ht="24" customHeight="1">
      <x:c r="A393" s="2" t="str">
        <x:v>D020_T07_C080_G050</x:v>
      </x:c>
      <x:c r="B393" s="2" t="str">
        <x:v>A0005</x:v>
      </x:c>
      <x:c r="C393" s="2" t="str">
        <x:v>inside</x:v>
      </x:c>
      <x:c r="D393" s="2" t="n">
        <x:v>7</x:v>
      </x:c>
      <x:c r="E393" s="2" t="n">
        <x:v>1</x:v>
      </x:c>
      <x:c r="F393" s="2" t="n">
        <x:v>7</x:v>
      </x:c>
      <x:c r="G393" s="2" t="str">
        <x:v>observed_post_release</x:v>
      </x:c>
      <x:c r="H393" s="2" t="n">
        <x:f>IF(AND(ISNUMBER(F393),F393&gt;=D393),1,0)</x:f>
        <x:v>1</x:v>
      </x:c>
      <x:c r="I393" s="2" t="n">
        <x:f>IF(AND(ISNUMBER(F393),F393&gt;D393),1,0)</x:f>
        <x:v>0</x:v>
      </x:c>
      <x:c r="J393" s="2" t="n">
        <x:f>IF(H393=1,F393-D393,"")</x:f>
        <x:v>0</x:v>
      </x:c>
      <x:c r="K393" s="2" t="n">
        <x:f>IF(H393=1,F393-E393,"")</x:f>
        <x:v>6</x:v>
      </x:c>
      <x:c r="L393" s="2" t="n">
        <x:v>9</x:v>
      </x:c>
      <x:c r="M393" s="2" t="n">
        <x:v>7</x:v>
      </x:c>
      <x:c r="N393" s="20" t="n">
        <x:v>0.2</x:v>
      </x:c>
      <x:c r="O393" s="20" t="n">
        <x:v>0.8</x:v>
      </x:c>
      <x:c r="P393" s="20" t="n">
        <x:v>0.5</x:v>
      </x:c>
      <x:c r="Q393" s="2" t="n">
        <x:v>51</x:v>
      </x:c>
      <x:c r="R393" s="2" t="str">
        <x:v>ISTP</x:v>
      </x:c>
      <x:c r="S393" s="2" t="str">
        <x:v>华南</x:v>
      </x:c>
      <x:c r="T393" s="2" t="str">
        <x:v>生产运输或体力岗位</x:v>
      </x:c>
    </x:row>
    <x:row r="394" ht="24" customHeight="1">
      <x:c r="A394" s="2" t="str">
        <x:v>D020_T07_C080_G050</x:v>
      </x:c>
      <x:c r="B394" s="2" t="str">
        <x:v>A0008</x:v>
      </x:c>
      <x:c r="C394" s="2" t="str">
        <x:v>inside</x:v>
      </x:c>
      <x:c r="D394" s="2" t="n">
        <x:v>7</x:v>
      </x:c>
      <x:c r="E394" s="2" t="n">
        <x:v>1</x:v>
      </x:c>
      <x:c r="F394" s="2" t="n">
        <x:v>8</x:v>
      </x:c>
      <x:c r="G394" s="2" t="str">
        <x:v>observed_post_release</x:v>
      </x:c>
      <x:c r="H394" s="2" t="n">
        <x:f>IF(AND(ISNUMBER(F394),F394&gt;=D394),1,0)</x:f>
        <x:v>1</x:v>
      </x:c>
      <x:c r="I394" s="2" t="n">
        <x:f>IF(AND(ISNUMBER(F394),F394&gt;D394),1,0)</x:f>
        <x:v>1</x:v>
      </x:c>
      <x:c r="J394" s="2" t="n">
        <x:f>IF(H394=1,F394-D394,"")</x:f>
        <x:v>1</x:v>
      </x:c>
      <x:c r="K394" s="2" t="n">
        <x:f>IF(H394=1,F394-E394,"")</x:f>
        <x:v>7</x:v>
      </x:c>
      <x:c r="L394" s="2" t="n">
        <x:v>9</x:v>
      </x:c>
      <x:c r="M394" s="2" t="n">
        <x:v>7</x:v>
      </x:c>
      <x:c r="N394" s="20" t="n">
        <x:v>0.2</x:v>
      </x:c>
      <x:c r="O394" s="20" t="n">
        <x:v>0.8</x:v>
      </x:c>
      <x:c r="P394" s="20" t="n">
        <x:v>0.5</x:v>
      </x:c>
      <x:c r="Q394" s="2" t="n">
        <x:v>36</x:v>
      </x:c>
      <x:c r="R394" s="2" t="str">
        <x:v>ISFP</x:v>
      </x:c>
      <x:c r="S394" s="2" t="str">
        <x:v>华南</x:v>
      </x:c>
      <x:c r="T394" s="2" t="str">
        <x:v>生产运输或体力岗位</x:v>
      </x:c>
    </x:row>
    <x:row r="395" ht="24" customHeight="1">
      <x:c r="A395" s="2" t="str">
        <x:v>D020_T07_C080_G050</x:v>
      </x:c>
      <x:c r="B395" s="2" t="str">
        <x:v>A0011</x:v>
      </x:c>
      <x:c r="C395" s="2" t="str">
        <x:v>inside</x:v>
      </x:c>
      <x:c r="D395" s="2" t="n">
        <x:v>7</x:v>
      </x:c>
      <x:c r="E395" s="2" t="n">
        <x:v>1</x:v>
      </x:c>
      <x:c r="F395" s="2" t="n">
        <x:v>8</x:v>
      </x:c>
      <x:c r="G395" s="2" t="str">
        <x:v>observed_post_release</x:v>
      </x:c>
      <x:c r="H395" s="2" t="n">
        <x:f>IF(AND(ISNUMBER(F395),F395&gt;=D395),1,0)</x:f>
        <x:v>1</x:v>
      </x:c>
      <x:c r="I395" s="2" t="n">
        <x:f>IF(AND(ISNUMBER(F395),F395&gt;D395),1,0)</x:f>
        <x:v>1</x:v>
      </x:c>
      <x:c r="J395" s="2" t="n">
        <x:f>IF(H395=1,F395-D395,"")</x:f>
        <x:v>1</x:v>
      </x:c>
      <x:c r="K395" s="2" t="n">
        <x:f>IF(H395=1,F395-E395,"")</x:f>
        <x:v>7</x:v>
      </x:c>
      <x:c r="L395" s="2" t="n">
        <x:v>9</x:v>
      </x:c>
      <x:c r="M395" s="2" t="n">
        <x:v>8</x:v>
      </x:c>
      <x:c r="N395" s="20" t="n">
        <x:v>0.2</x:v>
      </x:c>
      <x:c r="O395" s="20" t="n">
        <x:v>0.8</x:v>
      </x:c>
      <x:c r="P395" s="20" t="n">
        <x:v>0.5</x:v>
      </x:c>
      <x:c r="Q395" s="2" t="n">
        <x:v>42</x:v>
      </x:c>
      <x:c r="R395" s="2" t="str">
        <x:v>ENFJ</x:v>
      </x:c>
      <x:c r="S395" s="2" t="str">
        <x:v>西南</x:v>
      </x:c>
      <x:c r="T395" s="2" t="str">
        <x:v>行政或办公室岗位</x:v>
      </x:c>
    </x:row>
    <x:row r="396" ht="24" customHeight="1">
      <x:c r="A396" s="2" t="str">
        <x:v>D020_T07_C080_G050</x:v>
      </x:c>
      <x:c r="B396" s="2" t="str">
        <x:v>A0012</x:v>
      </x:c>
      <x:c r="C396" s="2" t="str">
        <x:v>inside</x:v>
      </x:c>
      <x:c r="D396" s="2" t="n">
        <x:v>7</x:v>
      </x:c>
      <x:c r="E396" s="2" t="n">
        <x:v>1</x:v>
      </x:c>
      <x:c r="F396" s="2"/>
      <x:c r="G396" s="2" t="str">
        <x:v>right_censored</x:v>
      </x:c>
      <x:c r="H396" s="2" t="n">
        <x:f>IF(AND(ISNUMBER(F396),F396&gt;=D396),1,0)</x:f>
        <x:v>0</x:v>
      </x:c>
      <x:c r="I396" s="2" t="n">
        <x:f>IF(AND(ISNUMBER(F396),F396&gt;D396),1,0)</x:f>
        <x:v>0</x:v>
      </x:c>
      <x:c r="J396" s="2" t="str">
        <x:f>IF(H396=1,F396-D396,"")</x:f>
      </x:c>
      <x:c r="K396" s="2" t="str">
        <x:f>IF(H396=1,F396-E396,"")</x:f>
      </x:c>
      <x:c r="L396" s="2" t="n">
        <x:v>9</x:v>
      </x:c>
      <x:c r="M396" s="2" t="n">
        <x:v>7</x:v>
      </x:c>
      <x:c r="N396" s="20" t="n">
        <x:v>0.2</x:v>
      </x:c>
      <x:c r="O396" s="20" t="n">
        <x:v>0.8</x:v>
      </x:c>
      <x:c r="P396" s="20" t="n">
        <x:v>0.5</x:v>
      </x:c>
      <x:c r="Q396" s="2" t="n">
        <x:v>38</x:v>
      </x:c>
      <x:c r="R396" s="2" t="str">
        <x:v>ESFP</x:v>
      </x:c>
      <x:c r="S396" s="2" t="str">
        <x:v>华中</x:v>
      </x:c>
      <x:c r="T396" s="2" t="str">
        <x:v>行政或办公室岗位</x:v>
      </x:c>
    </x:row>
    <x:row r="397" ht="24" customHeight="1">
      <x:c r="A397" s="2" t="str">
        <x:v>D020_T07_C080_G050</x:v>
      </x:c>
      <x:c r="B397" s="2" t="str">
        <x:v>A0014</x:v>
      </x:c>
      <x:c r="C397" s="2" t="str">
        <x:v>inside</x:v>
      </x:c>
      <x:c r="D397" s="2" t="n">
        <x:v>7</x:v>
      </x:c>
      <x:c r="E397" s="2" t="n">
        <x:v>1</x:v>
      </x:c>
      <x:c r="F397" s="2" t="n">
        <x:v>7</x:v>
      </x:c>
      <x:c r="G397" s="2" t="str">
        <x:v>observed_post_release</x:v>
      </x:c>
      <x:c r="H397" s="2" t="n">
        <x:f>IF(AND(ISNUMBER(F397),F397&gt;=D397),1,0)</x:f>
        <x:v>1</x:v>
      </x:c>
      <x:c r="I397" s="2" t="n">
        <x:f>IF(AND(ISNUMBER(F397),F397&gt;D397),1,0)</x:f>
        <x:v>0</x:v>
      </x:c>
      <x:c r="J397" s="2" t="n">
        <x:f>IF(H397=1,F397-D397,"")</x:f>
        <x:v>0</x:v>
      </x:c>
      <x:c r="K397" s="2" t="n">
        <x:f>IF(H397=1,F397-E397,"")</x:f>
        <x:v>6</x:v>
      </x:c>
      <x:c r="L397" s="2" t="n">
        <x:v>9</x:v>
      </x:c>
      <x:c r="M397" s="2" t="n">
        <x:v>7</x:v>
      </x:c>
      <x:c r="N397" s="20" t="n">
        <x:v>0.2</x:v>
      </x:c>
      <x:c r="O397" s="20" t="n">
        <x:v>0.8</x:v>
      </x:c>
      <x:c r="P397" s="20" t="n">
        <x:v>0.5</x:v>
      </x:c>
      <x:c r="Q397" s="2" t="n">
        <x:v>52</x:v>
      </x:c>
      <x:c r="R397" s="2" t="str">
        <x:v>INFJ</x:v>
      </x:c>
      <x:c r="S397" s="2" t="str">
        <x:v>华东</x:v>
      </x:c>
      <x:c r="T397" s="2" t="str">
        <x:v>生产运输或体力岗位</x:v>
      </x:c>
    </x:row>
    <x:row r="398" ht="24" customHeight="1">
      <x:c r="A398" s="2" t="str">
        <x:v>D020_T07_C080_G050</x:v>
      </x:c>
      <x:c r="B398" s="2" t="str">
        <x:v>A0015</x:v>
      </x:c>
      <x:c r="C398" s="2" t="str">
        <x:v>inside</x:v>
      </x:c>
      <x:c r="D398" s="2" t="n">
        <x:v>7</x:v>
      </x:c>
      <x:c r="E398" s="2" t="n">
        <x:v>1</x:v>
      </x:c>
      <x:c r="F398" s="2" t="n">
        <x:v>7</x:v>
      </x:c>
      <x:c r="G398" s="2" t="str">
        <x:v>observed_post_release</x:v>
      </x:c>
      <x:c r="H398" s="2" t="n">
        <x:f>IF(AND(ISNUMBER(F398),F398&gt;=D398),1,0)</x:f>
        <x:v>1</x:v>
      </x:c>
      <x:c r="I398" s="2" t="n">
        <x:f>IF(AND(ISNUMBER(F398),F398&gt;D398),1,0)</x:f>
        <x:v>0</x:v>
      </x:c>
      <x:c r="J398" s="2" t="n">
        <x:f>IF(H398=1,F398-D398,"")</x:f>
        <x:v>0</x:v>
      </x:c>
      <x:c r="K398" s="2" t="n">
        <x:f>IF(H398=1,F398-E398,"")</x:f>
        <x:v>6</x:v>
      </x:c>
      <x:c r="L398" s="2" t="n">
        <x:v>9</x:v>
      </x:c>
      <x:c r="M398" s="2" t="n">
        <x:v>7</x:v>
      </x:c>
      <x:c r="N398" s="20" t="n">
        <x:v>0.2</x:v>
      </x:c>
      <x:c r="O398" s="20" t="n">
        <x:v>0.8</x:v>
      </x:c>
      <x:c r="P398" s="20" t="n">
        <x:v>0.5</x:v>
      </x:c>
      <x:c r="Q398" s="2" t="n">
        <x:v>29</x:v>
      </x:c>
      <x:c r="R398" s="2" t="str">
        <x:v>ESFP</x:v>
      </x:c>
      <x:c r="S398" s="2" t="str">
        <x:v>华南</x:v>
      </x:c>
      <x:c r="T398" s="2" t="str">
        <x:v>行政或办公室岗位</x:v>
      </x:c>
    </x:row>
    <x:row r="399" ht="24" customHeight="1">
      <x:c r="A399" s="2" t="str">
        <x:v>D020_T07_C080_G050</x:v>
      </x:c>
      <x:c r="B399" s="2" t="str">
        <x:v>A0017</x:v>
      </x:c>
      <x:c r="C399" s="2" t="str">
        <x:v>inside</x:v>
      </x:c>
      <x:c r="D399" s="2" t="n">
        <x:v>7</x:v>
      </x:c>
      <x:c r="E399" s="2" t="n">
        <x:v>1</x:v>
      </x:c>
      <x:c r="F399" s="2" t="n">
        <x:v>10</x:v>
      </x:c>
      <x:c r="G399" s="2" t="str">
        <x:v>observed_post_release</x:v>
      </x:c>
      <x:c r="H399" s="2" t="n">
        <x:f>IF(AND(ISNUMBER(F399),F399&gt;=D399),1,0)</x:f>
        <x:v>1</x:v>
      </x:c>
      <x:c r="I399" s="2" t="n">
        <x:f>IF(AND(ISNUMBER(F399),F399&gt;D399),1,0)</x:f>
        <x:v>1</x:v>
      </x:c>
      <x:c r="J399" s="2" t="n">
        <x:f>IF(H399=1,F399-D399,"")</x:f>
        <x:v>3</x:v>
      </x:c>
      <x:c r="K399" s="2" t="n">
        <x:f>IF(H399=1,F399-E399,"")</x:f>
        <x:v>9</x:v>
      </x:c>
      <x:c r="L399" s="2" t="n">
        <x:v>9</x:v>
      </x:c>
      <x:c r="M399" s="2" t="n">
        <x:v>8</x:v>
      </x:c>
      <x:c r="N399" s="20" t="n">
        <x:v>0.2</x:v>
      </x:c>
      <x:c r="O399" s="20" t="n">
        <x:v>0.8</x:v>
      </x:c>
      <x:c r="P399" s="20" t="n">
        <x:v>0.5</x:v>
      </x:c>
      <x:c r="Q399" s="2" t="n">
        <x:v>30</x:v>
      </x:c>
      <x:c r="R399" s="2" t="str">
        <x:v>ISTJ</x:v>
      </x:c>
      <x:c r="S399" s="2" t="str">
        <x:v>华东</x:v>
      </x:c>
      <x:c r="T399" s="2" t="str">
        <x:v>商业服务岗位</x:v>
      </x:c>
    </x:row>
    <x:row r="400" ht="24" customHeight="1">
      <x:c r="A400" s="2" t="str">
        <x:v>D020_T07_C080_G050</x:v>
      </x:c>
      <x:c r="B400" s="2" t="str">
        <x:v>A0018</x:v>
      </x:c>
      <x:c r="C400" s="2" t="str">
        <x:v>inside</x:v>
      </x:c>
      <x:c r="D400" s="2" t="n">
        <x:v>7</x:v>
      </x:c>
      <x:c r="E400" s="2" t="n">
        <x:v>1</x:v>
      </x:c>
      <x:c r="F400" s="2" t="n">
        <x:v>7</x:v>
      </x:c>
      <x:c r="G400" s="2" t="str">
        <x:v>observed_post_release</x:v>
      </x:c>
      <x:c r="H400" s="2" t="n">
        <x:f>IF(AND(ISNUMBER(F400),F400&gt;=D400),1,0)</x:f>
        <x:v>1</x:v>
      </x:c>
      <x:c r="I400" s="2" t="n">
        <x:f>IF(AND(ISNUMBER(F400),F400&gt;D400),1,0)</x:f>
        <x:v>0</x:v>
      </x:c>
      <x:c r="J400" s="2" t="n">
        <x:f>IF(H400=1,F400-D400,"")</x:f>
        <x:v>0</x:v>
      </x:c>
      <x:c r="K400" s="2" t="n">
        <x:f>IF(H400=1,F400-E400,"")</x:f>
        <x:v>6</x:v>
      </x:c>
      <x:c r="L400" s="2" t="n">
        <x:v>9</x:v>
      </x:c>
      <x:c r="M400" s="2" t="n">
        <x:v>7</x:v>
      </x:c>
      <x:c r="N400" s="20" t="n">
        <x:v>0.2</x:v>
      </x:c>
      <x:c r="O400" s="20" t="n">
        <x:v>0.8</x:v>
      </x:c>
      <x:c r="P400" s="20" t="n">
        <x:v>0.5</x:v>
      </x:c>
      <x:c r="Q400" s="2" t="n">
        <x:v>60</x:v>
      </x:c>
      <x:c r="R400" s="2" t="str">
        <x:v>INTJ</x:v>
      </x:c>
      <x:c r="S400" s="2" t="str">
        <x:v>华南</x:v>
      </x:c>
      <x:c r="T400" s="2" t="str">
        <x:v>专业技术岗位</x:v>
      </x:c>
    </x:row>
    <x:row r="401" ht="24" customHeight="1">
      <x:c r="A401" s="2" t="str">
        <x:v>D020_T07_C080_G050</x:v>
      </x:c>
      <x:c r="B401" s="2" t="str">
        <x:v>A0019</x:v>
      </x:c>
      <x:c r="C401" s="2" t="str">
        <x:v>inside</x:v>
      </x:c>
      <x:c r="D401" s="2" t="n">
        <x:v>7</x:v>
      </x:c>
      <x:c r="E401" s="2" t="n">
        <x:v>1</x:v>
      </x:c>
      <x:c r="F401" s="2" t="n">
        <x:v>7</x:v>
      </x:c>
      <x:c r="G401" s="2" t="str">
        <x:v>observed_post_release</x:v>
      </x:c>
      <x:c r="H401" s="2" t="n">
        <x:f>IF(AND(ISNUMBER(F401),F401&gt;=D401),1,0)</x:f>
        <x:v>1</x:v>
      </x:c>
      <x:c r="I401" s="2" t="n">
        <x:f>IF(AND(ISNUMBER(F401),F401&gt;D401),1,0)</x:f>
        <x:v>0</x:v>
      </x:c>
      <x:c r="J401" s="2" t="n">
        <x:f>IF(H401=1,F401-D401,"")</x:f>
        <x:v>0</x:v>
      </x:c>
      <x:c r="K401" s="2" t="n">
        <x:f>IF(H401=1,F401-E401,"")</x:f>
        <x:v>6</x:v>
      </x:c>
      <x:c r="L401" s="2" t="n">
        <x:v>9</x:v>
      </x:c>
      <x:c r="M401" s="2" t="n">
        <x:v>7</x:v>
      </x:c>
      <x:c r="N401" s="20" t="n">
        <x:v>0.2</x:v>
      </x:c>
      <x:c r="O401" s="20" t="n">
        <x:v>0.8</x:v>
      </x:c>
      <x:c r="P401" s="20" t="n">
        <x:v>0.5</x:v>
      </x:c>
      <x:c r="Q401" s="2" t="n">
        <x:v>19</x:v>
      </x:c>
      <x:c r="R401" s="2" t="str">
        <x:v>INTJ</x:v>
      </x:c>
      <x:c r="S401" s="2" t="str">
        <x:v>西南</x:v>
      </x:c>
      <x:c r="T401" s="2" t="str">
        <x:v>行政或办公室岗位</x:v>
      </x:c>
    </x:row>
    <x:row r="402" ht="24" customHeight="1">
      <x:c r="A402" s="2" t="str">
        <x:v>D020_T07_C080_G050</x:v>
      </x:c>
      <x:c r="B402" s="2" t="str">
        <x:v>A0025</x:v>
      </x:c>
      <x:c r="C402" s="2" t="str">
        <x:v>inside</x:v>
      </x:c>
      <x:c r="D402" s="2" t="n">
        <x:v>7</x:v>
      </x:c>
      <x:c r="E402" s="2" t="n">
        <x:v>1</x:v>
      </x:c>
      <x:c r="F402" s="2" t="n">
        <x:v>7</x:v>
      </x:c>
      <x:c r="G402" s="2" t="str">
        <x:v>observed_post_release</x:v>
      </x:c>
      <x:c r="H402" s="2" t="n">
        <x:f>IF(AND(ISNUMBER(F402),F402&gt;=D402),1,0)</x:f>
        <x:v>1</x:v>
      </x:c>
      <x:c r="I402" s="2" t="n">
        <x:f>IF(AND(ISNUMBER(F402),F402&gt;D402),1,0)</x:f>
        <x:v>0</x:v>
      </x:c>
      <x:c r="J402" s="2" t="n">
        <x:f>IF(H402=1,F402-D402,"")</x:f>
        <x:v>0</x:v>
      </x:c>
      <x:c r="K402" s="2" t="n">
        <x:f>IF(H402=1,F402-E402,"")</x:f>
        <x:v>6</x:v>
      </x:c>
      <x:c r="L402" s="2" t="n">
        <x:v>9</x:v>
      </x:c>
      <x:c r="M402" s="2" t="n">
        <x:v>7</x:v>
      </x:c>
      <x:c r="N402" s="20" t="n">
        <x:v>0.2</x:v>
      </x:c>
      <x:c r="O402" s="20" t="n">
        <x:v>0.8</x:v>
      </x:c>
      <x:c r="P402" s="20" t="n">
        <x:v>0.5</x:v>
      </x:c>
      <x:c r="Q402" s="2" t="n">
        <x:v>23</x:v>
      </x:c>
      <x:c r="R402" s="2" t="str">
        <x:v>ISTP</x:v>
      </x:c>
      <x:c r="S402" s="2" t="str">
        <x:v>华南</x:v>
      </x:c>
      <x:c r="T402" s="2" t="str">
        <x:v>行政或办公室岗位</x:v>
      </x:c>
    </x:row>
    <x:row r="403" ht="24" customHeight="1">
      <x:c r="A403" s="2" t="str">
        <x:v>D020_T07_C080_G050</x:v>
      </x:c>
      <x:c r="B403" s="2" t="str">
        <x:v>A0027</x:v>
      </x:c>
      <x:c r="C403" s="2" t="str">
        <x:v>inside</x:v>
      </x:c>
      <x:c r="D403" s="2" t="n">
        <x:v>7</x:v>
      </x:c>
      <x:c r="E403" s="2" t="n">
        <x:v>1</x:v>
      </x:c>
      <x:c r="F403" s="2" t="n">
        <x:v>8</x:v>
      </x:c>
      <x:c r="G403" s="2" t="str">
        <x:v>observed_post_release</x:v>
      </x:c>
      <x:c r="H403" s="2" t="n">
        <x:f>IF(AND(ISNUMBER(F403),F403&gt;=D403),1,0)</x:f>
        <x:v>1</x:v>
      </x:c>
      <x:c r="I403" s="2" t="n">
        <x:f>IF(AND(ISNUMBER(F403),F403&gt;D403),1,0)</x:f>
        <x:v>1</x:v>
      </x:c>
      <x:c r="J403" s="2" t="n">
        <x:f>IF(H403=1,F403-D403,"")</x:f>
        <x:v>1</x:v>
      </x:c>
      <x:c r="K403" s="2" t="n">
        <x:f>IF(H403=1,F403-E403,"")</x:f>
        <x:v>7</x:v>
      </x:c>
      <x:c r="L403" s="2" t="n">
        <x:v>9</x:v>
      </x:c>
      <x:c r="M403" s="2" t="n">
        <x:v>7</x:v>
      </x:c>
      <x:c r="N403" s="20" t="n">
        <x:v>0.2</x:v>
      </x:c>
      <x:c r="O403" s="20" t="n">
        <x:v>0.8</x:v>
      </x:c>
      <x:c r="P403" s="20" t="n">
        <x:v>0.5</x:v>
      </x:c>
      <x:c r="Q403" s="2" t="n">
        <x:v>25</x:v>
      </x:c>
      <x:c r="R403" s="2" t="str">
        <x:v>ESFP</x:v>
      </x:c>
      <x:c r="S403" s="2" t="str">
        <x:v>西北</x:v>
      </x:c>
      <x:c r="T403" s="2" t="str">
        <x:v>暂未就业或家庭照料</x:v>
      </x:c>
    </x:row>
    <x:row r="404" ht="24" customHeight="1">
      <x:c r="A404" s="2" t="str">
        <x:v>D020_T07_C080_G050</x:v>
      </x:c>
      <x:c r="B404" s="2" t="str">
        <x:v>A0029</x:v>
      </x:c>
      <x:c r="C404" s="2" t="str">
        <x:v>inside</x:v>
      </x:c>
      <x:c r="D404" s="2" t="n">
        <x:v>7</x:v>
      </x:c>
      <x:c r="E404" s="2" t="n">
        <x:v>4</x:v>
      </x:c>
      <x:c r="F404" s="2" t="n">
        <x:v>7</x:v>
      </x:c>
      <x:c r="G404" s="2" t="str">
        <x:v>observed_post_release</x:v>
      </x:c>
      <x:c r="H404" s="2" t="n">
        <x:f>IF(AND(ISNUMBER(F404),F404&gt;=D404),1,0)</x:f>
        <x:v>1</x:v>
      </x:c>
      <x:c r="I404" s="2" t="n">
        <x:f>IF(AND(ISNUMBER(F404),F404&gt;D404),1,0)</x:f>
        <x:v>0</x:v>
      </x:c>
      <x:c r="J404" s="2" t="n">
        <x:f>IF(H404=1,F404-D404,"")</x:f>
        <x:v>0</x:v>
      </x:c>
      <x:c r="K404" s="2" t="n">
        <x:f>IF(H404=1,F404-E404,"")</x:f>
        <x:v>3</x:v>
      </x:c>
      <x:c r="L404" s="2" t="n">
        <x:v>6</x:v>
      </x:c>
      <x:c r="M404" s="2" t="n">
        <x:v>7</x:v>
      </x:c>
      <x:c r="N404" s="20" t="n">
        <x:v>0.2</x:v>
      </x:c>
      <x:c r="O404" s="20" t="n">
        <x:v>0.8</x:v>
      </x:c>
      <x:c r="P404" s="20" t="n">
        <x:v>0.5</x:v>
      </x:c>
      <x:c r="Q404" s="2" t="n">
        <x:v>69</x:v>
      </x:c>
      <x:c r="R404" s="2" t="str">
        <x:v>ENTP</x:v>
      </x:c>
      <x:c r="S404" s="2" t="str">
        <x:v>华东</x:v>
      </x:c>
      <x:c r="T404" s="2" t="str">
        <x:v>退休人员</x:v>
      </x:c>
    </x:row>
    <x:row r="405" ht="24" customHeight="1">
      <x:c r="A405" s="2" t="str">
        <x:v>D020_T07_C080_G050</x:v>
      </x:c>
      <x:c r="B405" s="2" t="str">
        <x:v>A0030</x:v>
      </x:c>
      <x:c r="C405" s="2" t="str">
        <x:v>inside</x:v>
      </x:c>
      <x:c r="D405" s="2" t="n">
        <x:v>7</x:v>
      </x:c>
      <x:c r="E405" s="2" t="n">
        <x:v>1</x:v>
      </x:c>
      <x:c r="F405" s="2" t="n">
        <x:v>7</x:v>
      </x:c>
      <x:c r="G405" s="2" t="str">
        <x:v>observed_post_release</x:v>
      </x:c>
      <x:c r="H405" s="2" t="n">
        <x:f>IF(AND(ISNUMBER(F405),F405&gt;=D405),1,0)</x:f>
        <x:v>1</x:v>
      </x:c>
      <x:c r="I405" s="2" t="n">
        <x:f>IF(AND(ISNUMBER(F405),F405&gt;D405),1,0)</x:f>
        <x:v>0</x:v>
      </x:c>
      <x:c r="J405" s="2" t="n">
        <x:f>IF(H405=1,F405-D405,"")</x:f>
        <x:v>0</x:v>
      </x:c>
      <x:c r="K405" s="2" t="n">
        <x:f>IF(H405=1,F405-E405,"")</x:f>
        <x:v>6</x:v>
      </x:c>
      <x:c r="L405" s="2" t="n">
        <x:v>9</x:v>
      </x:c>
      <x:c r="M405" s="2" t="n">
        <x:v>7</x:v>
      </x:c>
      <x:c r="N405" s="20" t="n">
        <x:v>0.2</x:v>
      </x:c>
      <x:c r="O405" s="20" t="n">
        <x:v>0.8</x:v>
      </x:c>
      <x:c r="P405" s="20" t="n">
        <x:v>0.5</x:v>
      </x:c>
      <x:c r="Q405" s="2" t="n">
        <x:v>23</x:v>
      </x:c>
      <x:c r="R405" s="2" t="str">
        <x:v>ISFP</x:v>
      </x:c>
      <x:c r="S405" s="2" t="str">
        <x:v>华东</x:v>
      </x:c>
      <x:c r="T405" s="2" t="str">
        <x:v>在校学生</x:v>
      </x:c>
    </x:row>
    <x:row r="406" ht="24" customHeight="1">
      <x:c r="A406" s="2" t="str">
        <x:v>D020_T07_C080_G050</x:v>
      </x:c>
      <x:c r="B406" s="2" t="str">
        <x:v>A0033</x:v>
      </x:c>
      <x:c r="C406" s="2" t="str">
        <x:v>inside</x:v>
      </x:c>
      <x:c r="D406" s="2" t="n">
        <x:v>7</x:v>
      </x:c>
      <x:c r="E406" s="2" t="n">
        <x:v>1</x:v>
      </x:c>
      <x:c r="F406" s="2" t="n">
        <x:v>7</x:v>
      </x:c>
      <x:c r="G406" s="2" t="str">
        <x:v>observed_post_release</x:v>
      </x:c>
      <x:c r="H406" s="2" t="n">
        <x:f>IF(AND(ISNUMBER(F406),F406&gt;=D406),1,0)</x:f>
        <x:v>1</x:v>
      </x:c>
      <x:c r="I406" s="2" t="n">
        <x:f>IF(AND(ISNUMBER(F406),F406&gt;D406),1,0)</x:f>
        <x:v>0</x:v>
      </x:c>
      <x:c r="J406" s="2" t="n">
        <x:f>IF(H406=1,F406-D406,"")</x:f>
        <x:v>0</x:v>
      </x:c>
      <x:c r="K406" s="2" t="n">
        <x:f>IF(H406=1,F406-E406,"")</x:f>
        <x:v>6</x:v>
      </x:c>
      <x:c r="L406" s="2" t="n">
        <x:v>9</x:v>
      </x:c>
      <x:c r="M406" s="2" t="n">
        <x:v>7</x:v>
      </x:c>
      <x:c r="N406" s="20" t="n">
        <x:v>0.2</x:v>
      </x:c>
      <x:c r="O406" s="20" t="n">
        <x:v>0.8</x:v>
      </x:c>
      <x:c r="P406" s="20" t="n">
        <x:v>0.5</x:v>
      </x:c>
      <x:c r="Q406" s="2" t="n">
        <x:v>55</x:v>
      </x:c>
      <x:c r="R406" s="2" t="str">
        <x:v>ENFP</x:v>
      </x:c>
      <x:c r="S406" s="2" t="str">
        <x:v>华南</x:v>
      </x:c>
      <x:c r="T406" s="2" t="str">
        <x:v>个体经营或自由职业</x:v>
      </x:c>
    </x:row>
    <x:row r="407" ht="24" customHeight="1">
      <x:c r="A407" s="2" t="str">
        <x:v>D020_T07_C080_G050</x:v>
      </x:c>
      <x:c r="B407" s="2" t="str">
        <x:v>A0036</x:v>
      </x:c>
      <x:c r="C407" s="2" t="str">
        <x:v>inside</x:v>
      </x:c>
      <x:c r="D407" s="2" t="n">
        <x:v>7</x:v>
      </x:c>
      <x:c r="E407" s="2" t="n">
        <x:v>1</x:v>
      </x:c>
      <x:c r="F407" s="2" t="n">
        <x:v>8</x:v>
      </x:c>
      <x:c r="G407" s="2" t="str">
        <x:v>observed_post_release</x:v>
      </x:c>
      <x:c r="H407" s="2" t="n">
        <x:f>IF(AND(ISNUMBER(F407),F407&gt;=D407),1,0)</x:f>
        <x:v>1</x:v>
      </x:c>
      <x:c r="I407" s="2" t="n">
        <x:f>IF(AND(ISNUMBER(F407),F407&gt;D407),1,0)</x:f>
        <x:v>1</x:v>
      </x:c>
      <x:c r="J407" s="2" t="n">
        <x:f>IF(H407=1,F407-D407,"")</x:f>
        <x:v>1</x:v>
      </x:c>
      <x:c r="K407" s="2" t="n">
        <x:f>IF(H407=1,F407-E407,"")</x:f>
        <x:v>7</x:v>
      </x:c>
      <x:c r="L407" s="2" t="n">
        <x:v>9</x:v>
      </x:c>
      <x:c r="M407" s="2" t="n">
        <x:v>7</x:v>
      </x:c>
      <x:c r="N407" s="20" t="n">
        <x:v>0.2</x:v>
      </x:c>
      <x:c r="O407" s="20" t="n">
        <x:v>0.8</x:v>
      </x:c>
      <x:c r="P407" s="20" t="n">
        <x:v>0.5</x:v>
      </x:c>
      <x:c r="Q407" s="2" t="n">
        <x:v>43</x:v>
      </x:c>
      <x:c r="R407" s="2" t="str">
        <x:v>ISFJ</x:v>
      </x:c>
      <x:c r="S407" s="2" t="str">
        <x:v>华东</x:v>
      </x:c>
      <x:c r="T407" s="2" t="str">
        <x:v>生产运输或体力岗位</x:v>
      </x:c>
    </x:row>
    <x:row r="408" ht="24" customHeight="1">
      <x:c r="A408" s="2" t="str">
        <x:v>D020_T07_C080_G050</x:v>
      </x:c>
      <x:c r="B408" s="2" t="str">
        <x:v>A0037</x:v>
      </x:c>
      <x:c r="C408" s="2" t="str">
        <x:v>inside</x:v>
      </x:c>
      <x:c r="D408" s="2" t="n">
        <x:v>7</x:v>
      </x:c>
      <x:c r="E408" s="2" t="n">
        <x:v>1</x:v>
      </x:c>
      <x:c r="F408" s="2" t="n">
        <x:v>7</x:v>
      </x:c>
      <x:c r="G408" s="2" t="str">
        <x:v>observed_post_release</x:v>
      </x:c>
      <x:c r="H408" s="2" t="n">
        <x:f>IF(AND(ISNUMBER(F408),F408&gt;=D408),1,0)</x:f>
        <x:v>1</x:v>
      </x:c>
      <x:c r="I408" s="2" t="n">
        <x:f>IF(AND(ISNUMBER(F408),F408&gt;D408),1,0)</x:f>
        <x:v>0</x:v>
      </x:c>
      <x:c r="J408" s="2" t="n">
        <x:f>IF(H408=1,F408-D408,"")</x:f>
        <x:v>0</x:v>
      </x:c>
      <x:c r="K408" s="2" t="n">
        <x:f>IF(H408=1,F408-E408,"")</x:f>
        <x:v>6</x:v>
      </x:c>
      <x:c r="L408" s="2" t="n">
        <x:v>9</x:v>
      </x:c>
      <x:c r="M408" s="2" t="n">
        <x:v>7</x:v>
      </x:c>
      <x:c r="N408" s="20" t="n">
        <x:v>0.2</x:v>
      </x:c>
      <x:c r="O408" s="20" t="n">
        <x:v>0.8</x:v>
      </x:c>
      <x:c r="P408" s="20" t="n">
        <x:v>0.5</x:v>
      </x:c>
      <x:c r="Q408" s="2" t="n">
        <x:v>24</x:v>
      </x:c>
      <x:c r="R408" s="2" t="str">
        <x:v>ENTP</x:v>
      </x:c>
      <x:c r="S408" s="2" t="str">
        <x:v>华南</x:v>
      </x:c>
      <x:c r="T408" s="2" t="str">
        <x:v>在校学生</x:v>
      </x:c>
    </x:row>
    <x:row r="409" ht="24" customHeight="1">
      <x:c r="A409" s="2" t="str">
        <x:v>D020_T07_C080_G050</x:v>
      </x:c>
      <x:c r="B409" s="2" t="str">
        <x:v>A0040</x:v>
      </x:c>
      <x:c r="C409" s="2" t="str">
        <x:v>inside</x:v>
      </x:c>
      <x:c r="D409" s="2" t="n">
        <x:v>7</x:v>
      </x:c>
      <x:c r="E409" s="2" t="n">
        <x:v>1</x:v>
      </x:c>
      <x:c r="F409" s="2" t="n">
        <x:v>8</x:v>
      </x:c>
      <x:c r="G409" s="2" t="str">
        <x:v>observed_post_release</x:v>
      </x:c>
      <x:c r="H409" s="2" t="n">
        <x:f>IF(AND(ISNUMBER(F409),F409&gt;=D409),1,0)</x:f>
        <x:v>1</x:v>
      </x:c>
      <x:c r="I409" s="2" t="n">
        <x:f>IF(AND(ISNUMBER(F409),F409&gt;D409),1,0)</x:f>
        <x:v>1</x:v>
      </x:c>
      <x:c r="J409" s="2" t="n">
        <x:f>IF(H409=1,F409-D409,"")</x:f>
        <x:v>1</x:v>
      </x:c>
      <x:c r="K409" s="2" t="n">
        <x:f>IF(H409=1,F409-E409,"")</x:f>
        <x:v>7</x:v>
      </x:c>
      <x:c r="L409" s="2" t="n">
        <x:v>9</x:v>
      </x:c>
      <x:c r="M409" s="2" t="n">
        <x:v>7</x:v>
      </x:c>
      <x:c r="N409" s="20" t="n">
        <x:v>0.2</x:v>
      </x:c>
      <x:c r="O409" s="20" t="n">
        <x:v>0.8</x:v>
      </x:c>
      <x:c r="P409" s="20" t="n">
        <x:v>0.5</x:v>
      </x:c>
      <x:c r="Q409" s="2" t="n">
        <x:v>48</x:v>
      </x:c>
      <x:c r="R409" s="2" t="str">
        <x:v>INFP</x:v>
      </x:c>
      <x:c r="S409" s="2" t="str">
        <x:v>西北</x:v>
      </x:c>
      <x:c r="T409" s="2" t="str">
        <x:v>个体经营或自由职业</x:v>
      </x:c>
    </x:row>
    <x:row r="410" ht="24" customHeight="1">
      <x:c r="A410" s="2" t="str">
        <x:v>D020_T07_C080_G050</x:v>
      </x:c>
      <x:c r="B410" s="2" t="str">
        <x:v>A0041</x:v>
      </x:c>
      <x:c r="C410" s="2" t="str">
        <x:v>inside</x:v>
      </x:c>
      <x:c r="D410" s="2" t="n">
        <x:v>7</x:v>
      </x:c>
      <x:c r="E410" s="2" t="n">
        <x:v>1</x:v>
      </x:c>
      <x:c r="F410" s="2" t="n">
        <x:v>7</x:v>
      </x:c>
      <x:c r="G410" s="2" t="str">
        <x:v>observed_post_release</x:v>
      </x:c>
      <x:c r="H410" s="2" t="n">
        <x:f>IF(AND(ISNUMBER(F410),F410&gt;=D410),1,0)</x:f>
        <x:v>1</x:v>
      </x:c>
      <x:c r="I410" s="2" t="n">
        <x:f>IF(AND(ISNUMBER(F410),F410&gt;D410),1,0)</x:f>
        <x:v>0</x:v>
      </x:c>
      <x:c r="J410" s="2" t="n">
        <x:f>IF(H410=1,F410-D410,"")</x:f>
        <x:v>0</x:v>
      </x:c>
      <x:c r="K410" s="2" t="n">
        <x:f>IF(H410=1,F410-E410,"")</x:f>
        <x:v>6</x:v>
      </x:c>
      <x:c r="L410" s="2" t="n">
        <x:v>9</x:v>
      </x:c>
      <x:c r="M410" s="2" t="n">
        <x:v>7</x:v>
      </x:c>
      <x:c r="N410" s="20" t="n">
        <x:v>0.2</x:v>
      </x:c>
      <x:c r="O410" s="20" t="n">
        <x:v>0.8</x:v>
      </x:c>
      <x:c r="P410" s="20" t="n">
        <x:v>0.5</x:v>
      </x:c>
      <x:c r="Q410" s="2" t="n">
        <x:v>62</x:v>
      </x:c>
      <x:c r="R410" s="2" t="str">
        <x:v>ISFJ</x:v>
      </x:c>
      <x:c r="S410" s="2" t="str">
        <x:v>西北</x:v>
      </x:c>
      <x:c r="T410" s="2" t="str">
        <x:v>个体经营或自由职业</x:v>
      </x:c>
    </x:row>
    <x:row r="411" ht="24" customHeight="1">
      <x:c r="A411" s="2" t="str">
        <x:v>D020_T07_C080_G050</x:v>
      </x:c>
      <x:c r="B411" s="2" t="str">
        <x:v>A0071</x:v>
      </x:c>
      <x:c r="C411" s="2" t="str">
        <x:v>inside</x:v>
      </x:c>
      <x:c r="D411" s="2" t="n">
        <x:v>7</x:v>
      </x:c>
      <x:c r="E411" s="2" t="n">
        <x:v>1</x:v>
      </x:c>
      <x:c r="F411" s="2" t="n">
        <x:v>8</x:v>
      </x:c>
      <x:c r="G411" s="2" t="str">
        <x:v>observed_post_release</x:v>
      </x:c>
      <x:c r="H411" s="2" t="n">
        <x:f>IF(AND(ISNUMBER(F411),F411&gt;=D411),1,0)</x:f>
        <x:v>1</x:v>
      </x:c>
      <x:c r="I411" s="2" t="n">
        <x:f>IF(AND(ISNUMBER(F411),F411&gt;D411),1,0)</x:f>
        <x:v>1</x:v>
      </x:c>
      <x:c r="J411" s="2" t="n">
        <x:f>IF(H411=1,F411-D411,"")</x:f>
        <x:v>1</x:v>
      </x:c>
      <x:c r="K411" s="2" t="n">
        <x:f>IF(H411=1,F411-E411,"")</x:f>
        <x:v>7</x:v>
      </x:c>
      <x:c r="L411" s="2" t="n">
        <x:v>9</x:v>
      </x:c>
      <x:c r="M411" s="2" t="n">
        <x:v>7</x:v>
      </x:c>
      <x:c r="N411" s="20" t="n">
        <x:v>0.2</x:v>
      </x:c>
      <x:c r="O411" s="20" t="n">
        <x:v>0.8</x:v>
      </x:c>
      <x:c r="P411" s="20" t="n">
        <x:v>0.5</x:v>
      </x:c>
      <x:c r="Q411" s="2" t="n">
        <x:v>33</x:v>
      </x:c>
      <x:c r="R411" s="2" t="str">
        <x:v>ISTJ</x:v>
      </x:c>
      <x:c r="S411" s="2" t="str">
        <x:v>华东</x:v>
      </x:c>
      <x:c r="T411" s="2" t="str">
        <x:v>商业服务岗位</x:v>
      </x:c>
    </x:row>
    <x:row r="412" ht="24" customHeight="1">
      <x:c r="A412" s="2" t="str">
        <x:v>D020_T07_C080_G050</x:v>
      </x:c>
      <x:c r="B412" s="2" t="str">
        <x:v>A0206</x:v>
      </x:c>
      <x:c r="C412" s="2" t="str">
        <x:v>inside</x:v>
      </x:c>
      <x:c r="D412" s="2" t="n">
        <x:v>7</x:v>
      </x:c>
      <x:c r="E412" s="2" t="n">
        <x:v>1</x:v>
      </x:c>
      <x:c r="F412" s="2" t="n">
        <x:v>7</x:v>
      </x:c>
      <x:c r="G412" s="2" t="str">
        <x:v>observed_post_release</x:v>
      </x:c>
      <x:c r="H412" s="2" t="n">
        <x:f>IF(AND(ISNUMBER(F412),F412&gt;=D412),1,0)</x:f>
        <x:v>1</x:v>
      </x:c>
      <x:c r="I412" s="2" t="n">
        <x:f>IF(AND(ISNUMBER(F412),F412&gt;D412),1,0)</x:f>
        <x:v>0</x:v>
      </x:c>
      <x:c r="J412" s="2" t="n">
        <x:f>IF(H412=1,F412-D412,"")</x:f>
        <x:v>0</x:v>
      </x:c>
      <x:c r="K412" s="2" t="n">
        <x:f>IF(H412=1,F412-E412,"")</x:f>
        <x:v>6</x:v>
      </x:c>
      <x:c r="L412" s="2" t="n">
        <x:v>9</x:v>
      </x:c>
      <x:c r="M412" s="2" t="n">
        <x:v>7</x:v>
      </x:c>
      <x:c r="N412" s="20" t="n">
        <x:v>0.2</x:v>
      </x:c>
      <x:c r="O412" s="20" t="n">
        <x:v>0.8</x:v>
      </x:c>
      <x:c r="P412" s="20" t="n">
        <x:v>0.5</x:v>
      </x:c>
      <x:c r="Q412" s="2" t="n">
        <x:v>21</x:v>
      </x:c>
      <x:c r="R412" s="2" t="str">
        <x:v>ESTP</x:v>
      </x:c>
      <x:c r="S412" s="2" t="str">
        <x:v>西北</x:v>
      </x:c>
      <x:c r="T412" s="2" t="str">
        <x:v>暂未就业或家庭照料</x:v>
      </x:c>
    </x:row>
    <x:row r="413" ht="24" customHeight="1">
      <x:c r="A413" s="2" t="str">
        <x:v>D020_T07_C080_G050</x:v>
      </x:c>
      <x:c r="B413" s="2" t="str">
        <x:v>A0254</x:v>
      </x:c>
      <x:c r="C413" s="2" t="str">
        <x:v>outside</x:v>
      </x:c>
      <x:c r="D413" s="2" t="n">
        <x:v>7</x:v>
      </x:c>
      <x:c r="E413" s="2" t="n">
        <x:v>8</x:v>
      </x:c>
      <x:c r="F413" s="2" t="n">
        <x:v>9</x:v>
      </x:c>
      <x:c r="G413" s="2" t="str">
        <x:v>observed_post_release</x:v>
      </x:c>
      <x:c r="H413" s="2" t="n">
        <x:f>IF(AND(ISNUMBER(F413),F413&gt;=D413),1,0)</x:f>
        <x:v>1</x:v>
      </x:c>
      <x:c r="I413" s="2" t="n">
        <x:f>IF(AND(ISNUMBER(F413),F413&gt;D413),1,0)</x:f>
        <x:v>1</x:v>
      </x:c>
      <x:c r="J413" s="2" t="n">
        <x:f>IF(H413=1,F413-D413,"")</x:f>
        <x:v>2</x:v>
      </x:c>
      <x:c r="K413" s="2" t="n">
        <x:f>IF(H413=1,F413-E413,"")</x:f>
        <x:v>1</x:v>
      </x:c>
      <x:c r="L413" s="2" t="n">
        <x:v>2</x:v>
      </x:c>
      <x:c r="M413" s="2" t="n">
        <x:v>9</x:v>
      </x:c>
      <x:c r="N413" s="20" t="n">
        <x:v>0.2</x:v>
      </x:c>
      <x:c r="O413" s="20" t="n">
        <x:v>0.8</x:v>
      </x:c>
      <x:c r="P413" s="20" t="n">
        <x:v>0.5</x:v>
      </x:c>
      <x:c r="Q413" s="2" t="n">
        <x:v>61</x:v>
      </x:c>
      <x:c r="R413" s="2" t="str">
        <x:v>ISFJ</x:v>
      </x:c>
      <x:c r="S413" s="2" t="str">
        <x:v>华东</x:v>
      </x:c>
      <x:c r="T413" s="2" t="str">
        <x:v>专业技术岗位</x:v>
      </x:c>
    </x:row>
    <x:row r="414" ht="24" customHeight="1">
      <x:c r="A414" s="2" t="str">
        <x:v>D020_T07_C080_G075</x:v>
      </x:c>
      <x:c r="B414" s="2" t="str">
        <x:v>A0006</x:v>
      </x:c>
      <x:c r="C414" s="2" t="str">
        <x:v>inside</x:v>
      </x:c>
      <x:c r="D414" s="2" t="n">
        <x:v>7</x:v>
      </x:c>
      <x:c r="E414" s="2" t="n">
        <x:v>1</x:v>
      </x:c>
      <x:c r="F414" s="2" t="n">
        <x:v>8</x:v>
      </x:c>
      <x:c r="G414" s="2" t="str">
        <x:v>observed_post_release</x:v>
      </x:c>
      <x:c r="H414" s="2" t="n">
        <x:f>IF(AND(ISNUMBER(F414),F414&gt;=D414),1,0)</x:f>
        <x:v>1</x:v>
      </x:c>
      <x:c r="I414" s="2" t="n">
        <x:f>IF(AND(ISNUMBER(F414),F414&gt;D414),1,0)</x:f>
        <x:v>1</x:v>
      </x:c>
      <x:c r="J414" s="2" t="n">
        <x:f>IF(H414=1,F414-D414,"")</x:f>
        <x:v>1</x:v>
      </x:c>
      <x:c r="K414" s="2" t="n">
        <x:f>IF(H414=1,F414-E414,"")</x:f>
        <x:v>7</x:v>
      </x:c>
      <x:c r="L414" s="2" t="n">
        <x:v>9</x:v>
      </x:c>
      <x:c r="M414" s="2" t="n">
        <x:v>8</x:v>
      </x:c>
      <x:c r="N414" s="20" t="n">
        <x:v>0.2</x:v>
      </x:c>
      <x:c r="O414" s="20" t="n">
        <x:v>0.8</x:v>
      </x:c>
      <x:c r="P414" s="20" t="n">
        <x:v>0.75</x:v>
      </x:c>
      <x:c r="Q414" s="2" t="n">
        <x:v>60</x:v>
      </x:c>
      <x:c r="R414" s="2" t="str">
        <x:v>ENFP</x:v>
      </x:c>
      <x:c r="S414" s="2" t="str">
        <x:v>华中</x:v>
      </x:c>
      <x:c r="T414" s="2" t="str">
        <x:v>行政或办公室岗位</x:v>
      </x:c>
    </x:row>
    <x:row r="415" ht="24" customHeight="1">
      <x:c r="A415" s="2" t="str">
        <x:v>D020_T07_C080_G075</x:v>
      </x:c>
      <x:c r="B415" s="2" t="str">
        <x:v>A0010</x:v>
      </x:c>
      <x:c r="C415" s="2" t="str">
        <x:v>inside</x:v>
      </x:c>
      <x:c r="D415" s="2" t="n">
        <x:v>7</x:v>
      </x:c>
      <x:c r="E415" s="2" t="n">
        <x:v>7</x:v>
      </x:c>
      <x:c r="F415" s="2" t="n">
        <x:v>8</x:v>
      </x:c>
      <x:c r="G415" s="2" t="str">
        <x:v>observed_post_release</x:v>
      </x:c>
      <x:c r="H415" s="2" t="n">
        <x:f>IF(AND(ISNUMBER(F415),F415&gt;=D415),1,0)</x:f>
        <x:v>1</x:v>
      </x:c>
      <x:c r="I415" s="2" t="n">
        <x:f>IF(AND(ISNUMBER(F415),F415&gt;D415),1,0)</x:f>
        <x:v>1</x:v>
      </x:c>
      <x:c r="J415" s="2" t="n">
        <x:f>IF(H415=1,F415-D415,"")</x:f>
        <x:v>1</x:v>
      </x:c>
      <x:c r="K415" s="2" t="n">
        <x:f>IF(H415=1,F415-E415,"")</x:f>
        <x:v>1</x:v>
      </x:c>
      <x:c r="L415" s="2" t="n">
        <x:v>3</x:v>
      </x:c>
      <x:c r="M415" s="2" t="n">
        <x:v>8</x:v>
      </x:c>
      <x:c r="N415" s="20" t="n">
        <x:v>0.2</x:v>
      </x:c>
      <x:c r="O415" s="20" t="n">
        <x:v>0.8</x:v>
      </x:c>
      <x:c r="P415" s="20" t="n">
        <x:v>0.75</x:v>
      </x:c>
      <x:c r="Q415" s="2" t="n">
        <x:v>23</x:v>
      </x:c>
      <x:c r="R415" s="2" t="str">
        <x:v>INFP</x:v>
      </x:c>
      <x:c r="S415" s="2" t="str">
        <x:v>华东</x:v>
      </x:c>
      <x:c r="T415" s="2" t="str">
        <x:v>在校学生</x:v>
      </x:c>
    </x:row>
    <x:row r="416" ht="24" customHeight="1">
      <x:c r="A416" s="2" t="str">
        <x:v>D020_T07_C080_G075</x:v>
      </x:c>
      <x:c r="B416" s="2" t="str">
        <x:v>A0011</x:v>
      </x:c>
      <x:c r="C416" s="2" t="str">
        <x:v>inside</x:v>
      </x:c>
      <x:c r="D416" s="2" t="n">
        <x:v>7</x:v>
      </x:c>
      <x:c r="E416" s="2" t="n">
        <x:v>1</x:v>
      </x:c>
      <x:c r="F416" s="2" t="n">
        <x:v>8</x:v>
      </x:c>
      <x:c r="G416" s="2" t="str">
        <x:v>observed_post_release</x:v>
      </x:c>
      <x:c r="H416" s="2" t="n">
        <x:f>IF(AND(ISNUMBER(F416),F416&gt;=D416),1,0)</x:f>
        <x:v>1</x:v>
      </x:c>
      <x:c r="I416" s="2" t="n">
        <x:f>IF(AND(ISNUMBER(F416),F416&gt;D416),1,0)</x:f>
        <x:v>1</x:v>
      </x:c>
      <x:c r="J416" s="2" t="n">
        <x:f>IF(H416=1,F416-D416,"")</x:f>
        <x:v>1</x:v>
      </x:c>
      <x:c r="K416" s="2" t="n">
        <x:f>IF(H416=1,F416-E416,"")</x:f>
        <x:v>7</x:v>
      </x:c>
      <x:c r="L416" s="2" t="n">
        <x:v>9</x:v>
      </x:c>
      <x:c r="M416" s="2" t="n">
        <x:v>8</x:v>
      </x:c>
      <x:c r="N416" s="20" t="n">
        <x:v>0.2</x:v>
      </x:c>
      <x:c r="O416" s="20" t="n">
        <x:v>0.8</x:v>
      </x:c>
      <x:c r="P416" s="20" t="n">
        <x:v>0.75</x:v>
      </x:c>
      <x:c r="Q416" s="2" t="n">
        <x:v>42</x:v>
      </x:c>
      <x:c r="R416" s="2" t="str">
        <x:v>ENFJ</x:v>
      </x:c>
      <x:c r="S416" s="2" t="str">
        <x:v>西南</x:v>
      </x:c>
      <x:c r="T416" s="2" t="str">
        <x:v>行政或办公室岗位</x:v>
      </x:c>
    </x:row>
    <x:row r="417" ht="24" customHeight="1">
      <x:c r="A417" s="2" t="str">
        <x:v>D020_T07_C080_G075</x:v>
      </x:c>
      <x:c r="B417" s="2" t="str">
        <x:v>A0012</x:v>
      </x:c>
      <x:c r="C417" s="2" t="str">
        <x:v>inside</x:v>
      </x:c>
      <x:c r="D417" s="2" t="n">
        <x:v>7</x:v>
      </x:c>
      <x:c r="E417" s="2" t="n">
        <x:v>1</x:v>
      </x:c>
      <x:c r="F417" s="2" t="n">
        <x:v>7</x:v>
      </x:c>
      <x:c r="G417" s="2" t="str">
        <x:v>observed_post_release</x:v>
      </x:c>
      <x:c r="H417" s="2" t="n">
        <x:f>IF(AND(ISNUMBER(F417),F417&gt;=D417),1,0)</x:f>
        <x:v>1</x:v>
      </x:c>
      <x:c r="I417" s="2" t="n">
        <x:f>IF(AND(ISNUMBER(F417),F417&gt;D417),1,0)</x:f>
        <x:v>0</x:v>
      </x:c>
      <x:c r="J417" s="2" t="n">
        <x:f>IF(H417=1,F417-D417,"")</x:f>
        <x:v>0</x:v>
      </x:c>
      <x:c r="K417" s="2" t="n">
        <x:f>IF(H417=1,F417-E417,"")</x:f>
        <x:v>6</x:v>
      </x:c>
      <x:c r="L417" s="2" t="n">
        <x:v>9</x:v>
      </x:c>
      <x:c r="M417" s="2" t="n">
        <x:v>7</x:v>
      </x:c>
      <x:c r="N417" s="20" t="n">
        <x:v>0.2</x:v>
      </x:c>
      <x:c r="O417" s="20" t="n">
        <x:v>0.8</x:v>
      </x:c>
      <x:c r="P417" s="20" t="n">
        <x:v>0.75</x:v>
      </x:c>
      <x:c r="Q417" s="2" t="n">
        <x:v>38</x:v>
      </x:c>
      <x:c r="R417" s="2" t="str">
        <x:v>ESFP</x:v>
      </x:c>
      <x:c r="S417" s="2" t="str">
        <x:v>华中</x:v>
      </x:c>
      <x:c r="T417" s="2" t="str">
        <x:v>行政或办公室岗位</x:v>
      </x:c>
    </x:row>
    <x:row r="418" ht="24" customHeight="1">
      <x:c r="A418" s="2" t="str">
        <x:v>D020_T07_C080_G075</x:v>
      </x:c>
      <x:c r="B418" s="2" t="str">
        <x:v>A0017</x:v>
      </x:c>
      <x:c r="C418" s="2" t="str">
        <x:v>inside</x:v>
      </x:c>
      <x:c r="D418" s="2" t="n">
        <x:v>7</x:v>
      </x:c>
      <x:c r="E418" s="2" t="n">
        <x:v>1</x:v>
      </x:c>
      <x:c r="F418" s="2" t="n">
        <x:v>8</x:v>
      </x:c>
      <x:c r="G418" s="2" t="str">
        <x:v>observed_post_release</x:v>
      </x:c>
      <x:c r="H418" s="2" t="n">
        <x:f>IF(AND(ISNUMBER(F418),F418&gt;=D418),1,0)</x:f>
        <x:v>1</x:v>
      </x:c>
      <x:c r="I418" s="2" t="n">
        <x:f>IF(AND(ISNUMBER(F418),F418&gt;D418),1,0)</x:f>
        <x:v>1</x:v>
      </x:c>
      <x:c r="J418" s="2" t="n">
        <x:f>IF(H418=1,F418-D418,"")</x:f>
        <x:v>1</x:v>
      </x:c>
      <x:c r="K418" s="2" t="n">
        <x:f>IF(H418=1,F418-E418,"")</x:f>
        <x:v>7</x:v>
      </x:c>
      <x:c r="L418" s="2" t="n">
        <x:v>9</x:v>
      </x:c>
      <x:c r="M418" s="2" t="n">
        <x:v>8</x:v>
      </x:c>
      <x:c r="N418" s="20" t="n">
        <x:v>0.2</x:v>
      </x:c>
      <x:c r="O418" s="20" t="n">
        <x:v>0.8</x:v>
      </x:c>
      <x:c r="P418" s="20" t="n">
        <x:v>0.75</x:v>
      </x:c>
      <x:c r="Q418" s="2" t="n">
        <x:v>30</x:v>
      </x:c>
      <x:c r="R418" s="2" t="str">
        <x:v>ISTJ</x:v>
      </x:c>
      <x:c r="S418" s="2" t="str">
        <x:v>华东</x:v>
      </x:c>
      <x:c r="T418" s="2" t="str">
        <x:v>商业服务岗位</x:v>
      </x:c>
    </x:row>
    <x:row r="419" ht="24" customHeight="1">
      <x:c r="A419" s="2" t="str">
        <x:v>D020_T07_C080_G075</x:v>
      </x:c>
      <x:c r="B419" s="2" t="str">
        <x:v>A0018</x:v>
      </x:c>
      <x:c r="C419" s="2" t="str">
        <x:v>inside</x:v>
      </x:c>
      <x:c r="D419" s="2" t="n">
        <x:v>7</x:v>
      </x:c>
      <x:c r="E419" s="2" t="n">
        <x:v>1</x:v>
      </x:c>
      <x:c r="F419" s="2" t="n">
        <x:v>7</x:v>
      </x:c>
      <x:c r="G419" s="2" t="str">
        <x:v>observed_post_release</x:v>
      </x:c>
      <x:c r="H419" s="2" t="n">
        <x:f>IF(AND(ISNUMBER(F419),F419&gt;=D419),1,0)</x:f>
        <x:v>1</x:v>
      </x:c>
      <x:c r="I419" s="2" t="n">
        <x:f>IF(AND(ISNUMBER(F419),F419&gt;D419),1,0)</x:f>
        <x:v>0</x:v>
      </x:c>
      <x:c r="J419" s="2" t="n">
        <x:f>IF(H419=1,F419-D419,"")</x:f>
        <x:v>0</x:v>
      </x:c>
      <x:c r="K419" s="2" t="n">
        <x:f>IF(H419=1,F419-E419,"")</x:f>
        <x:v>6</x:v>
      </x:c>
      <x:c r="L419" s="2" t="n">
        <x:v>9</x:v>
      </x:c>
      <x:c r="M419" s="2" t="n">
        <x:v>7</x:v>
      </x:c>
      <x:c r="N419" s="20" t="n">
        <x:v>0.2</x:v>
      </x:c>
      <x:c r="O419" s="20" t="n">
        <x:v>0.8</x:v>
      </x:c>
      <x:c r="P419" s="20" t="n">
        <x:v>0.75</x:v>
      </x:c>
      <x:c r="Q419" s="2" t="n">
        <x:v>60</x:v>
      </x:c>
      <x:c r="R419" s="2" t="str">
        <x:v>INTJ</x:v>
      </x:c>
      <x:c r="S419" s="2" t="str">
        <x:v>华南</x:v>
      </x:c>
      <x:c r="T419" s="2" t="str">
        <x:v>专业技术岗位</x:v>
      </x:c>
    </x:row>
    <x:row r="420" ht="24" customHeight="1">
      <x:c r="A420" s="2" t="str">
        <x:v>D020_T07_C080_G075</x:v>
      </x:c>
      <x:c r="B420" s="2" t="str">
        <x:v>A0024</x:v>
      </x:c>
      <x:c r="C420" s="2" t="str">
        <x:v>inside</x:v>
      </x:c>
      <x:c r="D420" s="2" t="n">
        <x:v>7</x:v>
      </x:c>
      <x:c r="E420" s="2" t="n">
        <x:v>1</x:v>
      </x:c>
      <x:c r="F420" s="2" t="n">
        <x:v>7</x:v>
      </x:c>
      <x:c r="G420" s="2" t="str">
        <x:v>observed_post_release</x:v>
      </x:c>
      <x:c r="H420" s="2" t="n">
        <x:f>IF(AND(ISNUMBER(F420),F420&gt;=D420),1,0)</x:f>
        <x:v>1</x:v>
      </x:c>
      <x:c r="I420" s="2" t="n">
        <x:f>IF(AND(ISNUMBER(F420),F420&gt;D420),1,0)</x:f>
        <x:v>0</x:v>
      </x:c>
      <x:c r="J420" s="2" t="n">
        <x:f>IF(H420=1,F420-D420,"")</x:f>
        <x:v>0</x:v>
      </x:c>
      <x:c r="K420" s="2" t="n">
        <x:f>IF(H420=1,F420-E420,"")</x:f>
        <x:v>6</x:v>
      </x:c>
      <x:c r="L420" s="2" t="n">
        <x:v>9</x:v>
      </x:c>
      <x:c r="M420" s="2" t="n">
        <x:v>7</x:v>
      </x:c>
      <x:c r="N420" s="20" t="n">
        <x:v>0.2</x:v>
      </x:c>
      <x:c r="O420" s="20" t="n">
        <x:v>0.8</x:v>
      </x:c>
      <x:c r="P420" s="20" t="n">
        <x:v>0.75</x:v>
      </x:c>
      <x:c r="Q420" s="2" t="n">
        <x:v>31</x:v>
      </x:c>
      <x:c r="R420" s="2" t="str">
        <x:v>ESTP</x:v>
      </x:c>
      <x:c r="S420" s="2" t="str">
        <x:v>华北</x:v>
      </x:c>
      <x:c r="T420" s="2" t="str">
        <x:v>商业服务岗位</x:v>
      </x:c>
    </x:row>
    <x:row r="421" ht="24" customHeight="1">
      <x:c r="A421" s="2" t="str">
        <x:v>D020_T07_C080_G075</x:v>
      </x:c>
      <x:c r="B421" s="2" t="str">
        <x:v>A0027</x:v>
      </x:c>
      <x:c r="C421" s="2" t="str">
        <x:v>inside</x:v>
      </x:c>
      <x:c r="D421" s="2" t="n">
        <x:v>7</x:v>
      </x:c>
      <x:c r="E421" s="2" t="n">
        <x:v>1</x:v>
      </x:c>
      <x:c r="F421" s="2" t="n">
        <x:v>9</x:v>
      </x:c>
      <x:c r="G421" s="2" t="str">
        <x:v>observed_post_release</x:v>
      </x:c>
      <x:c r="H421" s="2" t="n">
        <x:f>IF(AND(ISNUMBER(F421),F421&gt;=D421),1,0)</x:f>
        <x:v>1</x:v>
      </x:c>
      <x:c r="I421" s="2" t="n">
        <x:f>IF(AND(ISNUMBER(F421),F421&gt;D421),1,0)</x:f>
        <x:v>1</x:v>
      </x:c>
      <x:c r="J421" s="2" t="n">
        <x:f>IF(H421=1,F421-D421,"")</x:f>
        <x:v>2</x:v>
      </x:c>
      <x:c r="K421" s="2" t="n">
        <x:f>IF(H421=1,F421-E421,"")</x:f>
        <x:v>8</x:v>
      </x:c>
      <x:c r="L421" s="2" t="n">
        <x:v>9</x:v>
      </x:c>
      <x:c r="M421" s="2" t="n">
        <x:v>7</x:v>
      </x:c>
      <x:c r="N421" s="20" t="n">
        <x:v>0.2</x:v>
      </x:c>
      <x:c r="O421" s="20" t="n">
        <x:v>0.8</x:v>
      </x:c>
      <x:c r="P421" s="20" t="n">
        <x:v>0.75</x:v>
      </x:c>
      <x:c r="Q421" s="2" t="n">
        <x:v>25</x:v>
      </x:c>
      <x:c r="R421" s="2" t="str">
        <x:v>ESFP</x:v>
      </x:c>
      <x:c r="S421" s="2" t="str">
        <x:v>西北</x:v>
      </x:c>
      <x:c r="T421" s="2" t="str">
        <x:v>暂未就业或家庭照料</x:v>
      </x:c>
    </x:row>
    <x:row r="422" ht="24" customHeight="1">
      <x:c r="A422" s="2" t="str">
        <x:v>D020_T07_C080_G075</x:v>
      </x:c>
      <x:c r="B422" s="2" t="str">
        <x:v>A0032</x:v>
      </x:c>
      <x:c r="C422" s="2" t="str">
        <x:v>inside</x:v>
      </x:c>
      <x:c r="D422" s="2" t="n">
        <x:v>7</x:v>
      </x:c>
      <x:c r="E422" s="2" t="n">
        <x:v>1</x:v>
      </x:c>
      <x:c r="F422" s="2" t="n">
        <x:v>9</x:v>
      </x:c>
      <x:c r="G422" s="2" t="str">
        <x:v>observed_post_release</x:v>
      </x:c>
      <x:c r="H422" s="2" t="n">
        <x:f>IF(AND(ISNUMBER(F422),F422&gt;=D422),1,0)</x:f>
        <x:v>1</x:v>
      </x:c>
      <x:c r="I422" s="2" t="n">
        <x:f>IF(AND(ISNUMBER(F422),F422&gt;D422),1,0)</x:f>
        <x:v>1</x:v>
      </x:c>
      <x:c r="J422" s="2" t="n">
        <x:f>IF(H422=1,F422-D422,"")</x:f>
        <x:v>2</x:v>
      </x:c>
      <x:c r="K422" s="2" t="n">
        <x:f>IF(H422=1,F422-E422,"")</x:f>
        <x:v>8</x:v>
      </x:c>
      <x:c r="L422" s="2" t="n">
        <x:v>9</x:v>
      </x:c>
      <x:c r="M422" s="2" t="n">
        <x:v>7</x:v>
      </x:c>
      <x:c r="N422" s="20" t="n">
        <x:v>0.2</x:v>
      </x:c>
      <x:c r="O422" s="20" t="n">
        <x:v>0.8</x:v>
      </x:c>
      <x:c r="P422" s="20" t="n">
        <x:v>0.75</x:v>
      </x:c>
      <x:c r="Q422" s="2" t="n">
        <x:v>53</x:v>
      </x:c>
      <x:c r="R422" s="2" t="str">
        <x:v>INTP</x:v>
      </x:c>
      <x:c r="S422" s="2" t="str">
        <x:v>华北</x:v>
      </x:c>
      <x:c r="T422" s="2" t="str">
        <x:v>个体经营或自由职业</x:v>
      </x:c>
    </x:row>
    <x:row r="423" ht="24" customHeight="1">
      <x:c r="A423" s="2" t="str">
        <x:v>D020_T07_C080_G075</x:v>
      </x:c>
      <x:c r="B423" s="2" t="str">
        <x:v>A0033</x:v>
      </x:c>
      <x:c r="C423" s="2" t="str">
        <x:v>inside</x:v>
      </x:c>
      <x:c r="D423" s="2" t="n">
        <x:v>7</x:v>
      </x:c>
      <x:c r="E423" s="2" t="n">
        <x:v>1</x:v>
      </x:c>
      <x:c r="F423" s="2" t="n">
        <x:v>7</x:v>
      </x:c>
      <x:c r="G423" s="2" t="str">
        <x:v>observed_post_release</x:v>
      </x:c>
      <x:c r="H423" s="2" t="n">
        <x:f>IF(AND(ISNUMBER(F423),F423&gt;=D423),1,0)</x:f>
        <x:v>1</x:v>
      </x:c>
      <x:c r="I423" s="2" t="n">
        <x:f>IF(AND(ISNUMBER(F423),F423&gt;D423),1,0)</x:f>
        <x:v>0</x:v>
      </x:c>
      <x:c r="J423" s="2" t="n">
        <x:f>IF(H423=1,F423-D423,"")</x:f>
        <x:v>0</x:v>
      </x:c>
      <x:c r="K423" s="2" t="n">
        <x:f>IF(H423=1,F423-E423,"")</x:f>
        <x:v>6</x:v>
      </x:c>
      <x:c r="L423" s="2" t="n">
        <x:v>9</x:v>
      </x:c>
      <x:c r="M423" s="2" t="n">
        <x:v>7</x:v>
      </x:c>
      <x:c r="N423" s="20" t="n">
        <x:v>0.2</x:v>
      </x:c>
      <x:c r="O423" s="20" t="n">
        <x:v>0.8</x:v>
      </x:c>
      <x:c r="P423" s="20" t="n">
        <x:v>0.75</x:v>
      </x:c>
      <x:c r="Q423" s="2" t="n">
        <x:v>55</x:v>
      </x:c>
      <x:c r="R423" s="2" t="str">
        <x:v>ENFP</x:v>
      </x:c>
      <x:c r="S423" s="2" t="str">
        <x:v>华南</x:v>
      </x:c>
      <x:c r="T423" s="2" t="str">
        <x:v>个体经营或自由职业</x:v>
      </x:c>
    </x:row>
    <x:row r="424" ht="24" customHeight="1">
      <x:c r="A424" s="2" t="str">
        <x:v>D020_T07_C080_G075</x:v>
      </x:c>
      <x:c r="B424" s="2" t="str">
        <x:v>A0035</x:v>
      </x:c>
      <x:c r="C424" s="2" t="str">
        <x:v>inside</x:v>
      </x:c>
      <x:c r="D424" s="2" t="n">
        <x:v>7</x:v>
      </x:c>
      <x:c r="E424" s="2" t="n">
        <x:v>1</x:v>
      </x:c>
      <x:c r="F424" s="2" t="n">
        <x:v>7</x:v>
      </x:c>
      <x:c r="G424" s="2" t="str">
        <x:v>observed_post_release</x:v>
      </x:c>
      <x:c r="H424" s="2" t="n">
        <x:f>IF(AND(ISNUMBER(F424),F424&gt;=D424),1,0)</x:f>
        <x:v>1</x:v>
      </x:c>
      <x:c r="I424" s="2" t="n">
        <x:f>IF(AND(ISNUMBER(F424),F424&gt;D424),1,0)</x:f>
        <x:v>0</x:v>
      </x:c>
      <x:c r="J424" s="2" t="n">
        <x:f>IF(H424=1,F424-D424,"")</x:f>
        <x:v>0</x:v>
      </x:c>
      <x:c r="K424" s="2" t="n">
        <x:f>IF(H424=1,F424-E424,"")</x:f>
        <x:v>6</x:v>
      </x:c>
      <x:c r="L424" s="2" t="n">
        <x:v>9</x:v>
      </x:c>
      <x:c r="M424" s="2" t="n">
        <x:v>7</x:v>
      </x:c>
      <x:c r="N424" s="20" t="n">
        <x:v>0.2</x:v>
      </x:c>
      <x:c r="O424" s="20" t="n">
        <x:v>0.8</x:v>
      </x:c>
      <x:c r="P424" s="20" t="n">
        <x:v>0.75</x:v>
      </x:c>
      <x:c r="Q424" s="2" t="n">
        <x:v>42</x:v>
      </x:c>
      <x:c r="R424" s="2" t="str">
        <x:v>ISFJ</x:v>
      </x:c>
      <x:c r="S424" s="2" t="str">
        <x:v>华南</x:v>
      </x:c>
      <x:c r="T424" s="2" t="str">
        <x:v>专业技术岗位</x:v>
      </x:c>
    </x:row>
    <x:row r="425" ht="24" customHeight="1">
      <x:c r="A425" s="2" t="str">
        <x:v>D020_T07_C080_G075</x:v>
      </x:c>
      <x:c r="B425" s="2" t="str">
        <x:v>A0036</x:v>
      </x:c>
      <x:c r="C425" s="2" t="str">
        <x:v>inside</x:v>
      </x:c>
      <x:c r="D425" s="2" t="n">
        <x:v>7</x:v>
      </x:c>
      <x:c r="E425" s="2" t="n">
        <x:v>1</x:v>
      </x:c>
      <x:c r="F425" s="2" t="n">
        <x:v>7</x:v>
      </x:c>
      <x:c r="G425" s="2" t="str">
        <x:v>observed_post_release</x:v>
      </x:c>
      <x:c r="H425" s="2" t="n">
        <x:f>IF(AND(ISNUMBER(F425),F425&gt;=D425),1,0)</x:f>
        <x:v>1</x:v>
      </x:c>
      <x:c r="I425" s="2" t="n">
        <x:f>IF(AND(ISNUMBER(F425),F425&gt;D425),1,0)</x:f>
        <x:v>0</x:v>
      </x:c>
      <x:c r="J425" s="2" t="n">
        <x:f>IF(H425=1,F425-D425,"")</x:f>
        <x:v>0</x:v>
      </x:c>
      <x:c r="K425" s="2" t="n">
        <x:f>IF(H425=1,F425-E425,"")</x:f>
        <x:v>6</x:v>
      </x:c>
      <x:c r="L425" s="2" t="n">
        <x:v>9</x:v>
      </x:c>
      <x:c r="M425" s="2" t="n">
        <x:v>7</x:v>
      </x:c>
      <x:c r="N425" s="20" t="n">
        <x:v>0.2</x:v>
      </x:c>
      <x:c r="O425" s="20" t="n">
        <x:v>0.8</x:v>
      </x:c>
      <x:c r="P425" s="20" t="n">
        <x:v>0.75</x:v>
      </x:c>
      <x:c r="Q425" s="2" t="n">
        <x:v>43</x:v>
      </x:c>
      <x:c r="R425" s="2" t="str">
        <x:v>ISFJ</x:v>
      </x:c>
      <x:c r="S425" s="2" t="str">
        <x:v>华东</x:v>
      </x:c>
      <x:c r="T425" s="2" t="str">
        <x:v>生产运输或体力岗位</x:v>
      </x:c>
    </x:row>
    <x:row r="426" ht="24" customHeight="1">
      <x:c r="A426" s="2" t="str">
        <x:v>D020_T07_C080_G075</x:v>
      </x:c>
      <x:c r="B426" s="2" t="str">
        <x:v>A0040</x:v>
      </x:c>
      <x:c r="C426" s="2" t="str">
        <x:v>inside</x:v>
      </x:c>
      <x:c r="D426" s="2" t="n">
        <x:v>7</x:v>
      </x:c>
      <x:c r="E426" s="2" t="n">
        <x:v>1</x:v>
      </x:c>
      <x:c r="F426" s="2" t="n">
        <x:v>7</x:v>
      </x:c>
      <x:c r="G426" s="2" t="str">
        <x:v>observed_post_release</x:v>
      </x:c>
      <x:c r="H426" s="2" t="n">
        <x:f>IF(AND(ISNUMBER(F426),F426&gt;=D426),1,0)</x:f>
        <x:v>1</x:v>
      </x:c>
      <x:c r="I426" s="2" t="n">
        <x:f>IF(AND(ISNUMBER(F426),F426&gt;D426),1,0)</x:f>
        <x:v>0</x:v>
      </x:c>
      <x:c r="J426" s="2" t="n">
        <x:f>IF(H426=1,F426-D426,"")</x:f>
        <x:v>0</x:v>
      </x:c>
      <x:c r="K426" s="2" t="n">
        <x:f>IF(H426=1,F426-E426,"")</x:f>
        <x:v>6</x:v>
      </x:c>
      <x:c r="L426" s="2" t="n">
        <x:v>9</x:v>
      </x:c>
      <x:c r="M426" s="2" t="n">
        <x:v>7</x:v>
      </x:c>
      <x:c r="N426" s="20" t="n">
        <x:v>0.2</x:v>
      </x:c>
      <x:c r="O426" s="20" t="n">
        <x:v>0.8</x:v>
      </x:c>
      <x:c r="P426" s="20" t="n">
        <x:v>0.75</x:v>
      </x:c>
      <x:c r="Q426" s="2" t="n">
        <x:v>48</x:v>
      </x:c>
      <x:c r="R426" s="2" t="str">
        <x:v>INFP</x:v>
      </x:c>
      <x:c r="S426" s="2" t="str">
        <x:v>西北</x:v>
      </x:c>
      <x:c r="T426" s="2" t="str">
        <x:v>个体经营或自由职业</x:v>
      </x:c>
    </x:row>
    <x:row r="427" ht="24" customHeight="1">
      <x:c r="A427" s="2" t="str">
        <x:v>D020_T07_C080_G075</x:v>
      </x:c>
      <x:c r="B427" s="2" t="str">
        <x:v>A0041</x:v>
      </x:c>
      <x:c r="C427" s="2" t="str">
        <x:v>inside</x:v>
      </x:c>
      <x:c r="D427" s="2" t="n">
        <x:v>7</x:v>
      </x:c>
      <x:c r="E427" s="2" t="n">
        <x:v>1</x:v>
      </x:c>
      <x:c r="F427" s="2" t="n">
        <x:v>7</x:v>
      </x:c>
      <x:c r="G427" s="2" t="str">
        <x:v>observed_post_release</x:v>
      </x:c>
      <x:c r="H427" s="2" t="n">
        <x:f>IF(AND(ISNUMBER(F427),F427&gt;=D427),1,0)</x:f>
        <x:v>1</x:v>
      </x:c>
      <x:c r="I427" s="2" t="n">
        <x:f>IF(AND(ISNUMBER(F427),F427&gt;D427),1,0)</x:f>
        <x:v>0</x:v>
      </x:c>
      <x:c r="J427" s="2" t="n">
        <x:f>IF(H427=1,F427-D427,"")</x:f>
        <x:v>0</x:v>
      </x:c>
      <x:c r="K427" s="2" t="n">
        <x:f>IF(H427=1,F427-E427,"")</x:f>
        <x:v>6</x:v>
      </x:c>
      <x:c r="L427" s="2" t="n">
        <x:v>9</x:v>
      </x:c>
      <x:c r="M427" s="2" t="n">
        <x:v>7</x:v>
      </x:c>
      <x:c r="N427" s="20" t="n">
        <x:v>0.2</x:v>
      </x:c>
      <x:c r="O427" s="20" t="n">
        <x:v>0.8</x:v>
      </x:c>
      <x:c r="P427" s="20" t="n">
        <x:v>0.75</x:v>
      </x:c>
      <x:c r="Q427" s="2" t="n">
        <x:v>62</x:v>
      </x:c>
      <x:c r="R427" s="2" t="str">
        <x:v>ISFJ</x:v>
      </x:c>
      <x:c r="S427" s="2" t="str">
        <x:v>西北</x:v>
      </x:c>
      <x:c r="T427" s="2" t="str">
        <x:v>个体经营或自由职业</x:v>
      </x:c>
    </x:row>
    <x:row r="428" ht="24" customHeight="1">
      <x:c r="A428" s="2" t="str">
        <x:v>D020_T07_C080_G075</x:v>
      </x:c>
      <x:c r="B428" s="2" t="str">
        <x:v>A0042</x:v>
      </x:c>
      <x:c r="C428" s="2" t="str">
        <x:v>inside</x:v>
      </x:c>
      <x:c r="D428" s="2" t="n">
        <x:v>7</x:v>
      </x:c>
      <x:c r="E428" s="2" t="n">
        <x:v>5</x:v>
      </x:c>
      <x:c r="F428" s="2" t="n">
        <x:v>7</x:v>
      </x:c>
      <x:c r="G428" s="2" t="str">
        <x:v>observed_post_release</x:v>
      </x:c>
      <x:c r="H428" s="2" t="n">
        <x:f>IF(AND(ISNUMBER(F428),F428&gt;=D428),1,0)</x:f>
        <x:v>1</x:v>
      </x:c>
      <x:c r="I428" s="2" t="n">
        <x:f>IF(AND(ISNUMBER(F428),F428&gt;D428),1,0)</x:f>
        <x:v>0</x:v>
      </x:c>
      <x:c r="J428" s="2" t="n">
        <x:f>IF(H428=1,F428-D428,"")</x:f>
        <x:v>0</x:v>
      </x:c>
      <x:c r="K428" s="2" t="n">
        <x:f>IF(H428=1,F428-E428,"")</x:f>
        <x:v>2</x:v>
      </x:c>
      <x:c r="L428" s="2" t="n">
        <x:v>5</x:v>
      </x:c>
      <x:c r="M428" s="2" t="n">
        <x:v>7</x:v>
      </x:c>
      <x:c r="N428" s="20" t="n">
        <x:v>0.2</x:v>
      </x:c>
      <x:c r="O428" s="20" t="n">
        <x:v>0.8</x:v>
      </x:c>
      <x:c r="P428" s="20" t="n">
        <x:v>0.75</x:v>
      </x:c>
      <x:c r="Q428" s="2" t="n">
        <x:v>31</x:v>
      </x:c>
      <x:c r="R428" s="2" t="str">
        <x:v>INTJ</x:v>
      </x:c>
      <x:c r="S428" s="2" t="str">
        <x:v>华东</x:v>
      </x:c>
      <x:c r="T428" s="2" t="str">
        <x:v>生产运输或体力岗位</x:v>
      </x:c>
    </x:row>
    <x:row r="429" ht="24" customHeight="1">
      <x:c r="A429" s="2" t="str">
        <x:v>D020_T07_C080_G075</x:v>
      </x:c>
      <x:c r="B429" s="2" t="str">
        <x:v>A0071</x:v>
      </x:c>
      <x:c r="C429" s="2" t="str">
        <x:v>inside</x:v>
      </x:c>
      <x:c r="D429" s="2" t="n">
        <x:v>7</x:v>
      </x:c>
      <x:c r="E429" s="2" t="n">
        <x:v>1</x:v>
      </x:c>
      <x:c r="F429" s="2" t="n">
        <x:v>7</x:v>
      </x:c>
      <x:c r="G429" s="2" t="str">
        <x:v>observed_post_release</x:v>
      </x:c>
      <x:c r="H429" s="2" t="n">
        <x:f>IF(AND(ISNUMBER(F429),F429&gt;=D429),1,0)</x:f>
        <x:v>1</x:v>
      </x:c>
      <x:c r="I429" s="2" t="n">
        <x:f>IF(AND(ISNUMBER(F429),F429&gt;D429),1,0)</x:f>
        <x:v>0</x:v>
      </x:c>
      <x:c r="J429" s="2" t="n">
        <x:f>IF(H429=1,F429-D429,"")</x:f>
        <x:v>0</x:v>
      </x:c>
      <x:c r="K429" s="2" t="n">
        <x:f>IF(H429=1,F429-E429,"")</x:f>
        <x:v>6</x:v>
      </x:c>
      <x:c r="L429" s="2" t="n">
        <x:v>9</x:v>
      </x:c>
      <x:c r="M429" s="2" t="n">
        <x:v>7</x:v>
      </x:c>
      <x:c r="N429" s="20" t="n">
        <x:v>0.2</x:v>
      </x:c>
      <x:c r="O429" s="20" t="n">
        <x:v>0.8</x:v>
      </x:c>
      <x:c r="P429" s="20" t="n">
        <x:v>0.75</x:v>
      </x:c>
      <x:c r="Q429" s="2" t="n">
        <x:v>33</x:v>
      </x:c>
      <x:c r="R429" s="2" t="str">
        <x:v>ISTJ</x:v>
      </x:c>
      <x:c r="S429" s="2" t="str">
        <x:v>华东</x:v>
      </x:c>
      <x:c r="T429" s="2" t="str">
        <x:v>商业服务岗位</x:v>
      </x:c>
    </x:row>
    <x:row r="430" ht="24" customHeight="1">
      <x:c r="A430" s="2" t="str">
        <x:v>D020_T07_C080_G075</x:v>
      </x:c>
      <x:c r="B430" s="2" t="str">
        <x:v>A0090</x:v>
      </x:c>
      <x:c r="C430" s="2" t="str">
        <x:v>inside</x:v>
      </x:c>
      <x:c r="D430" s="2" t="n">
        <x:v>7</x:v>
      </x:c>
      <x:c r="E430" s="2" t="n">
        <x:v>7</x:v>
      </x:c>
      <x:c r="F430" s="2" t="n">
        <x:v>8</x:v>
      </x:c>
      <x:c r="G430" s="2" t="str">
        <x:v>observed_post_release</x:v>
      </x:c>
      <x:c r="H430" s="2" t="n">
        <x:f>IF(AND(ISNUMBER(F430),F430&gt;=D430),1,0)</x:f>
        <x:v>1</x:v>
      </x:c>
      <x:c r="I430" s="2" t="n">
        <x:f>IF(AND(ISNUMBER(F430),F430&gt;D430),1,0)</x:f>
        <x:v>1</x:v>
      </x:c>
      <x:c r="J430" s="2" t="n">
        <x:f>IF(H430=1,F430-D430,"")</x:f>
        <x:v>1</x:v>
      </x:c>
      <x:c r="K430" s="2" t="n">
        <x:f>IF(H430=1,F430-E430,"")</x:f>
        <x:v>1</x:v>
      </x:c>
      <x:c r="L430" s="2" t="n">
        <x:v>3</x:v>
      </x:c>
      <x:c r="M430" s="2" t="n">
        <x:v>8</x:v>
      </x:c>
      <x:c r="N430" s="20" t="n">
        <x:v>0.2</x:v>
      </x:c>
      <x:c r="O430" s="20" t="n">
        <x:v>0.8</x:v>
      </x:c>
      <x:c r="P430" s="20" t="n">
        <x:v>0.75</x:v>
      </x:c>
      <x:c r="Q430" s="2" t="n">
        <x:v>46</x:v>
      </x:c>
      <x:c r="R430" s="2" t="str">
        <x:v>ENFJ</x:v>
      </x:c>
      <x:c r="S430" s="2" t="str">
        <x:v>西北</x:v>
      </x:c>
      <x:c r="T430" s="2" t="str">
        <x:v>个体经营或自由职业</x:v>
      </x:c>
    </x:row>
    <x:row r="431" ht="24" customHeight="1">
      <x:c r="A431" s="2" t="str">
        <x:v>D020_T07_C080_G075</x:v>
      </x:c>
      <x:c r="B431" s="2" t="str">
        <x:v>A0189</x:v>
      </x:c>
      <x:c r="C431" s="2" t="str">
        <x:v>inside</x:v>
      </x:c>
      <x:c r="D431" s="2" t="n">
        <x:v>7</x:v>
      </x:c>
      <x:c r="E431" s="2" t="n">
        <x:v>1</x:v>
      </x:c>
      <x:c r="F431" s="2" t="n">
        <x:v>10</x:v>
      </x:c>
      <x:c r="G431" s="2" t="str">
        <x:v>observed_post_release</x:v>
      </x:c>
      <x:c r="H431" s="2" t="n">
        <x:f>IF(AND(ISNUMBER(F431),F431&gt;=D431),1,0)</x:f>
        <x:v>1</x:v>
      </x:c>
      <x:c r="I431" s="2" t="n">
        <x:f>IF(AND(ISNUMBER(F431),F431&gt;D431),1,0)</x:f>
        <x:v>1</x:v>
      </x:c>
      <x:c r="J431" s="2" t="n">
        <x:f>IF(H431=1,F431-D431,"")</x:f>
        <x:v>3</x:v>
      </x:c>
      <x:c r="K431" s="2" t="n">
        <x:f>IF(H431=1,F431-E431,"")</x:f>
        <x:v>9</x:v>
      </x:c>
      <x:c r="L431" s="2" t="n">
        <x:v>9</x:v>
      </x:c>
      <x:c r="M431" s="2" t="n">
        <x:v>9</x:v>
      </x:c>
      <x:c r="N431" s="20" t="n">
        <x:v>0.2</x:v>
      </x:c>
      <x:c r="O431" s="20" t="n">
        <x:v>0.8</x:v>
      </x:c>
      <x:c r="P431" s="20" t="n">
        <x:v>0.75</x:v>
      </x:c>
      <x:c r="Q431" s="2" t="n">
        <x:v>45</x:v>
      </x:c>
      <x:c r="R431" s="2" t="str">
        <x:v>ISFJ</x:v>
      </x:c>
      <x:c r="S431" s="2" t="str">
        <x:v>西北</x:v>
      </x:c>
      <x:c r="T431" s="2" t="str">
        <x:v>生产运输或体力岗位</x:v>
      </x:c>
    </x:row>
    <x:row r="432" ht="24" customHeight="1">
      <x:c r="A432" s="2" t="str">
        <x:v>D040_T02_C020_G025</x:v>
      </x:c>
      <x:c r="B432" s="2" t="str">
        <x:v>A0005</x:v>
      </x:c>
      <x:c r="C432" s="2" t="str">
        <x:v>inside</x:v>
      </x:c>
      <x:c r="D432" s="2" t="n">
        <x:v>2</x:v>
      </x:c>
      <x:c r="E432" s="2" t="n">
        <x:v>1</x:v>
      </x:c>
      <x:c r="F432" s="2" t="n">
        <x:v>5</x:v>
      </x:c>
      <x:c r="G432" s="2" t="str">
        <x:v>observed_post_release</x:v>
      </x:c>
      <x:c r="H432" s="2" t="n">
        <x:f>IF(AND(ISNUMBER(F432),F432&gt;=D432),1,0)</x:f>
        <x:v>1</x:v>
      </x:c>
      <x:c r="I432" s="2" t="n">
        <x:f>IF(AND(ISNUMBER(F432),F432&gt;D432),1,0)</x:f>
        <x:v>1</x:v>
      </x:c>
      <x:c r="J432" s="2" t="n">
        <x:f>IF(H432=1,F432-D432,"")</x:f>
        <x:v>3</x:v>
      </x:c>
      <x:c r="K432" s="2" t="n">
        <x:f>IF(H432=1,F432-E432,"")</x:f>
        <x:v>4</x:v>
      </x:c>
      <x:c r="L432" s="2" t="n">
        <x:v>9</x:v>
      </x:c>
      <x:c r="M432" s="2" t="n">
        <x:v>4</x:v>
      </x:c>
      <x:c r="N432" s="20" t="n">
        <x:v>0.4</x:v>
      </x:c>
      <x:c r="O432" s="20" t="n">
        <x:v>0.2</x:v>
      </x:c>
      <x:c r="P432" s="20" t="n">
        <x:v>0.25</x:v>
      </x:c>
      <x:c r="Q432" s="2" t="n">
        <x:v>51</x:v>
      </x:c>
      <x:c r="R432" s="2" t="str">
        <x:v>ISTP</x:v>
      </x:c>
      <x:c r="S432" s="2" t="str">
        <x:v>华南</x:v>
      </x:c>
      <x:c r="T432" s="2" t="str">
        <x:v>生产运输或体力岗位</x:v>
      </x:c>
    </x:row>
    <x:row r="433" ht="24" customHeight="1">
      <x:c r="A433" s="2" t="str">
        <x:v>D040_T02_C020_G025</x:v>
      </x:c>
      <x:c r="B433" s="2" t="str">
        <x:v>A0008</x:v>
      </x:c>
      <x:c r="C433" s="2" t="str">
        <x:v>inside</x:v>
      </x:c>
      <x:c r="D433" s="2" t="n">
        <x:v>2</x:v>
      </x:c>
      <x:c r="E433" s="2" t="n">
        <x:v>1</x:v>
      </x:c>
      <x:c r="F433" s="2" t="n">
        <x:v>4</x:v>
      </x:c>
      <x:c r="G433" s="2" t="str">
        <x:v>observed_post_release</x:v>
      </x:c>
      <x:c r="H433" s="2" t="n">
        <x:f>IF(AND(ISNUMBER(F433),F433&gt;=D433),1,0)</x:f>
        <x:v>1</x:v>
      </x:c>
      <x:c r="I433" s="2" t="n">
        <x:f>IF(AND(ISNUMBER(F433),F433&gt;D433),1,0)</x:f>
        <x:v>1</x:v>
      </x:c>
      <x:c r="J433" s="2" t="n">
        <x:f>IF(H433=1,F433-D433,"")</x:f>
        <x:v>2</x:v>
      </x:c>
      <x:c r="K433" s="2" t="n">
        <x:f>IF(H433=1,F433-E433,"")</x:f>
        <x:v>3</x:v>
      </x:c>
      <x:c r="L433" s="2" t="n">
        <x:v>9</x:v>
      </x:c>
      <x:c r="M433" s="2" t="n">
        <x:v>4</x:v>
      </x:c>
      <x:c r="N433" s="20" t="n">
        <x:v>0.4</x:v>
      </x:c>
      <x:c r="O433" s="20" t="n">
        <x:v>0.2</x:v>
      </x:c>
      <x:c r="P433" s="20" t="n">
        <x:v>0.25</x:v>
      </x:c>
      <x:c r="Q433" s="2" t="n">
        <x:v>36</x:v>
      </x:c>
      <x:c r="R433" s="2" t="str">
        <x:v>ISFP</x:v>
      </x:c>
      <x:c r="S433" s="2" t="str">
        <x:v>华南</x:v>
      </x:c>
      <x:c r="T433" s="2" t="str">
        <x:v>生产运输或体力岗位</x:v>
      </x:c>
    </x:row>
    <x:row r="434" ht="24" customHeight="1">
      <x:c r="A434" s="2" t="str">
        <x:v>D040_T02_C020_G025</x:v>
      </x:c>
      <x:c r="B434" s="2" t="str">
        <x:v>A0010</x:v>
      </x:c>
      <x:c r="C434" s="2" t="str">
        <x:v>inside</x:v>
      </x:c>
      <x:c r="D434" s="2" t="n">
        <x:v>2</x:v>
      </x:c>
      <x:c r="E434" s="2" t="n">
        <x:v>1</x:v>
      </x:c>
      <x:c r="F434" s="2" t="n">
        <x:v>4</x:v>
      </x:c>
      <x:c r="G434" s="2" t="str">
        <x:v>observed_post_release</x:v>
      </x:c>
      <x:c r="H434" s="2" t="n">
        <x:f>IF(AND(ISNUMBER(F434),F434&gt;=D434),1,0)</x:f>
        <x:v>1</x:v>
      </x:c>
      <x:c r="I434" s="2" t="n">
        <x:f>IF(AND(ISNUMBER(F434),F434&gt;D434),1,0)</x:f>
        <x:v>1</x:v>
      </x:c>
      <x:c r="J434" s="2" t="n">
        <x:f>IF(H434=1,F434-D434,"")</x:f>
        <x:v>2</x:v>
      </x:c>
      <x:c r="K434" s="2" t="n">
        <x:f>IF(H434=1,F434-E434,"")</x:f>
        <x:v>3</x:v>
      </x:c>
      <x:c r="L434" s="2" t="n">
        <x:v>9</x:v>
      </x:c>
      <x:c r="M434" s="2" t="n">
        <x:v>4</x:v>
      </x:c>
      <x:c r="N434" s="20" t="n">
        <x:v>0.4</x:v>
      </x:c>
      <x:c r="O434" s="20" t="n">
        <x:v>0.2</x:v>
      </x:c>
      <x:c r="P434" s="20" t="n">
        <x:v>0.25</x:v>
      </x:c>
      <x:c r="Q434" s="2" t="n">
        <x:v>23</x:v>
      </x:c>
      <x:c r="R434" s="2" t="str">
        <x:v>INFP</x:v>
      </x:c>
      <x:c r="S434" s="2" t="str">
        <x:v>华东</x:v>
      </x:c>
      <x:c r="T434" s="2" t="str">
        <x:v>在校学生</x:v>
      </x:c>
    </x:row>
    <x:row r="435" ht="24" customHeight="1">
      <x:c r="A435" s="2" t="str">
        <x:v>D040_T02_C020_G025</x:v>
      </x:c>
      <x:c r="B435" s="2" t="str">
        <x:v>A0011</x:v>
      </x:c>
      <x:c r="C435" s="2" t="str">
        <x:v>inside</x:v>
      </x:c>
      <x:c r="D435" s="2" t="n">
        <x:v>2</x:v>
      </x:c>
      <x:c r="E435" s="2" t="n">
        <x:v>1</x:v>
      </x:c>
      <x:c r="F435" s="2" t="n">
        <x:v>4</x:v>
      </x:c>
      <x:c r="G435" s="2" t="str">
        <x:v>observed_post_release</x:v>
      </x:c>
      <x:c r="H435" s="2" t="n">
        <x:f>IF(AND(ISNUMBER(F435),F435&gt;=D435),1,0)</x:f>
        <x:v>1</x:v>
      </x:c>
      <x:c r="I435" s="2" t="n">
        <x:f>IF(AND(ISNUMBER(F435),F435&gt;D435),1,0)</x:f>
        <x:v>1</x:v>
      </x:c>
      <x:c r="J435" s="2" t="n">
        <x:f>IF(H435=1,F435-D435,"")</x:f>
        <x:v>2</x:v>
      </x:c>
      <x:c r="K435" s="2" t="n">
        <x:f>IF(H435=1,F435-E435,"")</x:f>
        <x:v>3</x:v>
      </x:c>
      <x:c r="L435" s="2" t="n">
        <x:v>9</x:v>
      </x:c>
      <x:c r="M435" s="2" t="n">
        <x:v>2</x:v>
      </x:c>
      <x:c r="N435" s="20" t="n">
        <x:v>0.4</x:v>
      </x:c>
      <x:c r="O435" s="20" t="n">
        <x:v>0.2</x:v>
      </x:c>
      <x:c r="P435" s="20" t="n">
        <x:v>0.25</x:v>
      </x:c>
      <x:c r="Q435" s="2" t="n">
        <x:v>42</x:v>
      </x:c>
      <x:c r="R435" s="2" t="str">
        <x:v>ENFJ</x:v>
      </x:c>
      <x:c r="S435" s="2" t="str">
        <x:v>西南</x:v>
      </x:c>
      <x:c r="T435" s="2" t="str">
        <x:v>行政或办公室岗位</x:v>
      </x:c>
    </x:row>
    <x:row r="436" ht="24" customHeight="1">
      <x:c r="A436" s="2" t="str">
        <x:v>D040_T02_C020_G025</x:v>
      </x:c>
      <x:c r="B436" s="2" t="str">
        <x:v>A0012</x:v>
      </x:c>
      <x:c r="C436" s="2" t="str">
        <x:v>inside</x:v>
      </x:c>
      <x:c r="D436" s="2" t="n">
        <x:v>2</x:v>
      </x:c>
      <x:c r="E436" s="2" t="n">
        <x:v>1</x:v>
      </x:c>
      <x:c r="F436" s="2"/>
      <x:c r="G436" s="2" t="str">
        <x:v>right_censored</x:v>
      </x:c>
      <x:c r="H436" s="2" t="n">
        <x:f>IF(AND(ISNUMBER(F436),F436&gt;=D436),1,0)</x:f>
        <x:v>0</x:v>
      </x:c>
      <x:c r="I436" s="2" t="n">
        <x:f>IF(AND(ISNUMBER(F436),F436&gt;D436),1,0)</x:f>
        <x:v>0</x:v>
      </x:c>
      <x:c r="J436" s="2" t="str">
        <x:f>IF(H436=1,F436-D436,"")</x:f>
      </x:c>
      <x:c r="K436" s="2" t="str">
        <x:f>IF(H436=1,F436-E436,"")</x:f>
      </x:c>
      <x:c r="L436" s="2" t="n">
        <x:v>9</x:v>
      </x:c>
      <x:c r="M436" s="2" t="n">
        <x:v>3</x:v>
      </x:c>
      <x:c r="N436" s="20" t="n">
        <x:v>0.4</x:v>
      </x:c>
      <x:c r="O436" s="20" t="n">
        <x:v>0.2</x:v>
      </x:c>
      <x:c r="P436" s="20" t="n">
        <x:v>0.25</x:v>
      </x:c>
      <x:c r="Q436" s="2" t="n">
        <x:v>38</x:v>
      </x:c>
      <x:c r="R436" s="2" t="str">
        <x:v>ESFP</x:v>
      </x:c>
      <x:c r="S436" s="2" t="str">
        <x:v>华中</x:v>
      </x:c>
      <x:c r="T436" s="2" t="str">
        <x:v>行政或办公室岗位</x:v>
      </x:c>
    </x:row>
    <x:row r="437" ht="24" customHeight="1">
      <x:c r="A437" s="2" t="str">
        <x:v>D040_T02_C020_G025</x:v>
      </x:c>
      <x:c r="B437" s="2" t="str">
        <x:v>A0013</x:v>
      </x:c>
      <x:c r="C437" s="2" t="str">
        <x:v>inside</x:v>
      </x:c>
      <x:c r="D437" s="2" t="n">
        <x:v>2</x:v>
      </x:c>
      <x:c r="E437" s="2" t="n">
        <x:v>1</x:v>
      </x:c>
      <x:c r="F437" s="2" t="n">
        <x:v>9</x:v>
      </x:c>
      <x:c r="G437" s="2" t="str">
        <x:v>observed_post_release</x:v>
      </x:c>
      <x:c r="H437" s="2" t="n">
        <x:f>IF(AND(ISNUMBER(F437),F437&gt;=D437),1,0)</x:f>
        <x:v>1</x:v>
      </x:c>
      <x:c r="I437" s="2" t="n">
        <x:f>IF(AND(ISNUMBER(F437),F437&gt;D437),1,0)</x:f>
        <x:v>1</x:v>
      </x:c>
      <x:c r="J437" s="2" t="n">
        <x:f>IF(H437=1,F437-D437,"")</x:f>
        <x:v>7</x:v>
      </x:c>
      <x:c r="K437" s="2" t="n">
        <x:f>IF(H437=1,F437-E437,"")</x:f>
        <x:v>8</x:v>
      </x:c>
      <x:c r="L437" s="2" t="n">
        <x:v>9</x:v>
      </x:c>
      <x:c r="M437" s="2" t="n">
        <x:v>2</x:v>
      </x:c>
      <x:c r="N437" s="20" t="n">
        <x:v>0.4</x:v>
      </x:c>
      <x:c r="O437" s="20" t="n">
        <x:v>0.2</x:v>
      </x:c>
      <x:c r="P437" s="20" t="n">
        <x:v>0.25</x:v>
      </x:c>
      <x:c r="Q437" s="2" t="n">
        <x:v>53</x:v>
      </x:c>
      <x:c r="R437" s="2" t="str">
        <x:v>ISTJ</x:v>
      </x:c>
      <x:c r="S437" s="2" t="str">
        <x:v>华东</x:v>
      </x:c>
      <x:c r="T437" s="2" t="str">
        <x:v>专业技术岗位</x:v>
      </x:c>
    </x:row>
    <x:row r="438" ht="24" customHeight="1">
      <x:c r="A438" s="2" t="str">
        <x:v>D040_T02_C020_G025</x:v>
      </x:c>
      <x:c r="B438" s="2" t="str">
        <x:v>A0014</x:v>
      </x:c>
      <x:c r="C438" s="2" t="str">
        <x:v>inside</x:v>
      </x:c>
      <x:c r="D438" s="2" t="n">
        <x:v>2</x:v>
      </x:c>
      <x:c r="E438" s="2" t="n">
        <x:v>1</x:v>
      </x:c>
      <x:c r="F438" s="2" t="n">
        <x:v>5</x:v>
      </x:c>
      <x:c r="G438" s="2" t="str">
        <x:v>observed_post_release</x:v>
      </x:c>
      <x:c r="H438" s="2" t="n">
        <x:f>IF(AND(ISNUMBER(F438),F438&gt;=D438),1,0)</x:f>
        <x:v>1</x:v>
      </x:c>
      <x:c r="I438" s="2" t="n">
        <x:f>IF(AND(ISNUMBER(F438),F438&gt;D438),1,0)</x:f>
        <x:v>1</x:v>
      </x:c>
      <x:c r="J438" s="2" t="n">
        <x:f>IF(H438=1,F438-D438,"")</x:f>
        <x:v>3</x:v>
      </x:c>
      <x:c r="K438" s="2" t="n">
        <x:f>IF(H438=1,F438-E438,"")</x:f>
        <x:v>4</x:v>
      </x:c>
      <x:c r="L438" s="2" t="n">
        <x:v>9</x:v>
      </x:c>
      <x:c r="M438" s="2" t="n">
        <x:v>2</x:v>
      </x:c>
      <x:c r="N438" s="20" t="n">
        <x:v>0.4</x:v>
      </x:c>
      <x:c r="O438" s="20" t="n">
        <x:v>0.2</x:v>
      </x:c>
      <x:c r="P438" s="20" t="n">
        <x:v>0.25</x:v>
      </x:c>
      <x:c r="Q438" s="2" t="n">
        <x:v>52</x:v>
      </x:c>
      <x:c r="R438" s="2" t="str">
        <x:v>INFJ</x:v>
      </x:c>
      <x:c r="S438" s="2" t="str">
        <x:v>华东</x:v>
      </x:c>
      <x:c r="T438" s="2" t="str">
        <x:v>生产运输或体力岗位</x:v>
      </x:c>
    </x:row>
    <x:row r="439" ht="24" customHeight="1">
      <x:c r="A439" s="2" t="str">
        <x:v>D040_T02_C020_G025</x:v>
      </x:c>
      <x:c r="B439" s="2" t="str">
        <x:v>A0015</x:v>
      </x:c>
      <x:c r="C439" s="2" t="str">
        <x:v>inside</x:v>
      </x:c>
      <x:c r="D439" s="2" t="n">
        <x:v>2</x:v>
      </x:c>
      <x:c r="E439" s="2" t="n">
        <x:v>1</x:v>
      </x:c>
      <x:c r="F439" s="2" t="n">
        <x:v>4</x:v>
      </x:c>
      <x:c r="G439" s="2" t="str">
        <x:v>observed_post_release</x:v>
      </x:c>
      <x:c r="H439" s="2" t="n">
        <x:f>IF(AND(ISNUMBER(F439),F439&gt;=D439),1,0)</x:f>
        <x:v>1</x:v>
      </x:c>
      <x:c r="I439" s="2" t="n">
        <x:f>IF(AND(ISNUMBER(F439),F439&gt;D439),1,0)</x:f>
        <x:v>1</x:v>
      </x:c>
      <x:c r="J439" s="2" t="n">
        <x:f>IF(H439=1,F439-D439,"")</x:f>
        <x:v>2</x:v>
      </x:c>
      <x:c r="K439" s="2" t="n">
        <x:f>IF(H439=1,F439-E439,"")</x:f>
        <x:v>3</x:v>
      </x:c>
      <x:c r="L439" s="2" t="n">
        <x:v>9</x:v>
      </x:c>
      <x:c r="M439" s="2" t="n">
        <x:v>4</x:v>
      </x:c>
      <x:c r="N439" s="20" t="n">
        <x:v>0.4</x:v>
      </x:c>
      <x:c r="O439" s="20" t="n">
        <x:v>0.2</x:v>
      </x:c>
      <x:c r="P439" s="20" t="n">
        <x:v>0.25</x:v>
      </x:c>
      <x:c r="Q439" s="2" t="n">
        <x:v>29</x:v>
      </x:c>
      <x:c r="R439" s="2" t="str">
        <x:v>ESFP</x:v>
      </x:c>
      <x:c r="S439" s="2" t="str">
        <x:v>华南</x:v>
      </x:c>
      <x:c r="T439" s="2" t="str">
        <x:v>行政或办公室岗位</x:v>
      </x:c>
    </x:row>
    <x:row r="440" ht="24" customHeight="1">
      <x:c r="A440" s="2" t="str">
        <x:v>D040_T02_C020_G025</x:v>
      </x:c>
      <x:c r="B440" s="2" t="str">
        <x:v>A0016</x:v>
      </x:c>
      <x:c r="C440" s="2" t="str">
        <x:v>inside</x:v>
      </x:c>
      <x:c r="D440" s="2" t="n">
        <x:v>2</x:v>
      </x:c>
      <x:c r="E440" s="2" t="n">
        <x:v>1</x:v>
      </x:c>
      <x:c r="F440" s="2" t="n">
        <x:v>7</x:v>
      </x:c>
      <x:c r="G440" s="2" t="str">
        <x:v>observed_post_release</x:v>
      </x:c>
      <x:c r="H440" s="2" t="n">
        <x:f>IF(AND(ISNUMBER(F440),F440&gt;=D440),1,0)</x:f>
        <x:v>1</x:v>
      </x:c>
      <x:c r="I440" s="2" t="n">
        <x:f>IF(AND(ISNUMBER(F440),F440&gt;D440),1,0)</x:f>
        <x:v>1</x:v>
      </x:c>
      <x:c r="J440" s="2" t="n">
        <x:f>IF(H440=1,F440-D440,"")</x:f>
        <x:v>5</x:v>
      </x:c>
      <x:c r="K440" s="2" t="n">
        <x:f>IF(H440=1,F440-E440,"")</x:f>
        <x:v>6</x:v>
      </x:c>
      <x:c r="L440" s="2" t="n">
        <x:v>9</x:v>
      </x:c>
      <x:c r="M440" s="2" t="n">
        <x:v>4</x:v>
      </x:c>
      <x:c r="N440" s="20" t="n">
        <x:v>0.4</x:v>
      </x:c>
      <x:c r="O440" s="20" t="n">
        <x:v>0.2</x:v>
      </x:c>
      <x:c r="P440" s="20" t="n">
        <x:v>0.25</x:v>
      </x:c>
      <x:c r="Q440" s="2" t="n">
        <x:v>60</x:v>
      </x:c>
      <x:c r="R440" s="2" t="str">
        <x:v>ESFJ</x:v>
      </x:c>
      <x:c r="S440" s="2" t="str">
        <x:v>华北</x:v>
      </x:c>
      <x:c r="T440" s="2" t="str">
        <x:v>个体经营或自由职业</x:v>
      </x:c>
    </x:row>
    <x:row r="441" ht="24" customHeight="1">
      <x:c r="A441" s="2" t="str">
        <x:v>D040_T02_C020_G025</x:v>
      </x:c>
      <x:c r="B441" s="2" t="str">
        <x:v>A0017</x:v>
      </x:c>
      <x:c r="C441" s="2" t="str">
        <x:v>inside</x:v>
      </x:c>
      <x:c r="D441" s="2" t="n">
        <x:v>2</x:v>
      </x:c>
      <x:c r="E441" s="2" t="n">
        <x:v>1</x:v>
      </x:c>
      <x:c r="F441" s="2"/>
      <x:c r="G441" s="2" t="str">
        <x:v>right_censored</x:v>
      </x:c>
      <x:c r="H441" s="2" t="n">
        <x:f>IF(AND(ISNUMBER(F441),F441&gt;=D441),1,0)</x:f>
        <x:v>0</x:v>
      </x:c>
      <x:c r="I441" s="2" t="n">
        <x:f>IF(AND(ISNUMBER(F441),F441&gt;D441),1,0)</x:f>
        <x:v>0</x:v>
      </x:c>
      <x:c r="J441" s="2" t="str">
        <x:f>IF(H441=1,F441-D441,"")</x:f>
      </x:c>
      <x:c r="K441" s="2" t="str">
        <x:f>IF(H441=1,F441-E441,"")</x:f>
      </x:c>
      <x:c r="L441" s="2" t="n">
        <x:v>9</x:v>
      </x:c>
      <x:c r="M441" s="2" t="n">
        <x:v>4</x:v>
      </x:c>
      <x:c r="N441" s="20" t="n">
        <x:v>0.4</x:v>
      </x:c>
      <x:c r="O441" s="20" t="n">
        <x:v>0.2</x:v>
      </x:c>
      <x:c r="P441" s="20" t="n">
        <x:v>0.25</x:v>
      </x:c>
      <x:c r="Q441" s="2" t="n">
        <x:v>30</x:v>
      </x:c>
      <x:c r="R441" s="2" t="str">
        <x:v>ISTJ</x:v>
      </x:c>
      <x:c r="S441" s="2" t="str">
        <x:v>华东</x:v>
      </x:c>
      <x:c r="T441" s="2" t="str">
        <x:v>商业服务岗位</x:v>
      </x:c>
    </x:row>
    <x:row r="442" ht="24" customHeight="1">
      <x:c r="A442" s="2" t="str">
        <x:v>D040_T02_C020_G025</x:v>
      </x:c>
      <x:c r="B442" s="2" t="str">
        <x:v>A0018</x:v>
      </x:c>
      <x:c r="C442" s="2" t="str">
        <x:v>inside</x:v>
      </x:c>
      <x:c r="D442" s="2" t="n">
        <x:v>2</x:v>
      </x:c>
      <x:c r="E442" s="2" t="n">
        <x:v>1</x:v>
      </x:c>
      <x:c r="F442" s="2"/>
      <x:c r="G442" s="2" t="str">
        <x:v>right_censored</x:v>
      </x:c>
      <x:c r="H442" s="2" t="n">
        <x:f>IF(AND(ISNUMBER(F442),F442&gt;=D442),1,0)</x:f>
        <x:v>0</x:v>
      </x:c>
      <x:c r="I442" s="2" t="n">
        <x:f>IF(AND(ISNUMBER(F442),F442&gt;D442),1,0)</x:f>
        <x:v>0</x:v>
      </x:c>
      <x:c r="J442" s="2" t="str">
        <x:f>IF(H442=1,F442-D442,"")</x:f>
      </x:c>
      <x:c r="K442" s="2" t="str">
        <x:f>IF(H442=1,F442-E442,"")</x:f>
      </x:c>
      <x:c r="L442" s="2" t="n">
        <x:v>9</x:v>
      </x:c>
      <x:c r="M442" s="2" t="n">
        <x:v>4</x:v>
      </x:c>
      <x:c r="N442" s="20" t="n">
        <x:v>0.4</x:v>
      </x:c>
      <x:c r="O442" s="20" t="n">
        <x:v>0.2</x:v>
      </x:c>
      <x:c r="P442" s="20" t="n">
        <x:v>0.25</x:v>
      </x:c>
      <x:c r="Q442" s="2" t="n">
        <x:v>60</x:v>
      </x:c>
      <x:c r="R442" s="2" t="str">
        <x:v>INTJ</x:v>
      </x:c>
      <x:c r="S442" s="2" t="str">
        <x:v>华南</x:v>
      </x:c>
      <x:c r="T442" s="2" t="str">
        <x:v>专业技术岗位</x:v>
      </x:c>
    </x:row>
    <x:row r="443" ht="24" customHeight="1">
      <x:c r="A443" s="2" t="str">
        <x:v>D040_T02_C020_G025</x:v>
      </x:c>
      <x:c r="B443" s="2" t="str">
        <x:v>A0019</x:v>
      </x:c>
      <x:c r="C443" s="2" t="str">
        <x:v>inside</x:v>
      </x:c>
      <x:c r="D443" s="2" t="n">
        <x:v>2</x:v>
      </x:c>
      <x:c r="E443" s="2" t="n">
        <x:v>1</x:v>
      </x:c>
      <x:c r="F443" s="2" t="n">
        <x:v>7</x:v>
      </x:c>
      <x:c r="G443" s="2" t="str">
        <x:v>observed_post_release</x:v>
      </x:c>
      <x:c r="H443" s="2" t="n">
        <x:f>IF(AND(ISNUMBER(F443),F443&gt;=D443),1,0)</x:f>
        <x:v>1</x:v>
      </x:c>
      <x:c r="I443" s="2" t="n">
        <x:f>IF(AND(ISNUMBER(F443),F443&gt;D443),1,0)</x:f>
        <x:v>1</x:v>
      </x:c>
      <x:c r="J443" s="2" t="n">
        <x:f>IF(H443=1,F443-D443,"")</x:f>
        <x:v>5</x:v>
      </x:c>
      <x:c r="K443" s="2" t="n">
        <x:f>IF(H443=1,F443-E443,"")</x:f>
        <x:v>6</x:v>
      </x:c>
      <x:c r="L443" s="2" t="n">
        <x:v>9</x:v>
      </x:c>
      <x:c r="M443" s="2" t="n">
        <x:v>4</x:v>
      </x:c>
      <x:c r="N443" s="20" t="n">
        <x:v>0.4</x:v>
      </x:c>
      <x:c r="O443" s="20" t="n">
        <x:v>0.2</x:v>
      </x:c>
      <x:c r="P443" s="20" t="n">
        <x:v>0.25</x:v>
      </x:c>
      <x:c r="Q443" s="2" t="n">
        <x:v>19</x:v>
      </x:c>
      <x:c r="R443" s="2" t="str">
        <x:v>INTJ</x:v>
      </x:c>
      <x:c r="S443" s="2" t="str">
        <x:v>西南</x:v>
      </x:c>
      <x:c r="T443" s="2" t="str">
        <x:v>行政或办公室岗位</x:v>
      </x:c>
    </x:row>
    <x:row r="444" ht="24" customHeight="1">
      <x:c r="A444" s="2" t="str">
        <x:v>D040_T02_C020_G025</x:v>
      </x:c>
      <x:c r="B444" s="2" t="str">
        <x:v>A0020</x:v>
      </x:c>
      <x:c r="C444" s="2" t="str">
        <x:v>inside</x:v>
      </x:c>
      <x:c r="D444" s="2" t="n">
        <x:v>2</x:v>
      </x:c>
      <x:c r="E444" s="2" t="n">
        <x:v>1</x:v>
      </x:c>
      <x:c r="F444" s="2" t="n">
        <x:v>6</x:v>
      </x:c>
      <x:c r="G444" s="2" t="str">
        <x:v>observed_post_release</x:v>
      </x:c>
      <x:c r="H444" s="2" t="n">
        <x:f>IF(AND(ISNUMBER(F444),F444&gt;=D444),1,0)</x:f>
        <x:v>1</x:v>
      </x:c>
      <x:c r="I444" s="2" t="n">
        <x:f>IF(AND(ISNUMBER(F444),F444&gt;D444),1,0)</x:f>
        <x:v>1</x:v>
      </x:c>
      <x:c r="J444" s="2" t="n">
        <x:f>IF(H444=1,F444-D444,"")</x:f>
        <x:v>4</x:v>
      </x:c>
      <x:c r="K444" s="2" t="n">
        <x:f>IF(H444=1,F444-E444,"")</x:f>
        <x:v>5</x:v>
      </x:c>
      <x:c r="L444" s="2" t="n">
        <x:v>9</x:v>
      </x:c>
      <x:c r="M444" s="2" t="n">
        <x:v>2</x:v>
      </x:c>
      <x:c r="N444" s="20" t="n">
        <x:v>0.4</x:v>
      </x:c>
      <x:c r="O444" s="20" t="n">
        <x:v>0.2</x:v>
      </x:c>
      <x:c r="P444" s="20" t="n">
        <x:v>0.25</x:v>
      </x:c>
      <x:c r="Q444" s="2" t="n">
        <x:v>42</x:v>
      </x:c>
      <x:c r="R444" s="2" t="str">
        <x:v>ENTJ</x:v>
      </x:c>
      <x:c r="S444" s="2" t="str">
        <x:v>西南</x:v>
      </x:c>
      <x:c r="T444" s="2" t="str">
        <x:v>行政或办公室岗位</x:v>
      </x:c>
    </x:row>
    <x:row r="445" ht="24" customHeight="1">
      <x:c r="A445" s="2" t="str">
        <x:v>D040_T02_C020_G025</x:v>
      </x:c>
      <x:c r="B445" s="2" t="str">
        <x:v>A0022</x:v>
      </x:c>
      <x:c r="C445" s="2" t="str">
        <x:v>inside</x:v>
      </x:c>
      <x:c r="D445" s="2" t="n">
        <x:v>2</x:v>
      </x:c>
      <x:c r="E445" s="2" t="n">
        <x:v>1</x:v>
      </x:c>
      <x:c r="F445" s="2" t="n">
        <x:v>4</x:v>
      </x:c>
      <x:c r="G445" s="2" t="str">
        <x:v>observed_post_release</x:v>
      </x:c>
      <x:c r="H445" s="2" t="n">
        <x:f>IF(AND(ISNUMBER(F445),F445&gt;=D445),1,0)</x:f>
        <x:v>1</x:v>
      </x:c>
      <x:c r="I445" s="2" t="n">
        <x:f>IF(AND(ISNUMBER(F445),F445&gt;D445),1,0)</x:f>
        <x:v>1</x:v>
      </x:c>
      <x:c r="J445" s="2" t="n">
        <x:f>IF(H445=1,F445-D445,"")</x:f>
        <x:v>2</x:v>
      </x:c>
      <x:c r="K445" s="2" t="n">
        <x:f>IF(H445=1,F445-E445,"")</x:f>
        <x:v>3</x:v>
      </x:c>
      <x:c r="L445" s="2" t="n">
        <x:v>9</x:v>
      </x:c>
      <x:c r="M445" s="2" t="n">
        <x:v>4</x:v>
      </x:c>
      <x:c r="N445" s="20" t="n">
        <x:v>0.4</x:v>
      </x:c>
      <x:c r="O445" s="20" t="n">
        <x:v>0.2</x:v>
      </x:c>
      <x:c r="P445" s="20" t="n">
        <x:v>0.25</x:v>
      </x:c>
      <x:c r="Q445" s="2" t="n">
        <x:v>51</x:v>
      </x:c>
      <x:c r="R445" s="2" t="str">
        <x:v>INFJ</x:v>
      </x:c>
      <x:c r="S445" s="2" t="str">
        <x:v>西南</x:v>
      </x:c>
      <x:c r="T445" s="2" t="str">
        <x:v>个体经营或自由职业</x:v>
      </x:c>
    </x:row>
    <x:row r="446" ht="24" customHeight="1">
      <x:c r="A446" s="2" t="str">
        <x:v>D040_T02_C020_G025</x:v>
      </x:c>
      <x:c r="B446" s="2" t="str">
        <x:v>A0023</x:v>
      </x:c>
      <x:c r="C446" s="2" t="str">
        <x:v>inside</x:v>
      </x:c>
      <x:c r="D446" s="2" t="n">
        <x:v>2</x:v>
      </x:c>
      <x:c r="E446" s="2" t="n">
        <x:v>1</x:v>
      </x:c>
      <x:c r="F446" s="2" t="n">
        <x:v>8</x:v>
      </x:c>
      <x:c r="G446" s="2" t="str">
        <x:v>observed_post_release</x:v>
      </x:c>
      <x:c r="H446" s="2" t="n">
        <x:f>IF(AND(ISNUMBER(F446),F446&gt;=D446),1,0)</x:f>
        <x:v>1</x:v>
      </x:c>
      <x:c r="I446" s="2" t="n">
        <x:f>IF(AND(ISNUMBER(F446),F446&gt;D446),1,0)</x:f>
        <x:v>1</x:v>
      </x:c>
      <x:c r="J446" s="2" t="n">
        <x:f>IF(H446=1,F446-D446,"")</x:f>
        <x:v>6</x:v>
      </x:c>
      <x:c r="K446" s="2" t="n">
        <x:f>IF(H446=1,F446-E446,"")</x:f>
        <x:v>7</x:v>
      </x:c>
      <x:c r="L446" s="2" t="n">
        <x:v>9</x:v>
      </x:c>
      <x:c r="M446" s="2" t="n">
        <x:v>3</x:v>
      </x:c>
      <x:c r="N446" s="20" t="n">
        <x:v>0.4</x:v>
      </x:c>
      <x:c r="O446" s="20" t="n">
        <x:v>0.2</x:v>
      </x:c>
      <x:c r="P446" s="20" t="n">
        <x:v>0.25</x:v>
      </x:c>
      <x:c r="Q446" s="2" t="n">
        <x:v>56</x:v>
      </x:c>
      <x:c r="R446" s="2" t="str">
        <x:v>INFP</x:v>
      </x:c>
      <x:c r="S446" s="2" t="str">
        <x:v>东北</x:v>
      </x:c>
      <x:c r="T446" s="2" t="str">
        <x:v>行政或办公室岗位</x:v>
      </x:c>
    </x:row>
    <x:row r="447" ht="24" customHeight="1">
      <x:c r="A447" s="2" t="str">
        <x:v>D040_T02_C020_G025</x:v>
      </x:c>
      <x:c r="B447" s="2" t="str">
        <x:v>A0024</x:v>
      </x:c>
      <x:c r="C447" s="2" t="str">
        <x:v>inside</x:v>
      </x:c>
      <x:c r="D447" s="2" t="n">
        <x:v>2</x:v>
      </x:c>
      <x:c r="E447" s="2" t="n">
        <x:v>1</x:v>
      </x:c>
      <x:c r="F447" s="2" t="n">
        <x:v>7</x:v>
      </x:c>
      <x:c r="G447" s="2" t="str">
        <x:v>observed_post_release</x:v>
      </x:c>
      <x:c r="H447" s="2" t="n">
        <x:f>IF(AND(ISNUMBER(F447),F447&gt;=D447),1,0)</x:f>
        <x:v>1</x:v>
      </x:c>
      <x:c r="I447" s="2" t="n">
        <x:f>IF(AND(ISNUMBER(F447),F447&gt;D447),1,0)</x:f>
        <x:v>1</x:v>
      </x:c>
      <x:c r="J447" s="2" t="n">
        <x:f>IF(H447=1,F447-D447,"")</x:f>
        <x:v>5</x:v>
      </x:c>
      <x:c r="K447" s="2" t="n">
        <x:f>IF(H447=1,F447-E447,"")</x:f>
        <x:v>6</x:v>
      </x:c>
      <x:c r="L447" s="2" t="n">
        <x:v>9</x:v>
      </x:c>
      <x:c r="M447" s="2" t="n">
        <x:v>4</x:v>
      </x:c>
      <x:c r="N447" s="20" t="n">
        <x:v>0.4</x:v>
      </x:c>
      <x:c r="O447" s="20" t="n">
        <x:v>0.2</x:v>
      </x:c>
      <x:c r="P447" s="20" t="n">
        <x:v>0.25</x:v>
      </x:c>
      <x:c r="Q447" s="2" t="n">
        <x:v>31</x:v>
      </x:c>
      <x:c r="R447" s="2" t="str">
        <x:v>ESTP</x:v>
      </x:c>
      <x:c r="S447" s="2" t="str">
        <x:v>华北</x:v>
      </x:c>
      <x:c r="T447" s="2" t="str">
        <x:v>商业服务岗位</x:v>
      </x:c>
    </x:row>
    <x:row r="448" ht="24" customHeight="1">
      <x:c r="A448" s="2" t="str">
        <x:v>D040_T02_C020_G025</x:v>
      </x:c>
      <x:c r="B448" s="2" t="str">
        <x:v>A0025</x:v>
      </x:c>
      <x:c r="C448" s="2" t="str">
        <x:v>inside</x:v>
      </x:c>
      <x:c r="D448" s="2" t="n">
        <x:v>2</x:v>
      </x:c>
      <x:c r="E448" s="2" t="n">
        <x:v>1</x:v>
      </x:c>
      <x:c r="F448" s="2" t="n">
        <x:v>7</x:v>
      </x:c>
      <x:c r="G448" s="2" t="str">
        <x:v>observed_post_release</x:v>
      </x:c>
      <x:c r="H448" s="2" t="n">
        <x:f>IF(AND(ISNUMBER(F448),F448&gt;=D448),1,0)</x:f>
        <x:v>1</x:v>
      </x:c>
      <x:c r="I448" s="2" t="n">
        <x:f>IF(AND(ISNUMBER(F448),F448&gt;D448),1,0)</x:f>
        <x:v>1</x:v>
      </x:c>
      <x:c r="J448" s="2" t="n">
        <x:f>IF(H448=1,F448-D448,"")</x:f>
        <x:v>5</x:v>
      </x:c>
      <x:c r="K448" s="2" t="n">
        <x:f>IF(H448=1,F448-E448,"")</x:f>
        <x:v>6</x:v>
      </x:c>
      <x:c r="L448" s="2" t="n">
        <x:v>9</x:v>
      </x:c>
      <x:c r="M448" s="2" t="n">
        <x:v>2</x:v>
      </x:c>
      <x:c r="N448" s="20" t="n">
        <x:v>0.4</x:v>
      </x:c>
      <x:c r="O448" s="20" t="n">
        <x:v>0.2</x:v>
      </x:c>
      <x:c r="P448" s="20" t="n">
        <x:v>0.25</x:v>
      </x:c>
      <x:c r="Q448" s="2" t="n">
        <x:v>23</x:v>
      </x:c>
      <x:c r="R448" s="2" t="str">
        <x:v>ISTP</x:v>
      </x:c>
      <x:c r="S448" s="2" t="str">
        <x:v>华南</x:v>
      </x:c>
      <x:c r="T448" s="2" t="str">
        <x:v>行政或办公室岗位</x:v>
      </x:c>
    </x:row>
    <x:row r="449" ht="24" customHeight="1">
      <x:c r="A449" s="2" t="str">
        <x:v>D040_T02_C020_G025</x:v>
      </x:c>
      <x:c r="B449" s="2" t="str">
        <x:v>A0027</x:v>
      </x:c>
      <x:c r="C449" s="2" t="str">
        <x:v>inside</x:v>
      </x:c>
      <x:c r="D449" s="2" t="n">
        <x:v>2</x:v>
      </x:c>
      <x:c r="E449" s="2" t="n">
        <x:v>1</x:v>
      </x:c>
      <x:c r="F449" s="2" t="n">
        <x:v>6</x:v>
      </x:c>
      <x:c r="G449" s="2" t="str">
        <x:v>observed_post_release</x:v>
      </x:c>
      <x:c r="H449" s="2" t="n">
        <x:f>IF(AND(ISNUMBER(F449),F449&gt;=D449),1,0)</x:f>
        <x:v>1</x:v>
      </x:c>
      <x:c r="I449" s="2" t="n">
        <x:f>IF(AND(ISNUMBER(F449),F449&gt;D449),1,0)</x:f>
        <x:v>1</x:v>
      </x:c>
      <x:c r="J449" s="2" t="n">
        <x:f>IF(H449=1,F449-D449,"")</x:f>
        <x:v>4</x:v>
      </x:c>
      <x:c r="K449" s="2" t="n">
        <x:f>IF(H449=1,F449-E449,"")</x:f>
        <x:v>5</x:v>
      </x:c>
      <x:c r="L449" s="2" t="n">
        <x:v>9</x:v>
      </x:c>
      <x:c r="M449" s="2" t="n">
        <x:v>3</x:v>
      </x:c>
      <x:c r="N449" s="20" t="n">
        <x:v>0.4</x:v>
      </x:c>
      <x:c r="O449" s="20" t="n">
        <x:v>0.2</x:v>
      </x:c>
      <x:c r="P449" s="20" t="n">
        <x:v>0.25</x:v>
      </x:c>
      <x:c r="Q449" s="2" t="n">
        <x:v>25</x:v>
      </x:c>
      <x:c r="R449" s="2" t="str">
        <x:v>ESFP</x:v>
      </x:c>
      <x:c r="S449" s="2" t="str">
        <x:v>西北</x:v>
      </x:c>
      <x:c r="T449" s="2" t="str">
        <x:v>暂未就业或家庭照料</x:v>
      </x:c>
    </x:row>
    <x:row r="450" ht="24" customHeight="1">
      <x:c r="A450" s="2" t="str">
        <x:v>D040_T02_C020_G025</x:v>
      </x:c>
      <x:c r="B450" s="2" t="str">
        <x:v>A0029</x:v>
      </x:c>
      <x:c r="C450" s="2" t="str">
        <x:v>inside</x:v>
      </x:c>
      <x:c r="D450" s="2" t="n">
        <x:v>2</x:v>
      </x:c>
      <x:c r="E450" s="2" t="n">
        <x:v>1</x:v>
      </x:c>
      <x:c r="F450" s="2" t="n">
        <x:v>4</x:v>
      </x:c>
      <x:c r="G450" s="2" t="str">
        <x:v>observed_post_release</x:v>
      </x:c>
      <x:c r="H450" s="2" t="n">
        <x:f>IF(AND(ISNUMBER(F450),F450&gt;=D450),1,0)</x:f>
        <x:v>1</x:v>
      </x:c>
      <x:c r="I450" s="2" t="n">
        <x:f>IF(AND(ISNUMBER(F450),F450&gt;D450),1,0)</x:f>
        <x:v>1</x:v>
      </x:c>
      <x:c r="J450" s="2" t="n">
        <x:f>IF(H450=1,F450-D450,"")</x:f>
        <x:v>2</x:v>
      </x:c>
      <x:c r="K450" s="2" t="n">
        <x:f>IF(H450=1,F450-E450,"")</x:f>
        <x:v>3</x:v>
      </x:c>
      <x:c r="L450" s="2" t="n">
        <x:v>9</x:v>
      </x:c>
      <x:c r="M450" s="2" t="n">
        <x:v>3</x:v>
      </x:c>
      <x:c r="N450" s="20" t="n">
        <x:v>0.4</x:v>
      </x:c>
      <x:c r="O450" s="20" t="n">
        <x:v>0.2</x:v>
      </x:c>
      <x:c r="P450" s="20" t="n">
        <x:v>0.25</x:v>
      </x:c>
      <x:c r="Q450" s="2" t="n">
        <x:v>69</x:v>
      </x:c>
      <x:c r="R450" s="2" t="str">
        <x:v>ENTP</x:v>
      </x:c>
      <x:c r="S450" s="2" t="str">
        <x:v>华东</x:v>
      </x:c>
      <x:c r="T450" s="2" t="str">
        <x:v>退休人员</x:v>
      </x:c>
    </x:row>
    <x:row r="451" ht="24" customHeight="1">
      <x:c r="A451" s="2" t="str">
        <x:v>D040_T02_C020_G025</x:v>
      </x:c>
      <x:c r="B451" s="2" t="str">
        <x:v>A0030</x:v>
      </x:c>
      <x:c r="C451" s="2" t="str">
        <x:v>inside</x:v>
      </x:c>
      <x:c r="D451" s="2" t="n">
        <x:v>2</x:v>
      </x:c>
      <x:c r="E451" s="2" t="n">
        <x:v>1</x:v>
      </x:c>
      <x:c r="F451" s="2" t="n">
        <x:v>6</x:v>
      </x:c>
      <x:c r="G451" s="2" t="str">
        <x:v>observed_post_release</x:v>
      </x:c>
      <x:c r="H451" s="2" t="n">
        <x:f>IF(AND(ISNUMBER(F451),F451&gt;=D451),1,0)</x:f>
        <x:v>1</x:v>
      </x:c>
      <x:c r="I451" s="2" t="n">
        <x:f>IF(AND(ISNUMBER(F451),F451&gt;D451),1,0)</x:f>
        <x:v>1</x:v>
      </x:c>
      <x:c r="J451" s="2" t="n">
        <x:f>IF(H451=1,F451-D451,"")</x:f>
        <x:v>4</x:v>
      </x:c>
      <x:c r="K451" s="2" t="n">
        <x:f>IF(H451=1,F451-E451,"")</x:f>
        <x:v>5</x:v>
      </x:c>
      <x:c r="L451" s="2" t="n">
        <x:v>9</x:v>
      </x:c>
      <x:c r="M451" s="2" t="n">
        <x:v>4</x:v>
      </x:c>
      <x:c r="N451" s="20" t="n">
        <x:v>0.4</x:v>
      </x:c>
      <x:c r="O451" s="20" t="n">
        <x:v>0.2</x:v>
      </x:c>
      <x:c r="P451" s="20" t="n">
        <x:v>0.25</x:v>
      </x:c>
      <x:c r="Q451" s="2" t="n">
        <x:v>23</x:v>
      </x:c>
      <x:c r="R451" s="2" t="str">
        <x:v>ISFP</x:v>
      </x:c>
      <x:c r="S451" s="2" t="str">
        <x:v>华东</x:v>
      </x:c>
      <x:c r="T451" s="2" t="str">
        <x:v>在校学生</x:v>
      </x:c>
    </x:row>
    <x:row r="452" ht="24" customHeight="1">
      <x:c r="A452" s="2" t="str">
        <x:v>D040_T02_C020_G025</x:v>
      </x:c>
      <x:c r="B452" s="2" t="str">
        <x:v>A0032</x:v>
      </x:c>
      <x:c r="C452" s="2" t="str">
        <x:v>inside</x:v>
      </x:c>
      <x:c r="D452" s="2" t="n">
        <x:v>2</x:v>
      </x:c>
      <x:c r="E452" s="2" t="n">
        <x:v>1</x:v>
      </x:c>
      <x:c r="F452" s="2"/>
      <x:c r="G452" s="2" t="str">
        <x:v>right_censored</x:v>
      </x:c>
      <x:c r="H452" s="2" t="n">
        <x:f>IF(AND(ISNUMBER(F452),F452&gt;=D452),1,0)</x:f>
        <x:v>0</x:v>
      </x:c>
      <x:c r="I452" s="2" t="n">
        <x:f>IF(AND(ISNUMBER(F452),F452&gt;D452),1,0)</x:f>
        <x:v>0</x:v>
      </x:c>
      <x:c r="J452" s="2" t="str">
        <x:f>IF(H452=1,F452-D452,"")</x:f>
      </x:c>
      <x:c r="K452" s="2" t="str">
        <x:f>IF(H452=1,F452-E452,"")</x:f>
      </x:c>
      <x:c r="L452" s="2" t="n">
        <x:v>9</x:v>
      </x:c>
      <x:c r="M452" s="2" t="n">
        <x:v>2</x:v>
      </x:c>
      <x:c r="N452" s="20" t="n">
        <x:v>0.4</x:v>
      </x:c>
      <x:c r="O452" s="20" t="n">
        <x:v>0.2</x:v>
      </x:c>
      <x:c r="P452" s="20" t="n">
        <x:v>0.25</x:v>
      </x:c>
      <x:c r="Q452" s="2" t="n">
        <x:v>53</x:v>
      </x:c>
      <x:c r="R452" s="2" t="str">
        <x:v>INTP</x:v>
      </x:c>
      <x:c r="S452" s="2" t="str">
        <x:v>华北</x:v>
      </x:c>
      <x:c r="T452" s="2" t="str">
        <x:v>个体经营或自由职业</x:v>
      </x:c>
    </x:row>
    <x:row r="453" ht="24" customHeight="1">
      <x:c r="A453" s="2" t="str">
        <x:v>D040_T02_C020_G025</x:v>
      </x:c>
      <x:c r="B453" s="2" t="str">
        <x:v>A0033</x:v>
      </x:c>
      <x:c r="C453" s="2" t="str">
        <x:v>inside</x:v>
      </x:c>
      <x:c r="D453" s="2" t="n">
        <x:v>2</x:v>
      </x:c>
      <x:c r="E453" s="2" t="n">
        <x:v>1</x:v>
      </x:c>
      <x:c r="F453" s="2" t="n">
        <x:v>4</x:v>
      </x:c>
      <x:c r="G453" s="2" t="str">
        <x:v>observed_post_release</x:v>
      </x:c>
      <x:c r="H453" s="2" t="n">
        <x:f>IF(AND(ISNUMBER(F453),F453&gt;=D453),1,0)</x:f>
        <x:v>1</x:v>
      </x:c>
      <x:c r="I453" s="2" t="n">
        <x:f>IF(AND(ISNUMBER(F453),F453&gt;D453),1,0)</x:f>
        <x:v>1</x:v>
      </x:c>
      <x:c r="J453" s="2" t="n">
        <x:f>IF(H453=1,F453-D453,"")</x:f>
        <x:v>2</x:v>
      </x:c>
      <x:c r="K453" s="2" t="n">
        <x:f>IF(H453=1,F453-E453,"")</x:f>
        <x:v>3</x:v>
      </x:c>
      <x:c r="L453" s="2" t="n">
        <x:v>9</x:v>
      </x:c>
      <x:c r="M453" s="2" t="n">
        <x:v>4</x:v>
      </x:c>
      <x:c r="N453" s="20" t="n">
        <x:v>0.4</x:v>
      </x:c>
      <x:c r="O453" s="20" t="n">
        <x:v>0.2</x:v>
      </x:c>
      <x:c r="P453" s="20" t="n">
        <x:v>0.25</x:v>
      </x:c>
      <x:c r="Q453" s="2" t="n">
        <x:v>55</x:v>
      </x:c>
      <x:c r="R453" s="2" t="str">
        <x:v>ENFP</x:v>
      </x:c>
      <x:c r="S453" s="2" t="str">
        <x:v>华南</x:v>
      </x:c>
      <x:c r="T453" s="2" t="str">
        <x:v>个体经营或自由职业</x:v>
      </x:c>
    </x:row>
    <x:row r="454" ht="24" customHeight="1">
      <x:c r="A454" s="2" t="str">
        <x:v>D040_T02_C020_G025</x:v>
      </x:c>
      <x:c r="B454" s="2" t="str">
        <x:v>A0034</x:v>
      </x:c>
      <x:c r="C454" s="2" t="str">
        <x:v>inside</x:v>
      </x:c>
      <x:c r="D454" s="2" t="n">
        <x:v>2</x:v>
      </x:c>
      <x:c r="E454" s="2" t="n">
        <x:v>1</x:v>
      </x:c>
      <x:c r="F454" s="2" t="n">
        <x:v>8</x:v>
      </x:c>
      <x:c r="G454" s="2" t="str">
        <x:v>observed_post_release</x:v>
      </x:c>
      <x:c r="H454" s="2" t="n">
        <x:f>IF(AND(ISNUMBER(F454),F454&gt;=D454),1,0)</x:f>
        <x:v>1</x:v>
      </x:c>
      <x:c r="I454" s="2" t="n">
        <x:f>IF(AND(ISNUMBER(F454),F454&gt;D454),1,0)</x:f>
        <x:v>1</x:v>
      </x:c>
      <x:c r="J454" s="2" t="n">
        <x:f>IF(H454=1,F454-D454,"")</x:f>
        <x:v>6</x:v>
      </x:c>
      <x:c r="K454" s="2" t="n">
        <x:f>IF(H454=1,F454-E454,"")</x:f>
        <x:v>7</x:v>
      </x:c>
      <x:c r="L454" s="2" t="n">
        <x:v>9</x:v>
      </x:c>
      <x:c r="M454" s="2" t="n">
        <x:v>5</x:v>
      </x:c>
      <x:c r="N454" s="20" t="n">
        <x:v>0.4</x:v>
      </x:c>
      <x:c r="O454" s="20" t="n">
        <x:v>0.2</x:v>
      </x:c>
      <x:c r="P454" s="20" t="n">
        <x:v>0.25</x:v>
      </x:c>
      <x:c r="Q454" s="2" t="n">
        <x:v>36</x:v>
      </x:c>
      <x:c r="R454" s="2" t="str">
        <x:v>INTP</x:v>
      </x:c>
      <x:c r="S454" s="2" t="str">
        <x:v>华南</x:v>
      </x:c>
      <x:c r="T454" s="2" t="str">
        <x:v>专业技术岗位</x:v>
      </x:c>
    </x:row>
    <x:row r="455" ht="24" customHeight="1">
      <x:c r="A455" s="2" t="str">
        <x:v>D040_T02_C020_G025</x:v>
      </x:c>
      <x:c r="B455" s="2" t="str">
        <x:v>A0035</x:v>
      </x:c>
      <x:c r="C455" s="2" t="str">
        <x:v>inside</x:v>
      </x:c>
      <x:c r="D455" s="2" t="n">
        <x:v>2</x:v>
      </x:c>
      <x:c r="E455" s="2" t="n">
        <x:v>1</x:v>
      </x:c>
      <x:c r="F455" s="2" t="n">
        <x:v>10</x:v>
      </x:c>
      <x:c r="G455" s="2" t="str">
        <x:v>observed_post_release</x:v>
      </x:c>
      <x:c r="H455" s="2" t="n">
        <x:f>IF(AND(ISNUMBER(F455),F455&gt;=D455),1,0)</x:f>
        <x:v>1</x:v>
      </x:c>
      <x:c r="I455" s="2" t="n">
        <x:f>IF(AND(ISNUMBER(F455),F455&gt;D455),1,0)</x:f>
        <x:v>1</x:v>
      </x:c>
      <x:c r="J455" s="2" t="n">
        <x:f>IF(H455=1,F455-D455,"")</x:f>
        <x:v>8</x:v>
      </x:c>
      <x:c r="K455" s="2" t="n">
        <x:f>IF(H455=1,F455-E455,"")</x:f>
        <x:v>9</x:v>
      </x:c>
      <x:c r="L455" s="2" t="n">
        <x:v>9</x:v>
      </x:c>
      <x:c r="M455" s="2" t="n">
        <x:v>4</x:v>
      </x:c>
      <x:c r="N455" s="20" t="n">
        <x:v>0.4</x:v>
      </x:c>
      <x:c r="O455" s="20" t="n">
        <x:v>0.2</x:v>
      </x:c>
      <x:c r="P455" s="20" t="n">
        <x:v>0.25</x:v>
      </x:c>
      <x:c r="Q455" s="2" t="n">
        <x:v>42</x:v>
      </x:c>
      <x:c r="R455" s="2" t="str">
        <x:v>ISFJ</x:v>
      </x:c>
      <x:c r="S455" s="2" t="str">
        <x:v>华南</x:v>
      </x:c>
      <x:c r="T455" s="2" t="str">
        <x:v>专业技术岗位</x:v>
      </x:c>
    </x:row>
    <x:row r="456" ht="24" customHeight="1">
      <x:c r="A456" s="2" t="str">
        <x:v>D040_T02_C020_G025</x:v>
      </x:c>
      <x:c r="B456" s="2" t="str">
        <x:v>A0036</x:v>
      </x:c>
      <x:c r="C456" s="2" t="str">
        <x:v>inside</x:v>
      </x:c>
      <x:c r="D456" s="2" t="n">
        <x:v>2</x:v>
      </x:c>
      <x:c r="E456" s="2" t="n">
        <x:v>1</x:v>
      </x:c>
      <x:c r="F456" s="2"/>
      <x:c r="G456" s="2" t="str">
        <x:v>right_censored</x:v>
      </x:c>
      <x:c r="H456" s="2" t="n">
        <x:f>IF(AND(ISNUMBER(F456),F456&gt;=D456),1,0)</x:f>
        <x:v>0</x:v>
      </x:c>
      <x:c r="I456" s="2" t="n">
        <x:f>IF(AND(ISNUMBER(F456),F456&gt;D456),1,0)</x:f>
        <x:v>0</x:v>
      </x:c>
      <x:c r="J456" s="2" t="str">
        <x:f>IF(H456=1,F456-D456,"")</x:f>
      </x:c>
      <x:c r="K456" s="2" t="str">
        <x:f>IF(H456=1,F456-E456,"")</x:f>
      </x:c>
      <x:c r="L456" s="2" t="n">
        <x:v>9</x:v>
      </x:c>
      <x:c r="M456" s="2" t="n">
        <x:v>3</x:v>
      </x:c>
      <x:c r="N456" s="20" t="n">
        <x:v>0.4</x:v>
      </x:c>
      <x:c r="O456" s="20" t="n">
        <x:v>0.2</x:v>
      </x:c>
      <x:c r="P456" s="20" t="n">
        <x:v>0.25</x:v>
      </x:c>
      <x:c r="Q456" s="2" t="n">
        <x:v>43</x:v>
      </x:c>
      <x:c r="R456" s="2" t="str">
        <x:v>ISFJ</x:v>
      </x:c>
      <x:c r="S456" s="2" t="str">
        <x:v>华东</x:v>
      </x:c>
      <x:c r="T456" s="2" t="str">
        <x:v>生产运输或体力岗位</x:v>
      </x:c>
    </x:row>
    <x:row r="457" ht="24" customHeight="1">
      <x:c r="A457" s="2" t="str">
        <x:v>D040_T02_C020_G025</x:v>
      </x:c>
      <x:c r="B457" s="2" t="str">
        <x:v>A0038</x:v>
      </x:c>
      <x:c r="C457" s="2" t="str">
        <x:v>inside</x:v>
      </x:c>
      <x:c r="D457" s="2" t="n">
        <x:v>2</x:v>
      </x:c>
      <x:c r="E457" s="2" t="n">
        <x:v>1</x:v>
      </x:c>
      <x:c r="F457" s="2" t="n">
        <x:v>8</x:v>
      </x:c>
      <x:c r="G457" s="2" t="str">
        <x:v>observed_post_release</x:v>
      </x:c>
      <x:c r="H457" s="2" t="n">
        <x:f>IF(AND(ISNUMBER(F457),F457&gt;=D457),1,0)</x:f>
        <x:v>1</x:v>
      </x:c>
      <x:c r="I457" s="2" t="n">
        <x:f>IF(AND(ISNUMBER(F457),F457&gt;D457),1,0)</x:f>
        <x:v>1</x:v>
      </x:c>
      <x:c r="J457" s="2" t="n">
        <x:f>IF(H457=1,F457-D457,"")</x:f>
        <x:v>6</x:v>
      </x:c>
      <x:c r="K457" s="2" t="n">
        <x:f>IF(H457=1,F457-E457,"")</x:f>
        <x:v>7</x:v>
      </x:c>
      <x:c r="L457" s="2" t="n">
        <x:v>9</x:v>
      </x:c>
      <x:c r="M457" s="2" t="n">
        <x:v>4</x:v>
      </x:c>
      <x:c r="N457" s="20" t="n">
        <x:v>0.4</x:v>
      </x:c>
      <x:c r="O457" s="20" t="n">
        <x:v>0.2</x:v>
      </x:c>
      <x:c r="P457" s="20" t="n">
        <x:v>0.25</x:v>
      </x:c>
      <x:c r="Q457" s="2" t="n">
        <x:v>46</x:v>
      </x:c>
      <x:c r="R457" s="2" t="str">
        <x:v>ISTP</x:v>
      </x:c>
      <x:c r="S457" s="2" t="str">
        <x:v>华东</x:v>
      </x:c>
      <x:c r="T457" s="2" t="str">
        <x:v>行政或办公室岗位</x:v>
      </x:c>
    </x:row>
    <x:row r="458" ht="24" customHeight="1">
      <x:c r="A458" s="2" t="str">
        <x:v>D040_T02_C020_G025</x:v>
      </x:c>
      <x:c r="B458" s="2" t="str">
        <x:v>A0039</x:v>
      </x:c>
      <x:c r="C458" s="2" t="str">
        <x:v>inside</x:v>
      </x:c>
      <x:c r="D458" s="2" t="n">
        <x:v>2</x:v>
      </x:c>
      <x:c r="E458" s="2" t="n">
        <x:v>1</x:v>
      </x:c>
      <x:c r="F458" s="2"/>
      <x:c r="G458" s="2" t="str">
        <x:v>right_censored</x:v>
      </x:c>
      <x:c r="H458" s="2" t="n">
        <x:f>IF(AND(ISNUMBER(F458),F458&gt;=D458),1,0)</x:f>
        <x:v>0</x:v>
      </x:c>
      <x:c r="I458" s="2" t="n">
        <x:f>IF(AND(ISNUMBER(F458),F458&gt;D458),1,0)</x:f>
        <x:v>0</x:v>
      </x:c>
      <x:c r="J458" s="2" t="str">
        <x:f>IF(H458=1,F458-D458,"")</x:f>
      </x:c>
      <x:c r="K458" s="2" t="str">
        <x:f>IF(H458=1,F458-E458,"")</x:f>
      </x:c>
      <x:c r="L458" s="2" t="n">
        <x:v>9</x:v>
      </x:c>
      <x:c r="M458" s="2"/>
      <x:c r="N458" s="20" t="n">
        <x:v>0.4</x:v>
      </x:c>
      <x:c r="O458" s="20" t="n">
        <x:v>0.2</x:v>
      </x:c>
      <x:c r="P458" s="20" t="n">
        <x:v>0.25</x:v>
      </x:c>
      <x:c r="Q458" s="2" t="n">
        <x:v>33</x:v>
      </x:c>
      <x:c r="R458" s="2" t="str">
        <x:v>ISTJ</x:v>
      </x:c>
      <x:c r="S458" s="2" t="str">
        <x:v>华南</x:v>
      </x:c>
      <x:c r="T458" s="2" t="str">
        <x:v>专业技术岗位</x:v>
      </x:c>
    </x:row>
    <x:row r="459" ht="24" customHeight="1">
      <x:c r="A459" s="2" t="str">
        <x:v>D040_T02_C020_G025</x:v>
      </x:c>
      <x:c r="B459" s="2" t="str">
        <x:v>A0040</x:v>
      </x:c>
      <x:c r="C459" s="2" t="str">
        <x:v>inside</x:v>
      </x:c>
      <x:c r="D459" s="2" t="n">
        <x:v>2</x:v>
      </x:c>
      <x:c r="E459" s="2" t="n">
        <x:v>1</x:v>
      </x:c>
      <x:c r="F459" s="2" t="n">
        <x:v>8</x:v>
      </x:c>
      <x:c r="G459" s="2" t="str">
        <x:v>observed_post_release</x:v>
      </x:c>
      <x:c r="H459" s="2" t="n">
        <x:f>IF(AND(ISNUMBER(F459),F459&gt;=D459),1,0)</x:f>
        <x:v>1</x:v>
      </x:c>
      <x:c r="I459" s="2" t="n">
        <x:f>IF(AND(ISNUMBER(F459),F459&gt;D459),1,0)</x:f>
        <x:v>1</x:v>
      </x:c>
      <x:c r="J459" s="2" t="n">
        <x:f>IF(H459=1,F459-D459,"")</x:f>
        <x:v>6</x:v>
      </x:c>
      <x:c r="K459" s="2" t="n">
        <x:f>IF(H459=1,F459-E459,"")</x:f>
        <x:v>7</x:v>
      </x:c>
      <x:c r="L459" s="2" t="n">
        <x:v>9</x:v>
      </x:c>
      <x:c r="M459" s="2" t="n">
        <x:v>4</x:v>
      </x:c>
      <x:c r="N459" s="20" t="n">
        <x:v>0.4</x:v>
      </x:c>
      <x:c r="O459" s="20" t="n">
        <x:v>0.2</x:v>
      </x:c>
      <x:c r="P459" s="20" t="n">
        <x:v>0.25</x:v>
      </x:c>
      <x:c r="Q459" s="2" t="n">
        <x:v>48</x:v>
      </x:c>
      <x:c r="R459" s="2" t="str">
        <x:v>INFP</x:v>
      </x:c>
      <x:c r="S459" s="2" t="str">
        <x:v>西北</x:v>
      </x:c>
      <x:c r="T459" s="2" t="str">
        <x:v>个体经营或自由职业</x:v>
      </x:c>
    </x:row>
    <x:row r="460" ht="24" customHeight="1">
      <x:c r="A460" s="2" t="str">
        <x:v>D040_T02_C020_G025</x:v>
      </x:c>
      <x:c r="B460" s="2" t="str">
        <x:v>A0041</x:v>
      </x:c>
      <x:c r="C460" s="2" t="str">
        <x:v>inside</x:v>
      </x:c>
      <x:c r="D460" s="2" t="n">
        <x:v>2</x:v>
      </x:c>
      <x:c r="E460" s="2" t="n">
        <x:v>1</x:v>
      </x:c>
      <x:c r="F460" s="2" t="n">
        <x:v>9</x:v>
      </x:c>
      <x:c r="G460" s="2" t="str">
        <x:v>observed_post_release</x:v>
      </x:c>
      <x:c r="H460" s="2" t="n">
        <x:f>IF(AND(ISNUMBER(F460),F460&gt;=D460),1,0)</x:f>
        <x:v>1</x:v>
      </x:c>
      <x:c r="I460" s="2" t="n">
        <x:f>IF(AND(ISNUMBER(F460),F460&gt;D460),1,0)</x:f>
        <x:v>1</x:v>
      </x:c>
      <x:c r="J460" s="2" t="n">
        <x:f>IF(H460=1,F460-D460,"")</x:f>
        <x:v>7</x:v>
      </x:c>
      <x:c r="K460" s="2" t="n">
        <x:f>IF(H460=1,F460-E460,"")</x:f>
        <x:v>8</x:v>
      </x:c>
      <x:c r="L460" s="2" t="n">
        <x:v>9</x:v>
      </x:c>
      <x:c r="M460" s="2" t="n">
        <x:v>5</x:v>
      </x:c>
      <x:c r="N460" s="20" t="n">
        <x:v>0.4</x:v>
      </x:c>
      <x:c r="O460" s="20" t="n">
        <x:v>0.2</x:v>
      </x:c>
      <x:c r="P460" s="20" t="n">
        <x:v>0.25</x:v>
      </x:c>
      <x:c r="Q460" s="2" t="n">
        <x:v>62</x:v>
      </x:c>
      <x:c r="R460" s="2" t="str">
        <x:v>ISFJ</x:v>
      </x:c>
      <x:c r="S460" s="2" t="str">
        <x:v>西北</x:v>
      </x:c>
      <x:c r="T460" s="2" t="str">
        <x:v>个体经营或自由职业</x:v>
      </x:c>
    </x:row>
    <x:row r="461" ht="24" customHeight="1">
      <x:c r="A461" s="2" t="str">
        <x:v>D040_T02_C020_G025</x:v>
      </x:c>
      <x:c r="B461" s="2" t="str">
        <x:v>A0071</x:v>
      </x:c>
      <x:c r="C461" s="2" t="str">
        <x:v>inside</x:v>
      </x:c>
      <x:c r="D461" s="2" t="n">
        <x:v>2</x:v>
      </x:c>
      <x:c r="E461" s="2" t="n">
        <x:v>1</x:v>
      </x:c>
      <x:c r="F461" s="2" t="n">
        <x:v>8</x:v>
      </x:c>
      <x:c r="G461" s="2" t="str">
        <x:v>observed_post_release</x:v>
      </x:c>
      <x:c r="H461" s="2" t="n">
        <x:f>IF(AND(ISNUMBER(F461),F461&gt;=D461),1,0)</x:f>
        <x:v>1</x:v>
      </x:c>
      <x:c r="I461" s="2" t="n">
        <x:f>IF(AND(ISNUMBER(F461),F461&gt;D461),1,0)</x:f>
        <x:v>1</x:v>
      </x:c>
      <x:c r="J461" s="2" t="n">
        <x:f>IF(H461=1,F461-D461,"")</x:f>
        <x:v>6</x:v>
      </x:c>
      <x:c r="K461" s="2" t="n">
        <x:f>IF(H461=1,F461-E461,"")</x:f>
        <x:v>7</x:v>
      </x:c>
      <x:c r="L461" s="2" t="n">
        <x:v>9</x:v>
      </x:c>
      <x:c r="M461" s="2" t="n">
        <x:v>4</x:v>
      </x:c>
      <x:c r="N461" s="20" t="n">
        <x:v>0.4</x:v>
      </x:c>
      <x:c r="O461" s="20" t="n">
        <x:v>0.2</x:v>
      </x:c>
      <x:c r="P461" s="20" t="n">
        <x:v>0.25</x:v>
      </x:c>
      <x:c r="Q461" s="2" t="n">
        <x:v>33</x:v>
      </x:c>
      <x:c r="R461" s="2" t="str">
        <x:v>ISTJ</x:v>
      </x:c>
      <x:c r="S461" s="2" t="str">
        <x:v>华东</x:v>
      </x:c>
      <x:c r="T461" s="2" t="str">
        <x:v>商业服务岗位</x:v>
      </x:c>
    </x:row>
    <x:row r="462" ht="24" customHeight="1">
      <x:c r="A462" s="2" t="str">
        <x:v>D040_T02_C020_G025</x:v>
      </x:c>
      <x:c r="B462" s="2" t="str">
        <x:v>A0189</x:v>
      </x:c>
      <x:c r="C462" s="2" t="str">
        <x:v>inside</x:v>
      </x:c>
      <x:c r="D462" s="2" t="n">
        <x:v>2</x:v>
      </x:c>
      <x:c r="E462" s="2" t="n">
        <x:v>1</x:v>
      </x:c>
      <x:c r="F462" s="2" t="n">
        <x:v>8</x:v>
      </x:c>
      <x:c r="G462" s="2" t="str">
        <x:v>observed_post_release</x:v>
      </x:c>
      <x:c r="H462" s="2" t="n">
        <x:f>IF(AND(ISNUMBER(F462),F462&gt;=D462),1,0)</x:f>
        <x:v>1</x:v>
      </x:c>
      <x:c r="I462" s="2" t="n">
        <x:f>IF(AND(ISNUMBER(F462),F462&gt;D462),1,0)</x:f>
        <x:v>1</x:v>
      </x:c>
      <x:c r="J462" s="2" t="n">
        <x:f>IF(H462=1,F462-D462,"")</x:f>
        <x:v>6</x:v>
      </x:c>
      <x:c r="K462" s="2" t="n">
        <x:f>IF(H462=1,F462-E462,"")</x:f>
        <x:v>7</x:v>
      </x:c>
      <x:c r="L462" s="2" t="n">
        <x:v>9</x:v>
      </x:c>
      <x:c r="M462" s="2" t="n">
        <x:v>5</x:v>
      </x:c>
      <x:c r="N462" s="20" t="n">
        <x:v>0.4</x:v>
      </x:c>
      <x:c r="O462" s="20" t="n">
        <x:v>0.2</x:v>
      </x:c>
      <x:c r="P462" s="20" t="n">
        <x:v>0.25</x:v>
      </x:c>
      <x:c r="Q462" s="2" t="n">
        <x:v>45</x:v>
      </x:c>
      <x:c r="R462" s="2" t="str">
        <x:v>ISFJ</x:v>
      </x:c>
      <x:c r="S462" s="2" t="str">
        <x:v>西北</x:v>
      </x:c>
      <x:c r="T462" s="2" t="str">
        <x:v>生产运输或体力岗位</x:v>
      </x:c>
    </x:row>
    <x:row r="463" ht="24" customHeight="1">
      <x:c r="A463" s="2" t="str">
        <x:v>D040_T02_C020_G025</x:v>
      </x:c>
      <x:c r="B463" s="2" t="str">
        <x:v>A0206</x:v>
      </x:c>
      <x:c r="C463" s="2" t="str">
        <x:v>inside</x:v>
      </x:c>
      <x:c r="D463" s="2" t="n">
        <x:v>2</x:v>
      </x:c>
      <x:c r="E463" s="2" t="n">
        <x:v>1</x:v>
      </x:c>
      <x:c r="F463" s="2" t="n">
        <x:v>3</x:v>
      </x:c>
      <x:c r="G463" s="2" t="str">
        <x:v>observed_post_release</x:v>
      </x:c>
      <x:c r="H463" s="2" t="n">
        <x:f>IF(AND(ISNUMBER(F463),F463&gt;=D463),1,0)</x:f>
        <x:v>1</x:v>
      </x:c>
      <x:c r="I463" s="2" t="n">
        <x:f>IF(AND(ISNUMBER(F463),F463&gt;D463),1,0)</x:f>
        <x:v>1</x:v>
      </x:c>
      <x:c r="J463" s="2" t="n">
        <x:f>IF(H463=1,F463-D463,"")</x:f>
        <x:v>1</x:v>
      </x:c>
      <x:c r="K463" s="2" t="n">
        <x:f>IF(H463=1,F463-E463,"")</x:f>
        <x:v>2</x:v>
      </x:c>
      <x:c r="L463" s="2" t="n">
        <x:v>9</x:v>
      </x:c>
      <x:c r="M463" s="2" t="n">
        <x:v>2</x:v>
      </x:c>
      <x:c r="N463" s="20" t="n">
        <x:v>0.4</x:v>
      </x:c>
      <x:c r="O463" s="20" t="n">
        <x:v>0.2</x:v>
      </x:c>
      <x:c r="P463" s="20" t="n">
        <x:v>0.25</x:v>
      </x:c>
      <x:c r="Q463" s="2" t="n">
        <x:v>21</x:v>
      </x:c>
      <x:c r="R463" s="2" t="str">
        <x:v>ESTP</x:v>
      </x:c>
      <x:c r="S463" s="2" t="str">
        <x:v>西北</x:v>
      </x:c>
      <x:c r="T463" s="2" t="str">
        <x:v>暂未就业或家庭照料</x:v>
      </x:c>
    </x:row>
    <x:row r="464" ht="24" customHeight="1">
      <x:c r="A464" s="2" t="str">
        <x:v>D040_T02_C020_G050</x:v>
      </x:c>
      <x:c r="B464" s="2" t="str">
        <x:v>A0001</x:v>
      </x:c>
      <x:c r="C464" s="2" t="str">
        <x:v>inside</x:v>
      </x:c>
      <x:c r="D464" s="2" t="n">
        <x:v>2</x:v>
      </x:c>
      <x:c r="E464" s="2" t="n">
        <x:v>1</x:v>
      </x:c>
      <x:c r="F464" s="2" t="n">
        <x:v>4</x:v>
      </x:c>
      <x:c r="G464" s="2" t="str">
        <x:v>observed_post_release</x:v>
      </x:c>
      <x:c r="H464" s="2" t="n">
        <x:f>IF(AND(ISNUMBER(F464),F464&gt;=D464),1,0)</x:f>
        <x:v>1</x:v>
      </x:c>
      <x:c r="I464" s="2" t="n">
        <x:f>IF(AND(ISNUMBER(F464),F464&gt;D464),1,0)</x:f>
        <x:v>1</x:v>
      </x:c>
      <x:c r="J464" s="2" t="n">
        <x:f>IF(H464=1,F464-D464,"")</x:f>
        <x:v>2</x:v>
      </x:c>
      <x:c r="K464" s="2" t="n">
        <x:f>IF(H464=1,F464-E464,"")</x:f>
        <x:v>3</x:v>
      </x:c>
      <x:c r="L464" s="2" t="n">
        <x:v>9</x:v>
      </x:c>
      <x:c r="M464" s="2" t="n">
        <x:v>3</x:v>
      </x:c>
      <x:c r="N464" s="20" t="n">
        <x:v>0.4</x:v>
      </x:c>
      <x:c r="O464" s="20" t="n">
        <x:v>0.2</x:v>
      </x:c>
      <x:c r="P464" s="20" t="n">
        <x:v>0.5</x:v>
      </x:c>
      <x:c r="Q464" s="2" t="n">
        <x:v>22</x:v>
      </x:c>
      <x:c r="R464" s="2" t="str">
        <x:v>ESTJ</x:v>
      </x:c>
      <x:c r="S464" s="2" t="str">
        <x:v>华南</x:v>
      </x:c>
      <x:c r="T464" s="2" t="str">
        <x:v>在校学生</x:v>
      </x:c>
    </x:row>
    <x:row r="465" ht="24" customHeight="1">
      <x:c r="A465" s="2" t="str">
        <x:v>D040_T02_C020_G050</x:v>
      </x:c>
      <x:c r="B465" s="2" t="str">
        <x:v>A0005</x:v>
      </x:c>
      <x:c r="C465" s="2" t="str">
        <x:v>inside</x:v>
      </x:c>
      <x:c r="D465" s="2" t="n">
        <x:v>2</x:v>
      </x:c>
      <x:c r="E465" s="2" t="n">
        <x:v>1</x:v>
      </x:c>
      <x:c r="F465" s="2" t="n">
        <x:v>4</x:v>
      </x:c>
      <x:c r="G465" s="2" t="str">
        <x:v>observed_post_release</x:v>
      </x:c>
      <x:c r="H465" s="2" t="n">
        <x:f>IF(AND(ISNUMBER(F465),F465&gt;=D465),1,0)</x:f>
        <x:v>1</x:v>
      </x:c>
      <x:c r="I465" s="2" t="n">
        <x:f>IF(AND(ISNUMBER(F465),F465&gt;D465),1,0)</x:f>
        <x:v>1</x:v>
      </x:c>
      <x:c r="J465" s="2" t="n">
        <x:f>IF(H465=1,F465-D465,"")</x:f>
        <x:v>2</x:v>
      </x:c>
      <x:c r="K465" s="2" t="n">
        <x:f>IF(H465=1,F465-E465,"")</x:f>
        <x:v>3</x:v>
      </x:c>
      <x:c r="L465" s="2" t="n">
        <x:v>9</x:v>
      </x:c>
      <x:c r="M465" s="2" t="n">
        <x:v>4</x:v>
      </x:c>
      <x:c r="N465" s="20" t="n">
        <x:v>0.4</x:v>
      </x:c>
      <x:c r="O465" s="20" t="n">
        <x:v>0.2</x:v>
      </x:c>
      <x:c r="P465" s="20" t="n">
        <x:v>0.5</x:v>
      </x:c>
      <x:c r="Q465" s="2" t="n">
        <x:v>51</x:v>
      </x:c>
      <x:c r="R465" s="2" t="str">
        <x:v>ISTP</x:v>
      </x:c>
      <x:c r="S465" s="2" t="str">
        <x:v>华南</x:v>
      </x:c>
      <x:c r="T465" s="2" t="str">
        <x:v>生产运输或体力岗位</x:v>
      </x:c>
    </x:row>
    <x:row r="466" ht="24" customHeight="1">
      <x:c r="A466" s="2" t="str">
        <x:v>D040_T02_C020_G050</x:v>
      </x:c>
      <x:c r="B466" s="2" t="str">
        <x:v>A0008</x:v>
      </x:c>
      <x:c r="C466" s="2" t="str">
        <x:v>inside</x:v>
      </x:c>
      <x:c r="D466" s="2" t="n">
        <x:v>2</x:v>
      </x:c>
      <x:c r="E466" s="2" t="n">
        <x:v>1</x:v>
      </x:c>
      <x:c r="F466" s="2" t="n">
        <x:v>4</x:v>
      </x:c>
      <x:c r="G466" s="2" t="str">
        <x:v>observed_post_release</x:v>
      </x:c>
      <x:c r="H466" s="2" t="n">
        <x:f>IF(AND(ISNUMBER(F466),F466&gt;=D466),1,0)</x:f>
        <x:v>1</x:v>
      </x:c>
      <x:c r="I466" s="2" t="n">
        <x:f>IF(AND(ISNUMBER(F466),F466&gt;D466),1,0)</x:f>
        <x:v>1</x:v>
      </x:c>
      <x:c r="J466" s="2" t="n">
        <x:f>IF(H466=1,F466-D466,"")</x:f>
        <x:v>2</x:v>
      </x:c>
      <x:c r="K466" s="2" t="n">
        <x:f>IF(H466=1,F466-E466,"")</x:f>
        <x:v>3</x:v>
      </x:c>
      <x:c r="L466" s="2" t="n">
        <x:v>9</x:v>
      </x:c>
      <x:c r="M466" s="2" t="n">
        <x:v>4</x:v>
      </x:c>
      <x:c r="N466" s="20" t="n">
        <x:v>0.4</x:v>
      </x:c>
      <x:c r="O466" s="20" t="n">
        <x:v>0.2</x:v>
      </x:c>
      <x:c r="P466" s="20" t="n">
        <x:v>0.5</x:v>
      </x:c>
      <x:c r="Q466" s="2" t="n">
        <x:v>36</x:v>
      </x:c>
      <x:c r="R466" s="2" t="str">
        <x:v>ISFP</x:v>
      </x:c>
      <x:c r="S466" s="2" t="str">
        <x:v>华南</x:v>
      </x:c>
      <x:c r="T466" s="2" t="str">
        <x:v>生产运输或体力岗位</x:v>
      </x:c>
    </x:row>
    <x:row r="467" ht="24" customHeight="1">
      <x:c r="A467" s="2" t="str">
        <x:v>D040_T02_C020_G050</x:v>
      </x:c>
      <x:c r="B467" s="2" t="str">
        <x:v>A0009</x:v>
      </x:c>
      <x:c r="C467" s="2" t="str">
        <x:v>inside</x:v>
      </x:c>
      <x:c r="D467" s="2" t="n">
        <x:v>2</x:v>
      </x:c>
      <x:c r="E467" s="2" t="n">
        <x:v>1</x:v>
      </x:c>
      <x:c r="F467" s="2" t="n">
        <x:v>3</x:v>
      </x:c>
      <x:c r="G467" s="2" t="str">
        <x:v>observed_post_release</x:v>
      </x:c>
      <x:c r="H467" s="2" t="n">
        <x:f>IF(AND(ISNUMBER(F467),F467&gt;=D467),1,0)</x:f>
        <x:v>1</x:v>
      </x:c>
      <x:c r="I467" s="2" t="n">
        <x:f>IF(AND(ISNUMBER(F467),F467&gt;D467),1,0)</x:f>
        <x:v>1</x:v>
      </x:c>
      <x:c r="J467" s="2" t="n">
        <x:f>IF(H467=1,F467-D467,"")</x:f>
        <x:v>1</x:v>
      </x:c>
      <x:c r="K467" s="2" t="n">
        <x:f>IF(H467=1,F467-E467,"")</x:f>
        <x:v>2</x:v>
      </x:c>
      <x:c r="L467" s="2" t="n">
        <x:v>9</x:v>
      </x:c>
      <x:c r="M467" s="2" t="n">
        <x:v>3</x:v>
      </x:c>
      <x:c r="N467" s="20" t="n">
        <x:v>0.4</x:v>
      </x:c>
      <x:c r="O467" s="20" t="n">
        <x:v>0.2</x:v>
      </x:c>
      <x:c r="P467" s="20" t="n">
        <x:v>0.5</x:v>
      </x:c>
      <x:c r="Q467" s="2" t="n">
        <x:v>32</x:v>
      </x:c>
      <x:c r="R467" s="2" t="str">
        <x:v>ENFJ</x:v>
      </x:c>
      <x:c r="S467" s="2" t="str">
        <x:v>华东</x:v>
      </x:c>
      <x:c r="T467" s="2" t="str">
        <x:v>商业服务岗位</x:v>
      </x:c>
    </x:row>
    <x:row r="468" ht="24" customHeight="1">
      <x:c r="A468" s="2" t="str">
        <x:v>D040_T02_C020_G050</x:v>
      </x:c>
      <x:c r="B468" s="2" t="str">
        <x:v>A0011</x:v>
      </x:c>
      <x:c r="C468" s="2" t="str">
        <x:v>inside</x:v>
      </x:c>
      <x:c r="D468" s="2" t="n">
        <x:v>2</x:v>
      </x:c>
      <x:c r="E468" s="2" t="n">
        <x:v>1</x:v>
      </x:c>
      <x:c r="F468" s="2" t="n">
        <x:v>4</x:v>
      </x:c>
      <x:c r="G468" s="2" t="str">
        <x:v>observed_post_release</x:v>
      </x:c>
      <x:c r="H468" s="2" t="n">
        <x:f>IF(AND(ISNUMBER(F468),F468&gt;=D468),1,0)</x:f>
        <x:v>1</x:v>
      </x:c>
      <x:c r="I468" s="2" t="n">
        <x:f>IF(AND(ISNUMBER(F468),F468&gt;D468),1,0)</x:f>
        <x:v>1</x:v>
      </x:c>
      <x:c r="J468" s="2" t="n">
        <x:f>IF(H468=1,F468-D468,"")</x:f>
        <x:v>2</x:v>
      </x:c>
      <x:c r="K468" s="2" t="n">
        <x:f>IF(H468=1,F468-E468,"")</x:f>
        <x:v>3</x:v>
      </x:c>
      <x:c r="L468" s="2" t="n">
        <x:v>9</x:v>
      </x:c>
      <x:c r="M468" s="2" t="n">
        <x:v>2</x:v>
      </x:c>
      <x:c r="N468" s="20" t="n">
        <x:v>0.4</x:v>
      </x:c>
      <x:c r="O468" s="20" t="n">
        <x:v>0.2</x:v>
      </x:c>
      <x:c r="P468" s="20" t="n">
        <x:v>0.5</x:v>
      </x:c>
      <x:c r="Q468" s="2" t="n">
        <x:v>42</x:v>
      </x:c>
      <x:c r="R468" s="2" t="str">
        <x:v>ENFJ</x:v>
      </x:c>
      <x:c r="S468" s="2" t="str">
        <x:v>西南</x:v>
      </x:c>
      <x:c r="T468" s="2" t="str">
        <x:v>行政或办公室岗位</x:v>
      </x:c>
    </x:row>
    <x:row r="469" ht="24" customHeight="1">
      <x:c r="A469" s="2" t="str">
        <x:v>D040_T02_C020_G050</x:v>
      </x:c>
      <x:c r="B469" s="2" t="str">
        <x:v>A0012</x:v>
      </x:c>
      <x:c r="C469" s="2" t="str">
        <x:v>inside</x:v>
      </x:c>
      <x:c r="D469" s="2" t="n">
        <x:v>2</x:v>
      </x:c>
      <x:c r="E469" s="2" t="n">
        <x:v>1</x:v>
      </x:c>
      <x:c r="F469" s="2"/>
      <x:c r="G469" s="2" t="str">
        <x:v>right_censored</x:v>
      </x:c>
      <x:c r="H469" s="2" t="n">
        <x:f>IF(AND(ISNUMBER(F469),F469&gt;=D469),1,0)</x:f>
        <x:v>0</x:v>
      </x:c>
      <x:c r="I469" s="2" t="n">
        <x:f>IF(AND(ISNUMBER(F469),F469&gt;D469),1,0)</x:f>
        <x:v>0</x:v>
      </x:c>
      <x:c r="J469" s="2" t="str">
        <x:f>IF(H469=1,F469-D469,"")</x:f>
      </x:c>
      <x:c r="K469" s="2" t="str">
        <x:f>IF(H469=1,F469-E469,"")</x:f>
      </x:c>
      <x:c r="L469" s="2" t="n">
        <x:v>9</x:v>
      </x:c>
      <x:c r="M469" s="2" t="n">
        <x:v>3</x:v>
      </x:c>
      <x:c r="N469" s="20" t="n">
        <x:v>0.4</x:v>
      </x:c>
      <x:c r="O469" s="20" t="n">
        <x:v>0.2</x:v>
      </x:c>
      <x:c r="P469" s="20" t="n">
        <x:v>0.5</x:v>
      </x:c>
      <x:c r="Q469" s="2" t="n">
        <x:v>38</x:v>
      </x:c>
      <x:c r="R469" s="2" t="str">
        <x:v>ESFP</x:v>
      </x:c>
      <x:c r="S469" s="2" t="str">
        <x:v>华中</x:v>
      </x:c>
      <x:c r="T469" s="2" t="str">
        <x:v>行政或办公室岗位</x:v>
      </x:c>
    </x:row>
    <x:row r="470" ht="24" customHeight="1">
      <x:c r="A470" s="2" t="str">
        <x:v>D040_T02_C020_G050</x:v>
      </x:c>
      <x:c r="B470" s="2" t="str">
        <x:v>A0014</x:v>
      </x:c>
      <x:c r="C470" s="2" t="str">
        <x:v>inside</x:v>
      </x:c>
      <x:c r="D470" s="2" t="n">
        <x:v>2</x:v>
      </x:c>
      <x:c r="E470" s="2" t="n">
        <x:v>1</x:v>
      </x:c>
      <x:c r="F470" s="2" t="n">
        <x:v>2</x:v>
      </x:c>
      <x:c r="G470" s="2" t="str">
        <x:v>observed_post_release</x:v>
      </x:c>
      <x:c r="H470" s="2" t="n">
        <x:f>IF(AND(ISNUMBER(F470),F470&gt;=D470),1,0)</x:f>
        <x:v>1</x:v>
      </x:c>
      <x:c r="I470" s="2" t="n">
        <x:f>IF(AND(ISNUMBER(F470),F470&gt;D470),1,0)</x:f>
        <x:v>0</x:v>
      </x:c>
      <x:c r="J470" s="2" t="n">
        <x:f>IF(H470=1,F470-D470,"")</x:f>
        <x:v>0</x:v>
      </x:c>
      <x:c r="K470" s="2" t="n">
        <x:f>IF(H470=1,F470-E470,"")</x:f>
        <x:v>1</x:v>
      </x:c>
      <x:c r="L470" s="2" t="n">
        <x:v>9</x:v>
      </x:c>
      <x:c r="M470" s="2" t="n">
        <x:v>2</x:v>
      </x:c>
      <x:c r="N470" s="20" t="n">
        <x:v>0.4</x:v>
      </x:c>
      <x:c r="O470" s="20" t="n">
        <x:v>0.2</x:v>
      </x:c>
      <x:c r="P470" s="20" t="n">
        <x:v>0.5</x:v>
      </x:c>
      <x:c r="Q470" s="2" t="n">
        <x:v>52</x:v>
      </x:c>
      <x:c r="R470" s="2" t="str">
        <x:v>INFJ</x:v>
      </x:c>
      <x:c r="S470" s="2" t="str">
        <x:v>华东</x:v>
      </x:c>
      <x:c r="T470" s="2" t="str">
        <x:v>生产运输或体力岗位</x:v>
      </x:c>
    </x:row>
    <x:row r="471" ht="24" customHeight="1">
      <x:c r="A471" s="2" t="str">
        <x:v>D040_T02_C020_G050</x:v>
      </x:c>
      <x:c r="B471" s="2" t="str">
        <x:v>A0016</x:v>
      </x:c>
      <x:c r="C471" s="2" t="str">
        <x:v>inside</x:v>
      </x:c>
      <x:c r="D471" s="2" t="n">
        <x:v>2</x:v>
      </x:c>
      <x:c r="E471" s="2" t="n">
        <x:v>1</x:v>
      </x:c>
      <x:c r="F471" s="2" t="n">
        <x:v>4</x:v>
      </x:c>
      <x:c r="G471" s="2" t="str">
        <x:v>observed_post_release</x:v>
      </x:c>
      <x:c r="H471" s="2" t="n">
        <x:f>IF(AND(ISNUMBER(F471),F471&gt;=D471),1,0)</x:f>
        <x:v>1</x:v>
      </x:c>
      <x:c r="I471" s="2" t="n">
        <x:f>IF(AND(ISNUMBER(F471),F471&gt;D471),1,0)</x:f>
        <x:v>1</x:v>
      </x:c>
      <x:c r="J471" s="2" t="n">
        <x:f>IF(H471=1,F471-D471,"")</x:f>
        <x:v>2</x:v>
      </x:c>
      <x:c r="K471" s="2" t="n">
        <x:f>IF(H471=1,F471-E471,"")</x:f>
        <x:v>3</x:v>
      </x:c>
      <x:c r="L471" s="2" t="n">
        <x:v>9</x:v>
      </x:c>
      <x:c r="M471" s="2" t="n">
        <x:v>4</x:v>
      </x:c>
      <x:c r="N471" s="20" t="n">
        <x:v>0.4</x:v>
      </x:c>
      <x:c r="O471" s="20" t="n">
        <x:v>0.2</x:v>
      </x:c>
      <x:c r="P471" s="20" t="n">
        <x:v>0.5</x:v>
      </x:c>
      <x:c r="Q471" s="2" t="n">
        <x:v>60</x:v>
      </x:c>
      <x:c r="R471" s="2" t="str">
        <x:v>ESFJ</x:v>
      </x:c>
      <x:c r="S471" s="2" t="str">
        <x:v>华北</x:v>
      </x:c>
      <x:c r="T471" s="2" t="str">
        <x:v>个体经营或自由职业</x:v>
      </x:c>
    </x:row>
    <x:row r="472" ht="24" customHeight="1">
      <x:c r="A472" s="2" t="str">
        <x:v>D040_T02_C020_G050</x:v>
      </x:c>
      <x:c r="B472" s="2" t="str">
        <x:v>A0017</x:v>
      </x:c>
      <x:c r="C472" s="2" t="str">
        <x:v>inside</x:v>
      </x:c>
      <x:c r="D472" s="2" t="n">
        <x:v>2</x:v>
      </x:c>
      <x:c r="E472" s="2" t="n">
        <x:v>1</x:v>
      </x:c>
      <x:c r="F472" s="2" t="n">
        <x:v>4</x:v>
      </x:c>
      <x:c r="G472" s="2" t="str">
        <x:v>observed_post_release</x:v>
      </x:c>
      <x:c r="H472" s="2" t="n">
        <x:f>IF(AND(ISNUMBER(F472),F472&gt;=D472),1,0)</x:f>
        <x:v>1</x:v>
      </x:c>
      <x:c r="I472" s="2" t="n">
        <x:f>IF(AND(ISNUMBER(F472),F472&gt;D472),1,0)</x:f>
        <x:v>1</x:v>
      </x:c>
      <x:c r="J472" s="2" t="n">
        <x:f>IF(H472=1,F472-D472,"")</x:f>
        <x:v>2</x:v>
      </x:c>
      <x:c r="K472" s="2" t="n">
        <x:f>IF(H472=1,F472-E472,"")</x:f>
        <x:v>3</x:v>
      </x:c>
      <x:c r="L472" s="2" t="n">
        <x:v>9</x:v>
      </x:c>
      <x:c r="M472" s="2" t="n">
        <x:v>4</x:v>
      </x:c>
      <x:c r="N472" s="20" t="n">
        <x:v>0.4</x:v>
      </x:c>
      <x:c r="O472" s="20" t="n">
        <x:v>0.2</x:v>
      </x:c>
      <x:c r="P472" s="20" t="n">
        <x:v>0.5</x:v>
      </x:c>
      <x:c r="Q472" s="2" t="n">
        <x:v>30</x:v>
      </x:c>
      <x:c r="R472" s="2" t="str">
        <x:v>ISTJ</x:v>
      </x:c>
      <x:c r="S472" s="2" t="str">
        <x:v>华东</x:v>
      </x:c>
      <x:c r="T472" s="2" t="str">
        <x:v>商业服务岗位</x:v>
      </x:c>
    </x:row>
    <x:row r="473" ht="24" customHeight="1">
      <x:c r="A473" s="2" t="str">
        <x:v>D040_T02_C020_G050</x:v>
      </x:c>
      <x:c r="B473" s="2" t="str">
        <x:v>A0018</x:v>
      </x:c>
      <x:c r="C473" s="2" t="str">
        <x:v>inside</x:v>
      </x:c>
      <x:c r="D473" s="2" t="n">
        <x:v>2</x:v>
      </x:c>
      <x:c r="E473" s="2" t="n">
        <x:v>1</x:v>
      </x:c>
      <x:c r="F473" s="2" t="n">
        <x:v>4</x:v>
      </x:c>
      <x:c r="G473" s="2" t="str">
        <x:v>observed_post_release</x:v>
      </x:c>
      <x:c r="H473" s="2" t="n">
        <x:f>IF(AND(ISNUMBER(F473),F473&gt;=D473),1,0)</x:f>
        <x:v>1</x:v>
      </x:c>
      <x:c r="I473" s="2" t="n">
        <x:f>IF(AND(ISNUMBER(F473),F473&gt;D473),1,0)</x:f>
        <x:v>1</x:v>
      </x:c>
      <x:c r="J473" s="2" t="n">
        <x:f>IF(H473=1,F473-D473,"")</x:f>
        <x:v>2</x:v>
      </x:c>
      <x:c r="K473" s="2" t="n">
        <x:f>IF(H473=1,F473-E473,"")</x:f>
        <x:v>3</x:v>
      </x:c>
      <x:c r="L473" s="2" t="n">
        <x:v>9</x:v>
      </x:c>
      <x:c r="M473" s="2" t="n">
        <x:v>4</x:v>
      </x:c>
      <x:c r="N473" s="20" t="n">
        <x:v>0.4</x:v>
      </x:c>
      <x:c r="O473" s="20" t="n">
        <x:v>0.2</x:v>
      </x:c>
      <x:c r="P473" s="20" t="n">
        <x:v>0.5</x:v>
      </x:c>
      <x:c r="Q473" s="2" t="n">
        <x:v>60</x:v>
      </x:c>
      <x:c r="R473" s="2" t="str">
        <x:v>INTJ</x:v>
      </x:c>
      <x:c r="S473" s="2" t="str">
        <x:v>华南</x:v>
      </x:c>
      <x:c r="T473" s="2" t="str">
        <x:v>专业技术岗位</x:v>
      </x:c>
    </x:row>
    <x:row r="474" ht="24" customHeight="1">
      <x:c r="A474" s="2" t="str">
        <x:v>D040_T02_C020_G050</x:v>
      </x:c>
      <x:c r="B474" s="2" t="str">
        <x:v>A0020</x:v>
      </x:c>
      <x:c r="C474" s="2" t="str">
        <x:v>inside</x:v>
      </x:c>
      <x:c r="D474" s="2" t="n">
        <x:v>2</x:v>
      </x:c>
      <x:c r="E474" s="2" t="n">
        <x:v>1</x:v>
      </x:c>
      <x:c r="F474" s="2" t="n">
        <x:v>2</x:v>
      </x:c>
      <x:c r="G474" s="2" t="str">
        <x:v>observed_post_release</x:v>
      </x:c>
      <x:c r="H474" s="2" t="n">
        <x:f>IF(AND(ISNUMBER(F474),F474&gt;=D474),1,0)</x:f>
        <x:v>1</x:v>
      </x:c>
      <x:c r="I474" s="2" t="n">
        <x:f>IF(AND(ISNUMBER(F474),F474&gt;D474),1,0)</x:f>
        <x:v>0</x:v>
      </x:c>
      <x:c r="J474" s="2" t="n">
        <x:f>IF(H474=1,F474-D474,"")</x:f>
        <x:v>0</x:v>
      </x:c>
      <x:c r="K474" s="2" t="n">
        <x:f>IF(H474=1,F474-E474,"")</x:f>
        <x:v>1</x:v>
      </x:c>
      <x:c r="L474" s="2" t="n">
        <x:v>9</x:v>
      </x:c>
      <x:c r="M474" s="2" t="n">
        <x:v>2</x:v>
      </x:c>
      <x:c r="N474" s="20" t="n">
        <x:v>0.4</x:v>
      </x:c>
      <x:c r="O474" s="20" t="n">
        <x:v>0.2</x:v>
      </x:c>
      <x:c r="P474" s="20" t="n">
        <x:v>0.5</x:v>
      </x:c>
      <x:c r="Q474" s="2" t="n">
        <x:v>42</x:v>
      </x:c>
      <x:c r="R474" s="2" t="str">
        <x:v>ENTJ</x:v>
      </x:c>
      <x:c r="S474" s="2" t="str">
        <x:v>西南</x:v>
      </x:c>
      <x:c r="T474" s="2" t="str">
        <x:v>行政或办公室岗位</x:v>
      </x:c>
    </x:row>
    <x:row r="475" ht="24" customHeight="1">
      <x:c r="A475" s="2" t="str">
        <x:v>D040_T02_C020_G050</x:v>
      </x:c>
      <x:c r="B475" s="2" t="str">
        <x:v>A0022</x:v>
      </x:c>
      <x:c r="C475" s="2" t="str">
        <x:v>inside</x:v>
      </x:c>
      <x:c r="D475" s="2" t="n">
        <x:v>2</x:v>
      </x:c>
      <x:c r="E475" s="2" t="n">
        <x:v>1</x:v>
      </x:c>
      <x:c r="F475" s="2" t="n">
        <x:v>4</x:v>
      </x:c>
      <x:c r="G475" s="2" t="str">
        <x:v>observed_post_release</x:v>
      </x:c>
      <x:c r="H475" s="2" t="n">
        <x:f>IF(AND(ISNUMBER(F475),F475&gt;=D475),1,0)</x:f>
        <x:v>1</x:v>
      </x:c>
      <x:c r="I475" s="2" t="n">
        <x:f>IF(AND(ISNUMBER(F475),F475&gt;D475),1,0)</x:f>
        <x:v>1</x:v>
      </x:c>
      <x:c r="J475" s="2" t="n">
        <x:f>IF(H475=1,F475-D475,"")</x:f>
        <x:v>2</x:v>
      </x:c>
      <x:c r="K475" s="2" t="n">
        <x:f>IF(H475=1,F475-E475,"")</x:f>
        <x:v>3</x:v>
      </x:c>
      <x:c r="L475" s="2" t="n">
        <x:v>9</x:v>
      </x:c>
      <x:c r="M475" s="2" t="n">
        <x:v>4</x:v>
      </x:c>
      <x:c r="N475" s="20" t="n">
        <x:v>0.4</x:v>
      </x:c>
      <x:c r="O475" s="20" t="n">
        <x:v>0.2</x:v>
      </x:c>
      <x:c r="P475" s="20" t="n">
        <x:v>0.5</x:v>
      </x:c>
      <x:c r="Q475" s="2" t="n">
        <x:v>51</x:v>
      </x:c>
      <x:c r="R475" s="2" t="str">
        <x:v>INFJ</x:v>
      </x:c>
      <x:c r="S475" s="2" t="str">
        <x:v>西南</x:v>
      </x:c>
      <x:c r="T475" s="2" t="str">
        <x:v>个体经营或自由职业</x:v>
      </x:c>
    </x:row>
    <x:row r="476" ht="24" customHeight="1">
      <x:c r="A476" s="2" t="str">
        <x:v>D040_T02_C020_G050</x:v>
      </x:c>
      <x:c r="B476" s="2" t="str">
        <x:v>A0024</x:v>
      </x:c>
      <x:c r="C476" s="2" t="str">
        <x:v>inside</x:v>
      </x:c>
      <x:c r="D476" s="2" t="n">
        <x:v>2</x:v>
      </x:c>
      <x:c r="E476" s="2" t="n">
        <x:v>1</x:v>
      </x:c>
      <x:c r="F476" s="2" t="n">
        <x:v>4</x:v>
      </x:c>
      <x:c r="G476" s="2" t="str">
        <x:v>observed_post_release</x:v>
      </x:c>
      <x:c r="H476" s="2" t="n">
        <x:f>IF(AND(ISNUMBER(F476),F476&gt;=D476),1,0)</x:f>
        <x:v>1</x:v>
      </x:c>
      <x:c r="I476" s="2" t="n">
        <x:f>IF(AND(ISNUMBER(F476),F476&gt;D476),1,0)</x:f>
        <x:v>1</x:v>
      </x:c>
      <x:c r="J476" s="2" t="n">
        <x:f>IF(H476=1,F476-D476,"")</x:f>
        <x:v>2</x:v>
      </x:c>
      <x:c r="K476" s="2" t="n">
        <x:f>IF(H476=1,F476-E476,"")</x:f>
        <x:v>3</x:v>
      </x:c>
      <x:c r="L476" s="2" t="n">
        <x:v>9</x:v>
      </x:c>
      <x:c r="M476" s="2" t="n">
        <x:v>3</x:v>
      </x:c>
      <x:c r="N476" s="20" t="n">
        <x:v>0.4</x:v>
      </x:c>
      <x:c r="O476" s="20" t="n">
        <x:v>0.2</x:v>
      </x:c>
      <x:c r="P476" s="20" t="n">
        <x:v>0.5</x:v>
      </x:c>
      <x:c r="Q476" s="2" t="n">
        <x:v>31</x:v>
      </x:c>
      <x:c r="R476" s="2" t="str">
        <x:v>ESTP</x:v>
      </x:c>
      <x:c r="S476" s="2" t="str">
        <x:v>华北</x:v>
      </x:c>
      <x:c r="T476" s="2" t="str">
        <x:v>商业服务岗位</x:v>
      </x:c>
    </x:row>
    <x:row r="477" ht="24" customHeight="1">
      <x:c r="A477" s="2" t="str">
        <x:v>D040_T02_C020_G050</x:v>
      </x:c>
      <x:c r="B477" s="2" t="str">
        <x:v>A0025</x:v>
      </x:c>
      <x:c r="C477" s="2" t="str">
        <x:v>inside</x:v>
      </x:c>
      <x:c r="D477" s="2" t="n">
        <x:v>2</x:v>
      </x:c>
      <x:c r="E477" s="2" t="n">
        <x:v>1</x:v>
      </x:c>
      <x:c r="F477" s="2" t="n">
        <x:v>2</x:v>
      </x:c>
      <x:c r="G477" s="2" t="str">
        <x:v>observed_post_release</x:v>
      </x:c>
      <x:c r="H477" s="2" t="n">
        <x:f>IF(AND(ISNUMBER(F477),F477&gt;=D477),1,0)</x:f>
        <x:v>1</x:v>
      </x:c>
      <x:c r="I477" s="2" t="n">
        <x:f>IF(AND(ISNUMBER(F477),F477&gt;D477),1,0)</x:f>
        <x:v>0</x:v>
      </x:c>
      <x:c r="J477" s="2" t="n">
        <x:f>IF(H477=1,F477-D477,"")</x:f>
        <x:v>0</x:v>
      </x:c>
      <x:c r="K477" s="2" t="n">
        <x:f>IF(H477=1,F477-E477,"")</x:f>
        <x:v>1</x:v>
      </x:c>
      <x:c r="L477" s="2" t="n">
        <x:v>9</x:v>
      </x:c>
      <x:c r="M477" s="2" t="n">
        <x:v>2</x:v>
      </x:c>
      <x:c r="N477" s="20" t="n">
        <x:v>0.4</x:v>
      </x:c>
      <x:c r="O477" s="20" t="n">
        <x:v>0.2</x:v>
      </x:c>
      <x:c r="P477" s="20" t="n">
        <x:v>0.5</x:v>
      </x:c>
      <x:c r="Q477" s="2" t="n">
        <x:v>23</x:v>
      </x:c>
      <x:c r="R477" s="2" t="str">
        <x:v>ISTP</x:v>
      </x:c>
      <x:c r="S477" s="2" t="str">
        <x:v>华南</x:v>
      </x:c>
      <x:c r="T477" s="2" t="str">
        <x:v>行政或办公室岗位</x:v>
      </x:c>
    </x:row>
    <x:row r="478" ht="24" customHeight="1">
      <x:c r="A478" s="2" t="str">
        <x:v>D040_T02_C020_G050</x:v>
      </x:c>
      <x:c r="B478" s="2" t="str">
        <x:v>A0026</x:v>
      </x:c>
      <x:c r="C478" s="2" t="str">
        <x:v>inside</x:v>
      </x:c>
      <x:c r="D478" s="2" t="n">
        <x:v>2</x:v>
      </x:c>
      <x:c r="E478" s="2" t="n">
        <x:v>1</x:v>
      </x:c>
      <x:c r="F478" s="2" t="n">
        <x:v>2</x:v>
      </x:c>
      <x:c r="G478" s="2" t="str">
        <x:v>observed_post_release</x:v>
      </x:c>
      <x:c r="H478" s="2" t="n">
        <x:f>IF(AND(ISNUMBER(F478),F478&gt;=D478),1,0)</x:f>
        <x:v>1</x:v>
      </x:c>
      <x:c r="I478" s="2" t="n">
        <x:f>IF(AND(ISNUMBER(F478),F478&gt;D478),1,0)</x:f>
        <x:v>0</x:v>
      </x:c>
      <x:c r="J478" s="2" t="n">
        <x:f>IF(H478=1,F478-D478,"")</x:f>
        <x:v>0</x:v>
      </x:c>
      <x:c r="K478" s="2" t="n">
        <x:f>IF(H478=1,F478-E478,"")</x:f>
        <x:v>1</x:v>
      </x:c>
      <x:c r="L478" s="2" t="n">
        <x:v>9</x:v>
      </x:c>
      <x:c r="M478" s="2" t="n">
        <x:v>2</x:v>
      </x:c>
      <x:c r="N478" s="20" t="n">
        <x:v>0.4</x:v>
      </x:c>
      <x:c r="O478" s="20" t="n">
        <x:v>0.2</x:v>
      </x:c>
      <x:c r="P478" s="20" t="n">
        <x:v>0.5</x:v>
      </x:c>
      <x:c r="Q478" s="2" t="n">
        <x:v>36</x:v>
      </x:c>
      <x:c r="R478" s="2" t="str">
        <x:v>ISFP</x:v>
      </x:c>
      <x:c r="S478" s="2" t="str">
        <x:v>西北</x:v>
      </x:c>
      <x:c r="T478" s="2" t="str">
        <x:v>个体经营或自由职业</x:v>
      </x:c>
    </x:row>
    <x:row r="479" ht="24" customHeight="1">
      <x:c r="A479" s="2" t="str">
        <x:v>D040_T02_C020_G050</x:v>
      </x:c>
      <x:c r="B479" s="2" t="str">
        <x:v>A0027</x:v>
      </x:c>
      <x:c r="C479" s="2" t="str">
        <x:v>inside</x:v>
      </x:c>
      <x:c r="D479" s="2" t="n">
        <x:v>2</x:v>
      </x:c>
      <x:c r="E479" s="2" t="n">
        <x:v>1</x:v>
      </x:c>
      <x:c r="F479" s="2" t="n">
        <x:v>4</x:v>
      </x:c>
      <x:c r="G479" s="2" t="str">
        <x:v>observed_post_release</x:v>
      </x:c>
      <x:c r="H479" s="2" t="n">
        <x:f>IF(AND(ISNUMBER(F479),F479&gt;=D479),1,0)</x:f>
        <x:v>1</x:v>
      </x:c>
      <x:c r="I479" s="2" t="n">
        <x:f>IF(AND(ISNUMBER(F479),F479&gt;D479),1,0)</x:f>
        <x:v>1</x:v>
      </x:c>
      <x:c r="J479" s="2" t="n">
        <x:f>IF(H479=1,F479-D479,"")</x:f>
        <x:v>2</x:v>
      </x:c>
      <x:c r="K479" s="2" t="n">
        <x:f>IF(H479=1,F479-E479,"")</x:f>
        <x:v>3</x:v>
      </x:c>
      <x:c r="L479" s="2" t="n">
        <x:v>9</x:v>
      </x:c>
      <x:c r="M479" s="2" t="n">
        <x:v>3</x:v>
      </x:c>
      <x:c r="N479" s="20" t="n">
        <x:v>0.4</x:v>
      </x:c>
      <x:c r="O479" s="20" t="n">
        <x:v>0.2</x:v>
      </x:c>
      <x:c r="P479" s="20" t="n">
        <x:v>0.5</x:v>
      </x:c>
      <x:c r="Q479" s="2" t="n">
        <x:v>25</x:v>
      </x:c>
      <x:c r="R479" s="2" t="str">
        <x:v>ESFP</x:v>
      </x:c>
      <x:c r="S479" s="2" t="str">
        <x:v>西北</x:v>
      </x:c>
      <x:c r="T479" s="2" t="str">
        <x:v>暂未就业或家庭照料</x:v>
      </x:c>
    </x:row>
    <x:row r="480" ht="24" customHeight="1">
      <x:c r="A480" s="2" t="str">
        <x:v>D040_T02_C020_G050</x:v>
      </x:c>
      <x:c r="B480" s="2" t="str">
        <x:v>A0029</x:v>
      </x:c>
      <x:c r="C480" s="2" t="str">
        <x:v>inside</x:v>
      </x:c>
      <x:c r="D480" s="2" t="n">
        <x:v>2</x:v>
      </x:c>
      <x:c r="E480" s="2" t="n">
        <x:v>1</x:v>
      </x:c>
      <x:c r="F480" s="2" t="n">
        <x:v>4</x:v>
      </x:c>
      <x:c r="G480" s="2" t="str">
        <x:v>observed_post_release</x:v>
      </x:c>
      <x:c r="H480" s="2" t="n">
        <x:f>IF(AND(ISNUMBER(F480),F480&gt;=D480),1,0)</x:f>
        <x:v>1</x:v>
      </x:c>
      <x:c r="I480" s="2" t="n">
        <x:f>IF(AND(ISNUMBER(F480),F480&gt;D480),1,0)</x:f>
        <x:v>1</x:v>
      </x:c>
      <x:c r="J480" s="2" t="n">
        <x:f>IF(H480=1,F480-D480,"")</x:f>
        <x:v>2</x:v>
      </x:c>
      <x:c r="K480" s="2" t="n">
        <x:f>IF(H480=1,F480-E480,"")</x:f>
        <x:v>3</x:v>
      </x:c>
      <x:c r="L480" s="2" t="n">
        <x:v>9</x:v>
      </x:c>
      <x:c r="M480" s="2" t="n">
        <x:v>3</x:v>
      </x:c>
      <x:c r="N480" s="20" t="n">
        <x:v>0.4</x:v>
      </x:c>
      <x:c r="O480" s="20" t="n">
        <x:v>0.2</x:v>
      </x:c>
      <x:c r="P480" s="20" t="n">
        <x:v>0.5</x:v>
      </x:c>
      <x:c r="Q480" s="2" t="n">
        <x:v>69</x:v>
      </x:c>
      <x:c r="R480" s="2" t="str">
        <x:v>ENTP</x:v>
      </x:c>
      <x:c r="S480" s="2" t="str">
        <x:v>华东</x:v>
      </x:c>
      <x:c r="T480" s="2" t="str">
        <x:v>退休人员</x:v>
      </x:c>
    </x:row>
    <x:row r="481" ht="24" customHeight="1">
      <x:c r="A481" s="2" t="str">
        <x:v>D040_T02_C020_G050</x:v>
      </x:c>
      <x:c r="B481" s="2" t="str">
        <x:v>A0030</x:v>
      </x:c>
      <x:c r="C481" s="2" t="str">
        <x:v>inside</x:v>
      </x:c>
      <x:c r="D481" s="2" t="n">
        <x:v>2</x:v>
      </x:c>
      <x:c r="E481" s="2" t="n">
        <x:v>1</x:v>
      </x:c>
      <x:c r="F481" s="2" t="n">
        <x:v>4</x:v>
      </x:c>
      <x:c r="G481" s="2" t="str">
        <x:v>observed_post_release</x:v>
      </x:c>
      <x:c r="H481" s="2" t="n">
        <x:f>IF(AND(ISNUMBER(F481),F481&gt;=D481),1,0)</x:f>
        <x:v>1</x:v>
      </x:c>
      <x:c r="I481" s="2" t="n">
        <x:f>IF(AND(ISNUMBER(F481),F481&gt;D481),1,0)</x:f>
        <x:v>1</x:v>
      </x:c>
      <x:c r="J481" s="2" t="n">
        <x:f>IF(H481=1,F481-D481,"")</x:f>
        <x:v>2</x:v>
      </x:c>
      <x:c r="K481" s="2" t="n">
        <x:f>IF(H481=1,F481-E481,"")</x:f>
        <x:v>3</x:v>
      </x:c>
      <x:c r="L481" s="2" t="n">
        <x:v>9</x:v>
      </x:c>
      <x:c r="M481" s="2" t="n">
        <x:v>4</x:v>
      </x:c>
      <x:c r="N481" s="20" t="n">
        <x:v>0.4</x:v>
      </x:c>
      <x:c r="O481" s="20" t="n">
        <x:v>0.2</x:v>
      </x:c>
      <x:c r="P481" s="20" t="n">
        <x:v>0.5</x:v>
      </x:c>
      <x:c r="Q481" s="2" t="n">
        <x:v>23</x:v>
      </x:c>
      <x:c r="R481" s="2" t="str">
        <x:v>ISFP</x:v>
      </x:c>
      <x:c r="S481" s="2" t="str">
        <x:v>华东</x:v>
      </x:c>
      <x:c r="T481" s="2" t="str">
        <x:v>在校学生</x:v>
      </x:c>
    </x:row>
    <x:row r="482" ht="24" customHeight="1">
      <x:c r="A482" s="2" t="str">
        <x:v>D040_T02_C020_G050</x:v>
      </x:c>
      <x:c r="B482" s="2" t="str">
        <x:v>A0032</x:v>
      </x:c>
      <x:c r="C482" s="2" t="str">
        <x:v>inside</x:v>
      </x:c>
      <x:c r="D482" s="2" t="n">
        <x:v>2</x:v>
      </x:c>
      <x:c r="E482" s="2" t="n">
        <x:v>1</x:v>
      </x:c>
      <x:c r="F482" s="2" t="n">
        <x:v>2</x:v>
      </x:c>
      <x:c r="G482" s="2" t="str">
        <x:v>observed_post_release</x:v>
      </x:c>
      <x:c r="H482" s="2" t="n">
        <x:f>IF(AND(ISNUMBER(F482),F482&gt;=D482),1,0)</x:f>
        <x:v>1</x:v>
      </x:c>
      <x:c r="I482" s="2" t="n">
        <x:f>IF(AND(ISNUMBER(F482),F482&gt;D482),1,0)</x:f>
        <x:v>0</x:v>
      </x:c>
      <x:c r="J482" s="2" t="n">
        <x:f>IF(H482=1,F482-D482,"")</x:f>
        <x:v>0</x:v>
      </x:c>
      <x:c r="K482" s="2" t="n">
        <x:f>IF(H482=1,F482-E482,"")</x:f>
        <x:v>1</x:v>
      </x:c>
      <x:c r="L482" s="2" t="n">
        <x:v>9</x:v>
      </x:c>
      <x:c r="M482" s="2" t="n">
        <x:v>2</x:v>
      </x:c>
      <x:c r="N482" s="20" t="n">
        <x:v>0.4</x:v>
      </x:c>
      <x:c r="O482" s="20" t="n">
        <x:v>0.2</x:v>
      </x:c>
      <x:c r="P482" s="20" t="n">
        <x:v>0.5</x:v>
      </x:c>
      <x:c r="Q482" s="2" t="n">
        <x:v>53</x:v>
      </x:c>
      <x:c r="R482" s="2" t="str">
        <x:v>INTP</x:v>
      </x:c>
      <x:c r="S482" s="2" t="str">
        <x:v>华北</x:v>
      </x:c>
      <x:c r="T482" s="2" t="str">
        <x:v>个体经营或自由职业</x:v>
      </x:c>
    </x:row>
    <x:row r="483" ht="24" customHeight="1">
      <x:c r="A483" s="2" t="str">
        <x:v>D040_T02_C020_G050</x:v>
      </x:c>
      <x:c r="B483" s="2" t="str">
        <x:v>A0033</x:v>
      </x:c>
      <x:c r="C483" s="2" t="str">
        <x:v>inside</x:v>
      </x:c>
      <x:c r="D483" s="2" t="n">
        <x:v>2</x:v>
      </x:c>
      <x:c r="E483" s="2" t="n">
        <x:v>1</x:v>
      </x:c>
      <x:c r="F483" s="2" t="n">
        <x:v>3</x:v>
      </x:c>
      <x:c r="G483" s="2" t="str">
        <x:v>observed_post_release</x:v>
      </x:c>
      <x:c r="H483" s="2" t="n">
        <x:f>IF(AND(ISNUMBER(F483),F483&gt;=D483),1,0)</x:f>
        <x:v>1</x:v>
      </x:c>
      <x:c r="I483" s="2" t="n">
        <x:f>IF(AND(ISNUMBER(F483),F483&gt;D483),1,0)</x:f>
        <x:v>1</x:v>
      </x:c>
      <x:c r="J483" s="2" t="n">
        <x:f>IF(H483=1,F483-D483,"")</x:f>
        <x:v>1</x:v>
      </x:c>
      <x:c r="K483" s="2" t="n">
        <x:f>IF(H483=1,F483-E483,"")</x:f>
        <x:v>2</x:v>
      </x:c>
      <x:c r="L483" s="2" t="n">
        <x:v>9</x:v>
      </x:c>
      <x:c r="M483" s="2" t="n">
        <x:v>3</x:v>
      </x:c>
      <x:c r="N483" s="20" t="n">
        <x:v>0.4</x:v>
      </x:c>
      <x:c r="O483" s="20" t="n">
        <x:v>0.2</x:v>
      </x:c>
      <x:c r="P483" s="20" t="n">
        <x:v>0.5</x:v>
      </x:c>
      <x:c r="Q483" s="2" t="n">
        <x:v>55</x:v>
      </x:c>
      <x:c r="R483" s="2" t="str">
        <x:v>ENFP</x:v>
      </x:c>
      <x:c r="S483" s="2" t="str">
        <x:v>华南</x:v>
      </x:c>
      <x:c r="T483" s="2" t="str">
        <x:v>个体经营或自由职业</x:v>
      </x:c>
    </x:row>
    <x:row r="484" ht="24" customHeight="1">
      <x:c r="A484" s="2" t="str">
        <x:v>D040_T02_C020_G050</x:v>
      </x:c>
      <x:c r="B484" s="2" t="str">
        <x:v>A0035</x:v>
      </x:c>
      <x:c r="C484" s="2" t="str">
        <x:v>inside</x:v>
      </x:c>
      <x:c r="D484" s="2" t="n">
        <x:v>2</x:v>
      </x:c>
      <x:c r="E484" s="2" t="n">
        <x:v>1</x:v>
      </x:c>
      <x:c r="F484" s="2" t="n">
        <x:v>3</x:v>
      </x:c>
      <x:c r="G484" s="2" t="str">
        <x:v>observed_post_release</x:v>
      </x:c>
      <x:c r="H484" s="2" t="n">
        <x:f>IF(AND(ISNUMBER(F484),F484&gt;=D484),1,0)</x:f>
        <x:v>1</x:v>
      </x:c>
      <x:c r="I484" s="2" t="n">
        <x:f>IF(AND(ISNUMBER(F484),F484&gt;D484),1,0)</x:f>
        <x:v>1</x:v>
      </x:c>
      <x:c r="J484" s="2" t="n">
        <x:f>IF(H484=1,F484-D484,"")</x:f>
        <x:v>1</x:v>
      </x:c>
      <x:c r="K484" s="2" t="n">
        <x:f>IF(H484=1,F484-E484,"")</x:f>
        <x:v>2</x:v>
      </x:c>
      <x:c r="L484" s="2" t="n">
        <x:v>9</x:v>
      </x:c>
      <x:c r="M484" s="2" t="n">
        <x:v>3</x:v>
      </x:c>
      <x:c r="N484" s="20" t="n">
        <x:v>0.4</x:v>
      </x:c>
      <x:c r="O484" s="20" t="n">
        <x:v>0.2</x:v>
      </x:c>
      <x:c r="P484" s="20" t="n">
        <x:v>0.5</x:v>
      </x:c>
      <x:c r="Q484" s="2" t="n">
        <x:v>42</x:v>
      </x:c>
      <x:c r="R484" s="2" t="str">
        <x:v>ISFJ</x:v>
      </x:c>
      <x:c r="S484" s="2" t="str">
        <x:v>华南</x:v>
      </x:c>
      <x:c r="T484" s="2" t="str">
        <x:v>专业技术岗位</x:v>
      </x:c>
    </x:row>
    <x:row r="485" ht="24" customHeight="1">
      <x:c r="A485" s="2" t="str">
        <x:v>D040_T02_C020_G050</x:v>
      </x:c>
      <x:c r="B485" s="2" t="str">
        <x:v>A0036</x:v>
      </x:c>
      <x:c r="C485" s="2" t="str">
        <x:v>inside</x:v>
      </x:c>
      <x:c r="D485" s="2" t="n">
        <x:v>2</x:v>
      </x:c>
      <x:c r="E485" s="2" t="n">
        <x:v>1</x:v>
      </x:c>
      <x:c r="F485" s="2" t="n">
        <x:v>3</x:v>
      </x:c>
      <x:c r="G485" s="2" t="str">
        <x:v>observed_post_release</x:v>
      </x:c>
      <x:c r="H485" s="2" t="n">
        <x:f>IF(AND(ISNUMBER(F485),F485&gt;=D485),1,0)</x:f>
        <x:v>1</x:v>
      </x:c>
      <x:c r="I485" s="2" t="n">
        <x:f>IF(AND(ISNUMBER(F485),F485&gt;D485),1,0)</x:f>
        <x:v>1</x:v>
      </x:c>
      <x:c r="J485" s="2" t="n">
        <x:f>IF(H485=1,F485-D485,"")</x:f>
        <x:v>1</x:v>
      </x:c>
      <x:c r="K485" s="2" t="n">
        <x:f>IF(H485=1,F485-E485,"")</x:f>
        <x:v>2</x:v>
      </x:c>
      <x:c r="L485" s="2" t="n">
        <x:v>9</x:v>
      </x:c>
      <x:c r="M485" s="2" t="n">
        <x:v>3</x:v>
      </x:c>
      <x:c r="N485" s="20" t="n">
        <x:v>0.4</x:v>
      </x:c>
      <x:c r="O485" s="20" t="n">
        <x:v>0.2</x:v>
      </x:c>
      <x:c r="P485" s="20" t="n">
        <x:v>0.5</x:v>
      </x:c>
      <x:c r="Q485" s="2" t="n">
        <x:v>43</x:v>
      </x:c>
      <x:c r="R485" s="2" t="str">
        <x:v>ISFJ</x:v>
      </x:c>
      <x:c r="S485" s="2" t="str">
        <x:v>华东</x:v>
      </x:c>
      <x:c r="T485" s="2" t="str">
        <x:v>生产运输或体力岗位</x:v>
      </x:c>
    </x:row>
    <x:row r="486" ht="24" customHeight="1">
      <x:c r="A486" s="2" t="str">
        <x:v>D040_T02_C020_G050</x:v>
      </x:c>
      <x:c r="B486" s="2" t="str">
        <x:v>A0037</x:v>
      </x:c>
      <x:c r="C486" s="2" t="str">
        <x:v>inside</x:v>
      </x:c>
      <x:c r="D486" s="2" t="n">
        <x:v>2</x:v>
      </x:c>
      <x:c r="E486" s="2" t="n">
        <x:v>1</x:v>
      </x:c>
      <x:c r="F486" s="2" t="n">
        <x:v>4</x:v>
      </x:c>
      <x:c r="G486" s="2" t="str">
        <x:v>observed_post_release</x:v>
      </x:c>
      <x:c r="H486" s="2" t="n">
        <x:f>IF(AND(ISNUMBER(F486),F486&gt;=D486),1,0)</x:f>
        <x:v>1</x:v>
      </x:c>
      <x:c r="I486" s="2" t="n">
        <x:f>IF(AND(ISNUMBER(F486),F486&gt;D486),1,0)</x:f>
        <x:v>1</x:v>
      </x:c>
      <x:c r="J486" s="2" t="n">
        <x:f>IF(H486=1,F486-D486,"")</x:f>
        <x:v>2</x:v>
      </x:c>
      <x:c r="K486" s="2" t="n">
        <x:f>IF(H486=1,F486-E486,"")</x:f>
        <x:v>3</x:v>
      </x:c>
      <x:c r="L486" s="2" t="n">
        <x:v>9</x:v>
      </x:c>
      <x:c r="M486" s="2" t="n">
        <x:v>3</x:v>
      </x:c>
      <x:c r="N486" s="20" t="n">
        <x:v>0.4</x:v>
      </x:c>
      <x:c r="O486" s="20" t="n">
        <x:v>0.2</x:v>
      </x:c>
      <x:c r="P486" s="20" t="n">
        <x:v>0.5</x:v>
      </x:c>
      <x:c r="Q486" s="2" t="n">
        <x:v>24</x:v>
      </x:c>
      <x:c r="R486" s="2" t="str">
        <x:v>ENTP</x:v>
      </x:c>
      <x:c r="S486" s="2" t="str">
        <x:v>华南</x:v>
      </x:c>
      <x:c r="T486" s="2" t="str">
        <x:v>在校学生</x:v>
      </x:c>
    </x:row>
    <x:row r="487" ht="24" customHeight="1">
      <x:c r="A487" s="2" t="str">
        <x:v>D040_T02_C020_G050</x:v>
      </x:c>
      <x:c r="B487" s="2" t="str">
        <x:v>A0040</x:v>
      </x:c>
      <x:c r="C487" s="2" t="str">
        <x:v>inside</x:v>
      </x:c>
      <x:c r="D487" s="2" t="n">
        <x:v>2</x:v>
      </x:c>
      <x:c r="E487" s="2" t="n">
        <x:v>1</x:v>
      </x:c>
      <x:c r="F487" s="2" t="n">
        <x:v>4</x:v>
      </x:c>
      <x:c r="G487" s="2" t="str">
        <x:v>observed_post_release</x:v>
      </x:c>
      <x:c r="H487" s="2" t="n">
        <x:f>IF(AND(ISNUMBER(F487),F487&gt;=D487),1,0)</x:f>
        <x:v>1</x:v>
      </x:c>
      <x:c r="I487" s="2" t="n">
        <x:f>IF(AND(ISNUMBER(F487),F487&gt;D487),1,0)</x:f>
        <x:v>1</x:v>
      </x:c>
      <x:c r="J487" s="2" t="n">
        <x:f>IF(H487=1,F487-D487,"")</x:f>
        <x:v>2</x:v>
      </x:c>
      <x:c r="K487" s="2" t="n">
        <x:f>IF(H487=1,F487-E487,"")</x:f>
        <x:v>3</x:v>
      </x:c>
      <x:c r="L487" s="2" t="n">
        <x:v>9</x:v>
      </x:c>
      <x:c r="M487" s="2" t="n">
        <x:v>4</x:v>
      </x:c>
      <x:c r="N487" s="20" t="n">
        <x:v>0.4</x:v>
      </x:c>
      <x:c r="O487" s="20" t="n">
        <x:v>0.2</x:v>
      </x:c>
      <x:c r="P487" s="20" t="n">
        <x:v>0.5</x:v>
      </x:c>
      <x:c r="Q487" s="2" t="n">
        <x:v>48</x:v>
      </x:c>
      <x:c r="R487" s="2" t="str">
        <x:v>INFP</x:v>
      </x:c>
      <x:c r="S487" s="2" t="str">
        <x:v>西北</x:v>
      </x:c>
      <x:c r="T487" s="2" t="str">
        <x:v>个体经营或自由职业</x:v>
      </x:c>
    </x:row>
    <x:row r="488" ht="24" customHeight="1">
      <x:c r="A488" s="2" t="str">
        <x:v>D040_T02_C020_G050</x:v>
      </x:c>
      <x:c r="B488" s="2" t="str">
        <x:v>A0041</x:v>
      </x:c>
      <x:c r="C488" s="2" t="str">
        <x:v>inside</x:v>
      </x:c>
      <x:c r="D488" s="2" t="n">
        <x:v>2</x:v>
      </x:c>
      <x:c r="E488" s="2" t="n">
        <x:v>1</x:v>
      </x:c>
      <x:c r="F488" s="2" t="n">
        <x:v>5</x:v>
      </x:c>
      <x:c r="G488" s="2" t="str">
        <x:v>observed_post_release</x:v>
      </x:c>
      <x:c r="H488" s="2" t="n">
        <x:f>IF(AND(ISNUMBER(F488),F488&gt;=D488),1,0)</x:f>
        <x:v>1</x:v>
      </x:c>
      <x:c r="I488" s="2" t="n">
        <x:f>IF(AND(ISNUMBER(F488),F488&gt;D488),1,0)</x:f>
        <x:v>1</x:v>
      </x:c>
      <x:c r="J488" s="2" t="n">
        <x:f>IF(H488=1,F488-D488,"")</x:f>
        <x:v>3</x:v>
      </x:c>
      <x:c r="K488" s="2" t="n">
        <x:f>IF(H488=1,F488-E488,"")</x:f>
        <x:v>4</x:v>
      </x:c>
      <x:c r="L488" s="2" t="n">
        <x:v>9</x:v>
      </x:c>
      <x:c r="M488" s="2" t="n">
        <x:v>5</x:v>
      </x:c>
      <x:c r="N488" s="20" t="n">
        <x:v>0.4</x:v>
      </x:c>
      <x:c r="O488" s="20" t="n">
        <x:v>0.2</x:v>
      </x:c>
      <x:c r="P488" s="20" t="n">
        <x:v>0.5</x:v>
      </x:c>
      <x:c r="Q488" s="2" t="n">
        <x:v>62</x:v>
      </x:c>
      <x:c r="R488" s="2" t="str">
        <x:v>ISFJ</x:v>
      </x:c>
      <x:c r="S488" s="2" t="str">
        <x:v>西北</x:v>
      </x:c>
      <x:c r="T488" s="2" t="str">
        <x:v>个体经营或自由职业</x:v>
      </x:c>
    </x:row>
    <x:row r="489" ht="24" customHeight="1">
      <x:c r="A489" s="2" t="str">
        <x:v>D040_T02_C020_G050</x:v>
      </x:c>
      <x:c r="B489" s="2" t="str">
        <x:v>A0071</x:v>
      </x:c>
      <x:c r="C489" s="2" t="str">
        <x:v>inside</x:v>
      </x:c>
      <x:c r="D489" s="2" t="n">
        <x:v>2</x:v>
      </x:c>
      <x:c r="E489" s="2" t="n">
        <x:v>1</x:v>
      </x:c>
      <x:c r="F489" s="2" t="n">
        <x:v>4</x:v>
      </x:c>
      <x:c r="G489" s="2" t="str">
        <x:v>observed_post_release</x:v>
      </x:c>
      <x:c r="H489" s="2" t="n">
        <x:f>IF(AND(ISNUMBER(F489),F489&gt;=D489),1,0)</x:f>
        <x:v>1</x:v>
      </x:c>
      <x:c r="I489" s="2" t="n">
        <x:f>IF(AND(ISNUMBER(F489),F489&gt;D489),1,0)</x:f>
        <x:v>1</x:v>
      </x:c>
      <x:c r="J489" s="2" t="n">
        <x:f>IF(H489=1,F489-D489,"")</x:f>
        <x:v>2</x:v>
      </x:c>
      <x:c r="K489" s="2" t="n">
        <x:f>IF(H489=1,F489-E489,"")</x:f>
        <x:v>3</x:v>
      </x:c>
      <x:c r="L489" s="2" t="n">
        <x:v>9</x:v>
      </x:c>
      <x:c r="M489" s="2" t="n">
        <x:v>3</x:v>
      </x:c>
      <x:c r="N489" s="20" t="n">
        <x:v>0.4</x:v>
      </x:c>
      <x:c r="O489" s="20" t="n">
        <x:v>0.2</x:v>
      </x:c>
      <x:c r="P489" s="20" t="n">
        <x:v>0.5</x:v>
      </x:c>
      <x:c r="Q489" s="2" t="n">
        <x:v>33</x:v>
      </x:c>
      <x:c r="R489" s="2" t="str">
        <x:v>ISTJ</x:v>
      </x:c>
      <x:c r="S489" s="2" t="str">
        <x:v>华东</x:v>
      </x:c>
      <x:c r="T489" s="2" t="str">
        <x:v>商业服务岗位</x:v>
      </x:c>
    </x:row>
    <x:row r="490" ht="24" customHeight="1">
      <x:c r="A490" s="2" t="str">
        <x:v>D040_T02_C020_G050</x:v>
      </x:c>
      <x:c r="B490" s="2" t="str">
        <x:v>A0090</x:v>
      </x:c>
      <x:c r="C490" s="2" t="str">
        <x:v>inside</x:v>
      </x:c>
      <x:c r="D490" s="2" t="n">
        <x:v>2</x:v>
      </x:c>
      <x:c r="E490" s="2" t="n">
        <x:v>1</x:v>
      </x:c>
      <x:c r="F490" s="2" t="n">
        <x:v>3</x:v>
      </x:c>
      <x:c r="G490" s="2" t="str">
        <x:v>observed_post_release</x:v>
      </x:c>
      <x:c r="H490" s="2" t="n">
        <x:f>IF(AND(ISNUMBER(F490),F490&gt;=D490),1,0)</x:f>
        <x:v>1</x:v>
      </x:c>
      <x:c r="I490" s="2" t="n">
        <x:f>IF(AND(ISNUMBER(F490),F490&gt;D490),1,0)</x:f>
        <x:v>1</x:v>
      </x:c>
      <x:c r="J490" s="2" t="n">
        <x:f>IF(H490=1,F490-D490,"")</x:f>
        <x:v>1</x:v>
      </x:c>
      <x:c r="K490" s="2" t="n">
        <x:f>IF(H490=1,F490-E490,"")</x:f>
        <x:v>2</x:v>
      </x:c>
      <x:c r="L490" s="2" t="n">
        <x:v>9</x:v>
      </x:c>
      <x:c r="M490" s="2" t="n">
        <x:v>3</x:v>
      </x:c>
      <x:c r="N490" s="20" t="n">
        <x:v>0.4</x:v>
      </x:c>
      <x:c r="O490" s="20" t="n">
        <x:v>0.2</x:v>
      </x:c>
      <x:c r="P490" s="20" t="n">
        <x:v>0.5</x:v>
      </x:c>
      <x:c r="Q490" s="2" t="n">
        <x:v>46</x:v>
      </x:c>
      <x:c r="R490" s="2" t="str">
        <x:v>ENFJ</x:v>
      </x:c>
      <x:c r="S490" s="2" t="str">
        <x:v>西北</x:v>
      </x:c>
      <x:c r="T490" s="2" t="str">
        <x:v>个体经营或自由职业</x:v>
      </x:c>
    </x:row>
    <x:row r="491" ht="24" customHeight="1">
      <x:c r="A491" s="2" t="str">
        <x:v>D040_T02_C020_G050</x:v>
      </x:c>
      <x:c r="B491" s="2" t="str">
        <x:v>A0189</x:v>
      </x:c>
      <x:c r="C491" s="2" t="str">
        <x:v>inside</x:v>
      </x:c>
      <x:c r="D491" s="2" t="n">
        <x:v>2</x:v>
      </x:c>
      <x:c r="E491" s="2" t="n">
        <x:v>1</x:v>
      </x:c>
      <x:c r="F491" s="2" t="n">
        <x:v>5</x:v>
      </x:c>
      <x:c r="G491" s="2" t="str">
        <x:v>observed_post_release</x:v>
      </x:c>
      <x:c r="H491" s="2" t="n">
        <x:f>IF(AND(ISNUMBER(F491),F491&gt;=D491),1,0)</x:f>
        <x:v>1</x:v>
      </x:c>
      <x:c r="I491" s="2" t="n">
        <x:f>IF(AND(ISNUMBER(F491),F491&gt;D491),1,0)</x:f>
        <x:v>1</x:v>
      </x:c>
      <x:c r="J491" s="2" t="n">
        <x:f>IF(H491=1,F491-D491,"")</x:f>
        <x:v>3</x:v>
      </x:c>
      <x:c r="K491" s="2" t="n">
        <x:f>IF(H491=1,F491-E491,"")</x:f>
        <x:v>4</x:v>
      </x:c>
      <x:c r="L491" s="2" t="n">
        <x:v>9</x:v>
      </x:c>
      <x:c r="M491" s="2" t="n">
        <x:v>3</x:v>
      </x:c>
      <x:c r="N491" s="20" t="n">
        <x:v>0.4</x:v>
      </x:c>
      <x:c r="O491" s="20" t="n">
        <x:v>0.2</x:v>
      </x:c>
      <x:c r="P491" s="20" t="n">
        <x:v>0.5</x:v>
      </x:c>
      <x:c r="Q491" s="2" t="n">
        <x:v>45</x:v>
      </x:c>
      <x:c r="R491" s="2" t="str">
        <x:v>ISFJ</x:v>
      </x:c>
      <x:c r="S491" s="2" t="str">
        <x:v>西北</x:v>
      </x:c>
      <x:c r="T491" s="2" t="str">
        <x:v>生产运输或体力岗位</x:v>
      </x:c>
    </x:row>
    <x:row r="492" ht="24" customHeight="1">
      <x:c r="A492" s="2" t="str">
        <x:v>D040_T02_C020_G050</x:v>
      </x:c>
      <x:c r="B492" s="2" t="str">
        <x:v>A0206</x:v>
      </x:c>
      <x:c r="C492" s="2" t="str">
        <x:v>inside</x:v>
      </x:c>
      <x:c r="D492" s="2" t="n">
        <x:v>2</x:v>
      </x:c>
      <x:c r="E492" s="2" t="n">
        <x:v>1</x:v>
      </x:c>
      <x:c r="F492" s="2" t="n">
        <x:v>2</x:v>
      </x:c>
      <x:c r="G492" s="2" t="str">
        <x:v>observed_post_release</x:v>
      </x:c>
      <x:c r="H492" s="2" t="n">
        <x:f>IF(AND(ISNUMBER(F492),F492&gt;=D492),1,0)</x:f>
        <x:v>1</x:v>
      </x:c>
      <x:c r="I492" s="2" t="n">
        <x:f>IF(AND(ISNUMBER(F492),F492&gt;D492),1,0)</x:f>
        <x:v>0</x:v>
      </x:c>
      <x:c r="J492" s="2" t="n">
        <x:f>IF(H492=1,F492-D492,"")</x:f>
        <x:v>0</x:v>
      </x:c>
      <x:c r="K492" s="2" t="n">
        <x:f>IF(H492=1,F492-E492,"")</x:f>
        <x:v>1</x:v>
      </x:c>
      <x:c r="L492" s="2" t="n">
        <x:v>9</x:v>
      </x:c>
      <x:c r="M492" s="2" t="n">
        <x:v>2</x:v>
      </x:c>
      <x:c r="N492" s="20" t="n">
        <x:v>0.4</x:v>
      </x:c>
      <x:c r="O492" s="20" t="n">
        <x:v>0.2</x:v>
      </x:c>
      <x:c r="P492" s="20" t="n">
        <x:v>0.5</x:v>
      </x:c>
      <x:c r="Q492" s="2" t="n">
        <x:v>21</x:v>
      </x:c>
      <x:c r="R492" s="2" t="str">
        <x:v>ESTP</x:v>
      </x:c>
      <x:c r="S492" s="2" t="str">
        <x:v>西北</x:v>
      </x:c>
      <x:c r="T492" s="2" t="str">
        <x:v>暂未就业或家庭照料</x:v>
      </x:c>
    </x:row>
    <x:row r="493" ht="24" customHeight="1">
      <x:c r="A493" s="2" t="str">
        <x:v>D040_T02_C020_G075</x:v>
      </x:c>
      <x:c r="B493" s="2" t="str">
        <x:v>A0005</x:v>
      </x:c>
      <x:c r="C493" s="2" t="str">
        <x:v>inside</x:v>
      </x:c>
      <x:c r="D493" s="2" t="n">
        <x:v>2</x:v>
      </x:c>
      <x:c r="E493" s="2" t="n">
        <x:v>1</x:v>
      </x:c>
      <x:c r="F493" s="2" t="n">
        <x:v>4</x:v>
      </x:c>
      <x:c r="G493" s="2" t="str">
        <x:v>observed_post_release</x:v>
      </x:c>
      <x:c r="H493" s="2" t="n">
        <x:f>IF(AND(ISNUMBER(F493),F493&gt;=D493),1,0)</x:f>
        <x:v>1</x:v>
      </x:c>
      <x:c r="I493" s="2" t="n">
        <x:f>IF(AND(ISNUMBER(F493),F493&gt;D493),1,0)</x:f>
        <x:v>1</x:v>
      </x:c>
      <x:c r="J493" s="2" t="n">
        <x:f>IF(H493=1,F493-D493,"")</x:f>
        <x:v>2</x:v>
      </x:c>
      <x:c r="K493" s="2" t="n">
        <x:f>IF(H493=1,F493-E493,"")</x:f>
        <x:v>3</x:v>
      </x:c>
      <x:c r="L493" s="2" t="n">
        <x:v>9</x:v>
      </x:c>
      <x:c r="M493" s="2" t="n">
        <x:v>4</x:v>
      </x:c>
      <x:c r="N493" s="20" t="n">
        <x:v>0.4</x:v>
      </x:c>
      <x:c r="O493" s="20" t="n">
        <x:v>0.2</x:v>
      </x:c>
      <x:c r="P493" s="20" t="n">
        <x:v>0.75</x:v>
      </x:c>
      <x:c r="Q493" s="2" t="n">
        <x:v>51</x:v>
      </x:c>
      <x:c r="R493" s="2" t="str">
        <x:v>ISTP</x:v>
      </x:c>
      <x:c r="S493" s="2" t="str">
        <x:v>华南</x:v>
      </x:c>
      <x:c r="T493" s="2" t="str">
        <x:v>生产运输或体力岗位</x:v>
      </x:c>
    </x:row>
    <x:row r="494" ht="24" customHeight="1">
      <x:c r="A494" s="2" t="str">
        <x:v>D040_T02_C020_G075</x:v>
      </x:c>
      <x:c r="B494" s="2" t="str">
        <x:v>A0008</x:v>
      </x:c>
      <x:c r="C494" s="2" t="str">
        <x:v>inside</x:v>
      </x:c>
      <x:c r="D494" s="2" t="n">
        <x:v>2</x:v>
      </x:c>
      <x:c r="E494" s="2" t="n">
        <x:v>1</x:v>
      </x:c>
      <x:c r="F494" s="2" t="n">
        <x:v>4</x:v>
      </x:c>
      <x:c r="G494" s="2" t="str">
        <x:v>observed_post_release</x:v>
      </x:c>
      <x:c r="H494" s="2" t="n">
        <x:f>IF(AND(ISNUMBER(F494),F494&gt;=D494),1,0)</x:f>
        <x:v>1</x:v>
      </x:c>
      <x:c r="I494" s="2" t="n">
        <x:f>IF(AND(ISNUMBER(F494),F494&gt;D494),1,0)</x:f>
        <x:v>1</x:v>
      </x:c>
      <x:c r="J494" s="2" t="n">
        <x:f>IF(H494=1,F494-D494,"")</x:f>
        <x:v>2</x:v>
      </x:c>
      <x:c r="K494" s="2" t="n">
        <x:f>IF(H494=1,F494-E494,"")</x:f>
        <x:v>3</x:v>
      </x:c>
      <x:c r="L494" s="2" t="n">
        <x:v>9</x:v>
      </x:c>
      <x:c r="M494" s="2" t="n">
        <x:v>4</x:v>
      </x:c>
      <x:c r="N494" s="20" t="n">
        <x:v>0.4</x:v>
      </x:c>
      <x:c r="O494" s="20" t="n">
        <x:v>0.2</x:v>
      </x:c>
      <x:c r="P494" s="20" t="n">
        <x:v>0.75</x:v>
      </x:c>
      <x:c r="Q494" s="2" t="n">
        <x:v>36</x:v>
      </x:c>
      <x:c r="R494" s="2" t="str">
        <x:v>ISFP</x:v>
      </x:c>
      <x:c r="S494" s="2" t="str">
        <x:v>华南</x:v>
      </x:c>
      <x:c r="T494" s="2" t="str">
        <x:v>生产运输或体力岗位</x:v>
      </x:c>
    </x:row>
    <x:row r="495" ht="24" customHeight="1">
      <x:c r="A495" s="2" t="str">
        <x:v>D040_T02_C020_G075</x:v>
      </x:c>
      <x:c r="B495" s="2" t="str">
        <x:v>A0011</x:v>
      </x:c>
      <x:c r="C495" s="2" t="str">
        <x:v>inside</x:v>
      </x:c>
      <x:c r="D495" s="2" t="n">
        <x:v>2</x:v>
      </x:c>
      <x:c r="E495" s="2" t="n">
        <x:v>1</x:v>
      </x:c>
      <x:c r="F495" s="2" t="n">
        <x:v>2</x:v>
      </x:c>
      <x:c r="G495" s="2" t="str">
        <x:v>observed_post_release</x:v>
      </x:c>
      <x:c r="H495" s="2" t="n">
        <x:f>IF(AND(ISNUMBER(F495),F495&gt;=D495),1,0)</x:f>
        <x:v>1</x:v>
      </x:c>
      <x:c r="I495" s="2" t="n">
        <x:f>IF(AND(ISNUMBER(F495),F495&gt;D495),1,0)</x:f>
        <x:v>0</x:v>
      </x:c>
      <x:c r="J495" s="2" t="n">
        <x:f>IF(H495=1,F495-D495,"")</x:f>
        <x:v>0</x:v>
      </x:c>
      <x:c r="K495" s="2" t="n">
        <x:f>IF(H495=1,F495-E495,"")</x:f>
        <x:v>1</x:v>
      </x:c>
      <x:c r="L495" s="2" t="n">
        <x:v>9</x:v>
      </x:c>
      <x:c r="M495" s="2" t="n">
        <x:v>2</x:v>
      </x:c>
      <x:c r="N495" s="20" t="n">
        <x:v>0.4</x:v>
      </x:c>
      <x:c r="O495" s="20" t="n">
        <x:v>0.2</x:v>
      </x:c>
      <x:c r="P495" s="20" t="n">
        <x:v>0.75</x:v>
      </x:c>
      <x:c r="Q495" s="2" t="n">
        <x:v>42</x:v>
      </x:c>
      <x:c r="R495" s="2" t="str">
        <x:v>ENFJ</x:v>
      </x:c>
      <x:c r="S495" s="2" t="str">
        <x:v>西南</x:v>
      </x:c>
      <x:c r="T495" s="2" t="str">
        <x:v>行政或办公室岗位</x:v>
      </x:c>
    </x:row>
    <x:row r="496" ht="24" customHeight="1">
      <x:c r="A496" s="2" t="str">
        <x:v>D040_T02_C020_G075</x:v>
      </x:c>
      <x:c r="B496" s="2" t="str">
        <x:v>A0012</x:v>
      </x:c>
      <x:c r="C496" s="2" t="str">
        <x:v>inside</x:v>
      </x:c>
      <x:c r="D496" s="2" t="n">
        <x:v>2</x:v>
      </x:c>
      <x:c r="E496" s="2" t="n">
        <x:v>1</x:v>
      </x:c>
      <x:c r="F496" s="2" t="n">
        <x:v>4</x:v>
      </x:c>
      <x:c r="G496" s="2" t="str">
        <x:v>observed_post_release</x:v>
      </x:c>
      <x:c r="H496" s="2" t="n">
        <x:f>IF(AND(ISNUMBER(F496),F496&gt;=D496),1,0)</x:f>
        <x:v>1</x:v>
      </x:c>
      <x:c r="I496" s="2" t="n">
        <x:f>IF(AND(ISNUMBER(F496),F496&gt;D496),1,0)</x:f>
        <x:v>1</x:v>
      </x:c>
      <x:c r="J496" s="2" t="n">
        <x:f>IF(H496=1,F496-D496,"")</x:f>
        <x:v>2</x:v>
      </x:c>
      <x:c r="K496" s="2" t="n">
        <x:f>IF(H496=1,F496-E496,"")</x:f>
        <x:v>3</x:v>
      </x:c>
      <x:c r="L496" s="2" t="n">
        <x:v>9</x:v>
      </x:c>
      <x:c r="M496" s="2" t="n">
        <x:v>3</x:v>
      </x:c>
      <x:c r="N496" s="20" t="n">
        <x:v>0.4</x:v>
      </x:c>
      <x:c r="O496" s="20" t="n">
        <x:v>0.2</x:v>
      </x:c>
      <x:c r="P496" s="20" t="n">
        <x:v>0.75</x:v>
      </x:c>
      <x:c r="Q496" s="2" t="n">
        <x:v>38</x:v>
      </x:c>
      <x:c r="R496" s="2" t="str">
        <x:v>ESFP</x:v>
      </x:c>
      <x:c r="S496" s="2" t="str">
        <x:v>华中</x:v>
      </x:c>
      <x:c r="T496" s="2" t="str">
        <x:v>行政或办公室岗位</x:v>
      </x:c>
    </x:row>
    <x:row r="497" ht="24" customHeight="1">
      <x:c r="A497" s="2" t="str">
        <x:v>D040_T02_C020_G075</x:v>
      </x:c>
      <x:c r="B497" s="2" t="str">
        <x:v>A0014</x:v>
      </x:c>
      <x:c r="C497" s="2" t="str">
        <x:v>inside</x:v>
      </x:c>
      <x:c r="D497" s="2" t="n">
        <x:v>2</x:v>
      </x:c>
      <x:c r="E497" s="2" t="n">
        <x:v>1</x:v>
      </x:c>
      <x:c r="F497" s="2" t="n">
        <x:v>2</x:v>
      </x:c>
      <x:c r="G497" s="2" t="str">
        <x:v>observed_post_release</x:v>
      </x:c>
      <x:c r="H497" s="2" t="n">
        <x:f>IF(AND(ISNUMBER(F497),F497&gt;=D497),1,0)</x:f>
        <x:v>1</x:v>
      </x:c>
      <x:c r="I497" s="2" t="n">
        <x:f>IF(AND(ISNUMBER(F497),F497&gt;D497),1,0)</x:f>
        <x:v>0</x:v>
      </x:c>
      <x:c r="J497" s="2" t="n">
        <x:f>IF(H497=1,F497-D497,"")</x:f>
        <x:v>0</x:v>
      </x:c>
      <x:c r="K497" s="2" t="n">
        <x:f>IF(H497=1,F497-E497,"")</x:f>
        <x:v>1</x:v>
      </x:c>
      <x:c r="L497" s="2" t="n">
        <x:v>9</x:v>
      </x:c>
      <x:c r="M497" s="2" t="n">
        <x:v>2</x:v>
      </x:c>
      <x:c r="N497" s="20" t="n">
        <x:v>0.4</x:v>
      </x:c>
      <x:c r="O497" s="20" t="n">
        <x:v>0.2</x:v>
      </x:c>
      <x:c r="P497" s="20" t="n">
        <x:v>0.75</x:v>
      </x:c>
      <x:c r="Q497" s="2" t="n">
        <x:v>52</x:v>
      </x:c>
      <x:c r="R497" s="2" t="str">
        <x:v>INFJ</x:v>
      </x:c>
      <x:c r="S497" s="2" t="str">
        <x:v>华东</x:v>
      </x:c>
      <x:c r="T497" s="2" t="str">
        <x:v>生产运输或体力岗位</x:v>
      </x:c>
    </x:row>
    <x:row r="498" ht="24" customHeight="1">
      <x:c r="A498" s="2" t="str">
        <x:v>D040_T02_C020_G075</x:v>
      </x:c>
      <x:c r="B498" s="2" t="str">
        <x:v>A0015</x:v>
      </x:c>
      <x:c r="C498" s="2" t="str">
        <x:v>inside</x:v>
      </x:c>
      <x:c r="D498" s="2" t="n">
        <x:v>2</x:v>
      </x:c>
      <x:c r="E498" s="2" t="n">
        <x:v>1</x:v>
      </x:c>
      <x:c r="F498" s="2" t="n">
        <x:v>5</x:v>
      </x:c>
      <x:c r="G498" s="2" t="str">
        <x:v>observed_post_release</x:v>
      </x:c>
      <x:c r="H498" s="2" t="n">
        <x:f>IF(AND(ISNUMBER(F498),F498&gt;=D498),1,0)</x:f>
        <x:v>1</x:v>
      </x:c>
      <x:c r="I498" s="2" t="n">
        <x:f>IF(AND(ISNUMBER(F498),F498&gt;D498),1,0)</x:f>
        <x:v>1</x:v>
      </x:c>
      <x:c r="J498" s="2" t="n">
        <x:f>IF(H498=1,F498-D498,"")</x:f>
        <x:v>3</x:v>
      </x:c>
      <x:c r="K498" s="2" t="n">
        <x:f>IF(H498=1,F498-E498,"")</x:f>
        <x:v>4</x:v>
      </x:c>
      <x:c r="L498" s="2" t="n">
        <x:v>9</x:v>
      </x:c>
      <x:c r="M498" s="2" t="n">
        <x:v>3</x:v>
      </x:c>
      <x:c r="N498" s="20" t="n">
        <x:v>0.4</x:v>
      </x:c>
      <x:c r="O498" s="20" t="n">
        <x:v>0.2</x:v>
      </x:c>
      <x:c r="P498" s="20" t="n">
        <x:v>0.75</x:v>
      </x:c>
      <x:c r="Q498" s="2" t="n">
        <x:v>29</x:v>
      </x:c>
      <x:c r="R498" s="2" t="str">
        <x:v>ESFP</x:v>
      </x:c>
      <x:c r="S498" s="2" t="str">
        <x:v>华南</x:v>
      </x:c>
      <x:c r="T498" s="2" t="str">
        <x:v>行政或办公室岗位</x:v>
      </x:c>
    </x:row>
    <x:row r="499" ht="24" customHeight="1">
      <x:c r="A499" s="2" t="str">
        <x:v>D040_T02_C020_G075</x:v>
      </x:c>
      <x:c r="B499" s="2" t="str">
        <x:v>A0016</x:v>
      </x:c>
      <x:c r="C499" s="2" t="str">
        <x:v>inside</x:v>
      </x:c>
      <x:c r="D499" s="2" t="n">
        <x:v>2</x:v>
      </x:c>
      <x:c r="E499" s="2" t="n">
        <x:v>1</x:v>
      </x:c>
      <x:c r="F499" s="2" t="n">
        <x:v>3</x:v>
      </x:c>
      <x:c r="G499" s="2" t="str">
        <x:v>observed_post_release</x:v>
      </x:c>
      <x:c r="H499" s="2" t="n">
        <x:f>IF(AND(ISNUMBER(F499),F499&gt;=D499),1,0)</x:f>
        <x:v>1</x:v>
      </x:c>
      <x:c r="I499" s="2" t="n">
        <x:f>IF(AND(ISNUMBER(F499),F499&gt;D499),1,0)</x:f>
        <x:v>1</x:v>
      </x:c>
      <x:c r="J499" s="2" t="n">
        <x:f>IF(H499=1,F499-D499,"")</x:f>
        <x:v>1</x:v>
      </x:c>
      <x:c r="K499" s="2" t="n">
        <x:f>IF(H499=1,F499-E499,"")</x:f>
        <x:v>2</x:v>
      </x:c>
      <x:c r="L499" s="2" t="n">
        <x:v>9</x:v>
      </x:c>
      <x:c r="M499" s="2" t="n">
        <x:v>3</x:v>
      </x:c>
      <x:c r="N499" s="20" t="n">
        <x:v>0.4</x:v>
      </x:c>
      <x:c r="O499" s="20" t="n">
        <x:v>0.2</x:v>
      </x:c>
      <x:c r="P499" s="20" t="n">
        <x:v>0.75</x:v>
      </x:c>
      <x:c r="Q499" s="2" t="n">
        <x:v>60</x:v>
      </x:c>
      <x:c r="R499" s="2" t="str">
        <x:v>ESFJ</x:v>
      </x:c>
      <x:c r="S499" s="2" t="str">
        <x:v>华北</x:v>
      </x:c>
      <x:c r="T499" s="2" t="str">
        <x:v>个体经营或自由职业</x:v>
      </x:c>
    </x:row>
    <x:row r="500" ht="24" customHeight="1">
      <x:c r="A500" s="2" t="str">
        <x:v>D040_T02_C020_G075</x:v>
      </x:c>
      <x:c r="B500" s="2" t="str">
        <x:v>A0017</x:v>
      </x:c>
      <x:c r="C500" s="2" t="str">
        <x:v>inside</x:v>
      </x:c>
      <x:c r="D500" s="2" t="n">
        <x:v>2</x:v>
      </x:c>
      <x:c r="E500" s="2" t="n">
        <x:v>1</x:v>
      </x:c>
      <x:c r="F500" s="2" t="n">
        <x:v>4</x:v>
      </x:c>
      <x:c r="G500" s="2" t="str">
        <x:v>observed_post_release</x:v>
      </x:c>
      <x:c r="H500" s="2" t="n">
        <x:f>IF(AND(ISNUMBER(F500),F500&gt;=D500),1,0)</x:f>
        <x:v>1</x:v>
      </x:c>
      <x:c r="I500" s="2" t="n">
        <x:f>IF(AND(ISNUMBER(F500),F500&gt;D500),1,0)</x:f>
        <x:v>1</x:v>
      </x:c>
      <x:c r="J500" s="2" t="n">
        <x:f>IF(H500=1,F500-D500,"")</x:f>
        <x:v>2</x:v>
      </x:c>
      <x:c r="K500" s="2" t="n">
        <x:f>IF(H500=1,F500-E500,"")</x:f>
        <x:v>3</x:v>
      </x:c>
      <x:c r="L500" s="2" t="n">
        <x:v>9</x:v>
      </x:c>
      <x:c r="M500" s="2" t="n">
        <x:v>3</x:v>
      </x:c>
      <x:c r="N500" s="20" t="n">
        <x:v>0.4</x:v>
      </x:c>
      <x:c r="O500" s="20" t="n">
        <x:v>0.2</x:v>
      </x:c>
      <x:c r="P500" s="20" t="n">
        <x:v>0.75</x:v>
      </x:c>
      <x:c r="Q500" s="2" t="n">
        <x:v>30</x:v>
      </x:c>
      <x:c r="R500" s="2" t="str">
        <x:v>ISTJ</x:v>
      </x:c>
      <x:c r="S500" s="2" t="str">
        <x:v>华东</x:v>
      </x:c>
      <x:c r="T500" s="2" t="str">
        <x:v>商业服务岗位</x:v>
      </x:c>
    </x:row>
    <x:row r="501" ht="24" customHeight="1">
      <x:c r="A501" s="2" t="str">
        <x:v>D040_T02_C020_G075</x:v>
      </x:c>
      <x:c r="B501" s="2" t="str">
        <x:v>A0018</x:v>
      </x:c>
      <x:c r="C501" s="2" t="str">
        <x:v>inside</x:v>
      </x:c>
      <x:c r="D501" s="2" t="n">
        <x:v>2</x:v>
      </x:c>
      <x:c r="E501" s="2" t="n">
        <x:v>1</x:v>
      </x:c>
      <x:c r="F501" s="2" t="n">
        <x:v>4</x:v>
      </x:c>
      <x:c r="G501" s="2" t="str">
        <x:v>observed_post_release</x:v>
      </x:c>
      <x:c r="H501" s="2" t="n">
        <x:f>IF(AND(ISNUMBER(F501),F501&gt;=D501),1,0)</x:f>
        <x:v>1</x:v>
      </x:c>
      <x:c r="I501" s="2" t="n">
        <x:f>IF(AND(ISNUMBER(F501),F501&gt;D501),1,0)</x:f>
        <x:v>1</x:v>
      </x:c>
      <x:c r="J501" s="2" t="n">
        <x:f>IF(H501=1,F501-D501,"")</x:f>
        <x:v>2</x:v>
      </x:c>
      <x:c r="K501" s="2" t="n">
        <x:f>IF(H501=1,F501-E501,"")</x:f>
        <x:v>3</x:v>
      </x:c>
      <x:c r="L501" s="2" t="n">
        <x:v>9</x:v>
      </x:c>
      <x:c r="M501" s="2" t="n">
        <x:v>4</x:v>
      </x:c>
      <x:c r="N501" s="20" t="n">
        <x:v>0.4</x:v>
      </x:c>
      <x:c r="O501" s="20" t="n">
        <x:v>0.2</x:v>
      </x:c>
      <x:c r="P501" s="20" t="n">
        <x:v>0.75</x:v>
      </x:c>
      <x:c r="Q501" s="2" t="n">
        <x:v>60</x:v>
      </x:c>
      <x:c r="R501" s="2" t="str">
        <x:v>INTJ</x:v>
      </x:c>
      <x:c r="S501" s="2" t="str">
        <x:v>华南</x:v>
      </x:c>
      <x:c r="T501" s="2" t="str">
        <x:v>专业技术岗位</x:v>
      </x:c>
    </x:row>
    <x:row r="502" ht="24" customHeight="1">
      <x:c r="A502" s="2" t="str">
        <x:v>D040_T02_C020_G075</x:v>
      </x:c>
      <x:c r="B502" s="2" t="str">
        <x:v>A0019</x:v>
      </x:c>
      <x:c r="C502" s="2" t="str">
        <x:v>inside</x:v>
      </x:c>
      <x:c r="D502" s="2" t="n">
        <x:v>2</x:v>
      </x:c>
      <x:c r="E502" s="2" t="n">
        <x:v>1</x:v>
      </x:c>
      <x:c r="F502" s="2" t="n">
        <x:v>4</x:v>
      </x:c>
      <x:c r="G502" s="2" t="str">
        <x:v>observed_post_release</x:v>
      </x:c>
      <x:c r="H502" s="2" t="n">
        <x:f>IF(AND(ISNUMBER(F502),F502&gt;=D502),1,0)</x:f>
        <x:v>1</x:v>
      </x:c>
      <x:c r="I502" s="2" t="n">
        <x:f>IF(AND(ISNUMBER(F502),F502&gt;D502),1,0)</x:f>
        <x:v>1</x:v>
      </x:c>
      <x:c r="J502" s="2" t="n">
        <x:f>IF(H502=1,F502-D502,"")</x:f>
        <x:v>2</x:v>
      </x:c>
      <x:c r="K502" s="2" t="n">
        <x:f>IF(H502=1,F502-E502,"")</x:f>
        <x:v>3</x:v>
      </x:c>
      <x:c r="L502" s="2" t="n">
        <x:v>9</x:v>
      </x:c>
      <x:c r="M502" s="2" t="n">
        <x:v>4</x:v>
      </x:c>
      <x:c r="N502" s="20" t="n">
        <x:v>0.4</x:v>
      </x:c>
      <x:c r="O502" s="20" t="n">
        <x:v>0.2</x:v>
      </x:c>
      <x:c r="P502" s="20" t="n">
        <x:v>0.75</x:v>
      </x:c>
      <x:c r="Q502" s="2" t="n">
        <x:v>19</x:v>
      </x:c>
      <x:c r="R502" s="2" t="str">
        <x:v>INTJ</x:v>
      </x:c>
      <x:c r="S502" s="2" t="str">
        <x:v>西南</x:v>
      </x:c>
      <x:c r="T502" s="2" t="str">
        <x:v>行政或办公室岗位</x:v>
      </x:c>
    </x:row>
    <x:row r="503" ht="24" customHeight="1">
      <x:c r="A503" s="2" t="str">
        <x:v>D040_T02_C020_G075</x:v>
      </x:c>
      <x:c r="B503" s="2" t="str">
        <x:v>A0020</x:v>
      </x:c>
      <x:c r="C503" s="2" t="str">
        <x:v>inside</x:v>
      </x:c>
      <x:c r="D503" s="2" t="n">
        <x:v>2</x:v>
      </x:c>
      <x:c r="E503" s="2" t="n">
        <x:v>1</x:v>
      </x:c>
      <x:c r="F503" s="2" t="n">
        <x:v>2</x:v>
      </x:c>
      <x:c r="G503" s="2" t="str">
        <x:v>observed_post_release</x:v>
      </x:c>
      <x:c r="H503" s="2" t="n">
        <x:f>IF(AND(ISNUMBER(F503),F503&gt;=D503),1,0)</x:f>
        <x:v>1</x:v>
      </x:c>
      <x:c r="I503" s="2" t="n">
        <x:f>IF(AND(ISNUMBER(F503),F503&gt;D503),1,0)</x:f>
        <x:v>0</x:v>
      </x:c>
      <x:c r="J503" s="2" t="n">
        <x:f>IF(H503=1,F503-D503,"")</x:f>
        <x:v>0</x:v>
      </x:c>
      <x:c r="K503" s="2" t="n">
        <x:f>IF(H503=1,F503-E503,"")</x:f>
        <x:v>1</x:v>
      </x:c>
      <x:c r="L503" s="2" t="n">
        <x:v>9</x:v>
      </x:c>
      <x:c r="M503" s="2" t="n">
        <x:v>2</x:v>
      </x:c>
      <x:c r="N503" s="20" t="n">
        <x:v>0.4</x:v>
      </x:c>
      <x:c r="O503" s="20" t="n">
        <x:v>0.2</x:v>
      </x:c>
      <x:c r="P503" s="20" t="n">
        <x:v>0.75</x:v>
      </x:c>
      <x:c r="Q503" s="2" t="n">
        <x:v>42</x:v>
      </x:c>
      <x:c r="R503" s="2" t="str">
        <x:v>ENTJ</x:v>
      </x:c>
      <x:c r="S503" s="2" t="str">
        <x:v>西南</x:v>
      </x:c>
      <x:c r="T503" s="2" t="str">
        <x:v>行政或办公室岗位</x:v>
      </x:c>
    </x:row>
    <x:row r="504" ht="24" customHeight="1">
      <x:c r="A504" s="2" t="str">
        <x:v>D040_T02_C020_G075</x:v>
      </x:c>
      <x:c r="B504" s="2" t="str">
        <x:v>A0023</x:v>
      </x:c>
      <x:c r="C504" s="2" t="str">
        <x:v>inside</x:v>
      </x:c>
      <x:c r="D504" s="2" t="n">
        <x:v>2</x:v>
      </x:c>
      <x:c r="E504" s="2" t="n">
        <x:v>1</x:v>
      </x:c>
      <x:c r="F504" s="2" t="n">
        <x:v>4</x:v>
      </x:c>
      <x:c r="G504" s="2" t="str">
        <x:v>observed_post_release</x:v>
      </x:c>
      <x:c r="H504" s="2" t="n">
        <x:f>IF(AND(ISNUMBER(F504),F504&gt;=D504),1,0)</x:f>
        <x:v>1</x:v>
      </x:c>
      <x:c r="I504" s="2" t="n">
        <x:f>IF(AND(ISNUMBER(F504),F504&gt;D504),1,0)</x:f>
        <x:v>1</x:v>
      </x:c>
      <x:c r="J504" s="2" t="n">
        <x:f>IF(H504=1,F504-D504,"")</x:f>
        <x:v>2</x:v>
      </x:c>
      <x:c r="K504" s="2" t="n">
        <x:f>IF(H504=1,F504-E504,"")</x:f>
        <x:v>3</x:v>
      </x:c>
      <x:c r="L504" s="2" t="n">
        <x:v>9</x:v>
      </x:c>
      <x:c r="M504" s="2" t="n">
        <x:v>4</x:v>
      </x:c>
      <x:c r="N504" s="20" t="n">
        <x:v>0.4</x:v>
      </x:c>
      <x:c r="O504" s="20" t="n">
        <x:v>0.2</x:v>
      </x:c>
      <x:c r="P504" s="20" t="n">
        <x:v>0.75</x:v>
      </x:c>
      <x:c r="Q504" s="2" t="n">
        <x:v>56</x:v>
      </x:c>
      <x:c r="R504" s="2" t="str">
        <x:v>INFP</x:v>
      </x:c>
      <x:c r="S504" s="2" t="str">
        <x:v>东北</x:v>
      </x:c>
      <x:c r="T504" s="2" t="str">
        <x:v>行政或办公室岗位</x:v>
      </x:c>
    </x:row>
    <x:row r="505" ht="24" customHeight="1">
      <x:c r="A505" s="2" t="str">
        <x:v>D040_T02_C020_G075</x:v>
      </x:c>
      <x:c r="B505" s="2" t="str">
        <x:v>A0024</x:v>
      </x:c>
      <x:c r="C505" s="2" t="str">
        <x:v>inside</x:v>
      </x:c>
      <x:c r="D505" s="2" t="n">
        <x:v>2</x:v>
      </x:c>
      <x:c r="E505" s="2" t="n">
        <x:v>1</x:v>
      </x:c>
      <x:c r="F505" s="2" t="n">
        <x:v>5</x:v>
      </x:c>
      <x:c r="G505" s="2" t="str">
        <x:v>observed_post_release</x:v>
      </x:c>
      <x:c r="H505" s="2" t="n">
        <x:f>IF(AND(ISNUMBER(F505),F505&gt;=D505),1,0)</x:f>
        <x:v>1</x:v>
      </x:c>
      <x:c r="I505" s="2" t="n">
        <x:f>IF(AND(ISNUMBER(F505),F505&gt;D505),1,0)</x:f>
        <x:v>1</x:v>
      </x:c>
      <x:c r="J505" s="2" t="n">
        <x:f>IF(H505=1,F505-D505,"")</x:f>
        <x:v>3</x:v>
      </x:c>
      <x:c r="K505" s="2" t="n">
        <x:f>IF(H505=1,F505-E505,"")</x:f>
        <x:v>4</x:v>
      </x:c>
      <x:c r="L505" s="2" t="n">
        <x:v>9</x:v>
      </x:c>
      <x:c r="M505" s="2" t="n">
        <x:v>4</x:v>
      </x:c>
      <x:c r="N505" s="20" t="n">
        <x:v>0.4</x:v>
      </x:c>
      <x:c r="O505" s="20" t="n">
        <x:v>0.2</x:v>
      </x:c>
      <x:c r="P505" s="20" t="n">
        <x:v>0.75</x:v>
      </x:c>
      <x:c r="Q505" s="2" t="n">
        <x:v>31</x:v>
      </x:c>
      <x:c r="R505" s="2" t="str">
        <x:v>ESTP</x:v>
      </x:c>
      <x:c r="S505" s="2" t="str">
        <x:v>华北</x:v>
      </x:c>
      <x:c r="T505" s="2" t="str">
        <x:v>商业服务岗位</x:v>
      </x:c>
    </x:row>
    <x:row r="506" ht="24" customHeight="1">
      <x:c r="A506" s="2" t="str">
        <x:v>D040_T02_C020_G075</x:v>
      </x:c>
      <x:c r="B506" s="2" t="str">
        <x:v>A0025</x:v>
      </x:c>
      <x:c r="C506" s="2" t="str">
        <x:v>inside</x:v>
      </x:c>
      <x:c r="D506" s="2" t="n">
        <x:v>2</x:v>
      </x:c>
      <x:c r="E506" s="2" t="n">
        <x:v>1</x:v>
      </x:c>
      <x:c r="F506" s="2" t="n">
        <x:v>2</x:v>
      </x:c>
      <x:c r="G506" s="2" t="str">
        <x:v>observed_post_release</x:v>
      </x:c>
      <x:c r="H506" s="2" t="n">
        <x:f>IF(AND(ISNUMBER(F506),F506&gt;=D506),1,0)</x:f>
        <x:v>1</x:v>
      </x:c>
      <x:c r="I506" s="2" t="n">
        <x:f>IF(AND(ISNUMBER(F506),F506&gt;D506),1,0)</x:f>
        <x:v>0</x:v>
      </x:c>
      <x:c r="J506" s="2" t="n">
        <x:f>IF(H506=1,F506-D506,"")</x:f>
        <x:v>0</x:v>
      </x:c>
      <x:c r="K506" s="2" t="n">
        <x:f>IF(H506=1,F506-E506,"")</x:f>
        <x:v>1</x:v>
      </x:c>
      <x:c r="L506" s="2" t="n">
        <x:v>9</x:v>
      </x:c>
      <x:c r="M506" s="2" t="n">
        <x:v>2</x:v>
      </x:c>
      <x:c r="N506" s="20" t="n">
        <x:v>0.4</x:v>
      </x:c>
      <x:c r="O506" s="20" t="n">
        <x:v>0.2</x:v>
      </x:c>
      <x:c r="P506" s="20" t="n">
        <x:v>0.75</x:v>
      </x:c>
      <x:c r="Q506" s="2" t="n">
        <x:v>23</x:v>
      </x:c>
      <x:c r="R506" s="2" t="str">
        <x:v>ISTP</x:v>
      </x:c>
      <x:c r="S506" s="2" t="str">
        <x:v>华南</x:v>
      </x:c>
      <x:c r="T506" s="2" t="str">
        <x:v>行政或办公室岗位</x:v>
      </x:c>
    </x:row>
    <x:row r="507" ht="24" customHeight="1">
      <x:c r="A507" s="2" t="str">
        <x:v>D040_T02_C020_G075</x:v>
      </x:c>
      <x:c r="B507" s="2" t="str">
        <x:v>A0027</x:v>
      </x:c>
      <x:c r="C507" s="2" t="str">
        <x:v>inside</x:v>
      </x:c>
      <x:c r="D507" s="2" t="n">
        <x:v>2</x:v>
      </x:c>
      <x:c r="E507" s="2" t="n">
        <x:v>1</x:v>
      </x:c>
      <x:c r="F507" s="2" t="n">
        <x:v>3</x:v>
      </x:c>
      <x:c r="G507" s="2" t="str">
        <x:v>observed_post_release</x:v>
      </x:c>
      <x:c r="H507" s="2" t="n">
        <x:f>IF(AND(ISNUMBER(F507),F507&gt;=D507),1,0)</x:f>
        <x:v>1</x:v>
      </x:c>
      <x:c r="I507" s="2" t="n">
        <x:f>IF(AND(ISNUMBER(F507),F507&gt;D507),1,0)</x:f>
        <x:v>1</x:v>
      </x:c>
      <x:c r="J507" s="2" t="n">
        <x:f>IF(H507=1,F507-D507,"")</x:f>
        <x:v>1</x:v>
      </x:c>
      <x:c r="K507" s="2" t="n">
        <x:f>IF(H507=1,F507-E507,"")</x:f>
        <x:v>2</x:v>
      </x:c>
      <x:c r="L507" s="2" t="n">
        <x:v>9</x:v>
      </x:c>
      <x:c r="M507" s="2" t="n">
        <x:v>3</x:v>
      </x:c>
      <x:c r="N507" s="20" t="n">
        <x:v>0.4</x:v>
      </x:c>
      <x:c r="O507" s="20" t="n">
        <x:v>0.2</x:v>
      </x:c>
      <x:c r="P507" s="20" t="n">
        <x:v>0.75</x:v>
      </x:c>
      <x:c r="Q507" s="2" t="n">
        <x:v>25</x:v>
      </x:c>
      <x:c r="R507" s="2" t="str">
        <x:v>ESFP</x:v>
      </x:c>
      <x:c r="S507" s="2" t="str">
        <x:v>西北</x:v>
      </x:c>
      <x:c r="T507" s="2" t="str">
        <x:v>暂未就业或家庭照料</x:v>
      </x:c>
    </x:row>
    <x:row r="508" ht="24" customHeight="1">
      <x:c r="A508" s="2" t="str">
        <x:v>D040_T02_C020_G075</x:v>
      </x:c>
      <x:c r="B508" s="2" t="str">
        <x:v>A0029</x:v>
      </x:c>
      <x:c r="C508" s="2" t="str">
        <x:v>inside</x:v>
      </x:c>
      <x:c r="D508" s="2" t="n">
        <x:v>2</x:v>
      </x:c>
      <x:c r="E508" s="2" t="n">
        <x:v>1</x:v>
      </x:c>
      <x:c r="F508" s="2" t="n">
        <x:v>3</x:v>
      </x:c>
      <x:c r="G508" s="2" t="str">
        <x:v>observed_post_release</x:v>
      </x:c>
      <x:c r="H508" s="2" t="n">
        <x:f>IF(AND(ISNUMBER(F508),F508&gt;=D508),1,0)</x:f>
        <x:v>1</x:v>
      </x:c>
      <x:c r="I508" s="2" t="n">
        <x:f>IF(AND(ISNUMBER(F508),F508&gt;D508),1,0)</x:f>
        <x:v>1</x:v>
      </x:c>
      <x:c r="J508" s="2" t="n">
        <x:f>IF(H508=1,F508-D508,"")</x:f>
        <x:v>1</x:v>
      </x:c>
      <x:c r="K508" s="2" t="n">
        <x:f>IF(H508=1,F508-E508,"")</x:f>
        <x:v>2</x:v>
      </x:c>
      <x:c r="L508" s="2" t="n">
        <x:v>9</x:v>
      </x:c>
      <x:c r="M508" s="2" t="n">
        <x:v>3</x:v>
      </x:c>
      <x:c r="N508" s="20" t="n">
        <x:v>0.4</x:v>
      </x:c>
      <x:c r="O508" s="20" t="n">
        <x:v>0.2</x:v>
      </x:c>
      <x:c r="P508" s="20" t="n">
        <x:v>0.75</x:v>
      </x:c>
      <x:c r="Q508" s="2" t="n">
        <x:v>69</x:v>
      </x:c>
      <x:c r="R508" s="2" t="str">
        <x:v>ENTP</x:v>
      </x:c>
      <x:c r="S508" s="2" t="str">
        <x:v>华东</x:v>
      </x:c>
      <x:c r="T508" s="2" t="str">
        <x:v>退休人员</x:v>
      </x:c>
    </x:row>
    <x:row r="509" ht="24" customHeight="1">
      <x:c r="A509" s="2" t="str">
        <x:v>D040_T02_C020_G075</x:v>
      </x:c>
      <x:c r="B509" s="2" t="str">
        <x:v>A0030</x:v>
      </x:c>
      <x:c r="C509" s="2" t="str">
        <x:v>inside</x:v>
      </x:c>
      <x:c r="D509" s="2" t="n">
        <x:v>2</x:v>
      </x:c>
      <x:c r="E509" s="2" t="n">
        <x:v>1</x:v>
      </x:c>
      <x:c r="F509" s="2" t="n">
        <x:v>4</x:v>
      </x:c>
      <x:c r="G509" s="2" t="str">
        <x:v>observed_post_release</x:v>
      </x:c>
      <x:c r="H509" s="2" t="n">
        <x:f>IF(AND(ISNUMBER(F509),F509&gt;=D509),1,0)</x:f>
        <x:v>1</x:v>
      </x:c>
      <x:c r="I509" s="2" t="n">
        <x:f>IF(AND(ISNUMBER(F509),F509&gt;D509),1,0)</x:f>
        <x:v>1</x:v>
      </x:c>
      <x:c r="J509" s="2" t="n">
        <x:f>IF(H509=1,F509-D509,"")</x:f>
        <x:v>2</x:v>
      </x:c>
      <x:c r="K509" s="2" t="n">
        <x:f>IF(H509=1,F509-E509,"")</x:f>
        <x:v>3</x:v>
      </x:c>
      <x:c r="L509" s="2" t="n">
        <x:v>9</x:v>
      </x:c>
      <x:c r="M509" s="2" t="n">
        <x:v>4</x:v>
      </x:c>
      <x:c r="N509" s="20" t="n">
        <x:v>0.4</x:v>
      </x:c>
      <x:c r="O509" s="20" t="n">
        <x:v>0.2</x:v>
      </x:c>
      <x:c r="P509" s="20" t="n">
        <x:v>0.75</x:v>
      </x:c>
      <x:c r="Q509" s="2" t="n">
        <x:v>23</x:v>
      </x:c>
      <x:c r="R509" s="2" t="str">
        <x:v>ISFP</x:v>
      </x:c>
      <x:c r="S509" s="2" t="str">
        <x:v>华东</x:v>
      </x:c>
      <x:c r="T509" s="2" t="str">
        <x:v>在校学生</x:v>
      </x:c>
    </x:row>
    <x:row r="510" ht="24" customHeight="1">
      <x:c r="A510" s="2" t="str">
        <x:v>D040_T02_C020_G075</x:v>
      </x:c>
      <x:c r="B510" s="2" t="str">
        <x:v>A0031</x:v>
      </x:c>
      <x:c r="C510" s="2" t="str">
        <x:v>inside</x:v>
      </x:c>
      <x:c r="D510" s="2" t="n">
        <x:v>2</x:v>
      </x:c>
      <x:c r="E510" s="2" t="n">
        <x:v>1</x:v>
      </x:c>
      <x:c r="F510" s="2" t="n">
        <x:v>3</x:v>
      </x:c>
      <x:c r="G510" s="2" t="str">
        <x:v>observed_post_release</x:v>
      </x:c>
      <x:c r="H510" s="2" t="n">
        <x:f>IF(AND(ISNUMBER(F510),F510&gt;=D510),1,0)</x:f>
        <x:v>1</x:v>
      </x:c>
      <x:c r="I510" s="2" t="n">
        <x:f>IF(AND(ISNUMBER(F510),F510&gt;D510),1,0)</x:f>
        <x:v>1</x:v>
      </x:c>
      <x:c r="J510" s="2" t="n">
        <x:f>IF(H510=1,F510-D510,"")</x:f>
        <x:v>1</x:v>
      </x:c>
      <x:c r="K510" s="2" t="n">
        <x:f>IF(H510=1,F510-E510,"")</x:f>
        <x:v>2</x:v>
      </x:c>
      <x:c r="L510" s="2" t="n">
        <x:v>9</x:v>
      </x:c>
      <x:c r="M510" s="2" t="n">
        <x:v>3</x:v>
      </x:c>
      <x:c r="N510" s="20" t="n">
        <x:v>0.4</x:v>
      </x:c>
      <x:c r="O510" s="20" t="n">
        <x:v>0.2</x:v>
      </x:c>
      <x:c r="P510" s="20" t="n">
        <x:v>0.75</x:v>
      </x:c>
      <x:c r="Q510" s="2" t="n">
        <x:v>34</x:v>
      </x:c>
      <x:c r="R510" s="2" t="str">
        <x:v>ENTJ</x:v>
      </x:c>
      <x:c r="S510" s="2" t="str">
        <x:v>西南</x:v>
      </x:c>
      <x:c r="T510" s="2" t="str">
        <x:v>个体经营或自由职业</x:v>
      </x:c>
    </x:row>
    <x:row r="511" ht="24" customHeight="1">
      <x:c r="A511" s="2" t="str">
        <x:v>D040_T02_C020_G075</x:v>
      </x:c>
      <x:c r="B511" s="2" t="str">
        <x:v>A0032</x:v>
      </x:c>
      <x:c r="C511" s="2" t="str">
        <x:v>inside</x:v>
      </x:c>
      <x:c r="D511" s="2" t="n">
        <x:v>2</x:v>
      </x:c>
      <x:c r="E511" s="2" t="n">
        <x:v>1</x:v>
      </x:c>
      <x:c r="F511" s="2" t="n">
        <x:v>2</x:v>
      </x:c>
      <x:c r="G511" s="2" t="str">
        <x:v>observed_post_release</x:v>
      </x:c>
      <x:c r="H511" s="2" t="n">
        <x:f>IF(AND(ISNUMBER(F511),F511&gt;=D511),1,0)</x:f>
        <x:v>1</x:v>
      </x:c>
      <x:c r="I511" s="2" t="n">
        <x:f>IF(AND(ISNUMBER(F511),F511&gt;D511),1,0)</x:f>
        <x:v>0</x:v>
      </x:c>
      <x:c r="J511" s="2" t="n">
        <x:f>IF(H511=1,F511-D511,"")</x:f>
        <x:v>0</x:v>
      </x:c>
      <x:c r="K511" s="2" t="n">
        <x:f>IF(H511=1,F511-E511,"")</x:f>
        <x:v>1</x:v>
      </x:c>
      <x:c r="L511" s="2" t="n">
        <x:v>9</x:v>
      </x:c>
      <x:c r="M511" s="2" t="n">
        <x:v>2</x:v>
      </x:c>
      <x:c r="N511" s="20" t="n">
        <x:v>0.4</x:v>
      </x:c>
      <x:c r="O511" s="20" t="n">
        <x:v>0.2</x:v>
      </x:c>
      <x:c r="P511" s="20" t="n">
        <x:v>0.75</x:v>
      </x:c>
      <x:c r="Q511" s="2" t="n">
        <x:v>53</x:v>
      </x:c>
      <x:c r="R511" s="2" t="str">
        <x:v>INTP</x:v>
      </x:c>
      <x:c r="S511" s="2" t="str">
        <x:v>华北</x:v>
      </x:c>
      <x:c r="T511" s="2" t="str">
        <x:v>个体经营或自由职业</x:v>
      </x:c>
    </x:row>
    <x:row r="512" ht="24" customHeight="1">
      <x:c r="A512" s="2" t="str">
        <x:v>D040_T02_C020_G075</x:v>
      </x:c>
      <x:c r="B512" s="2" t="str">
        <x:v>A0033</x:v>
      </x:c>
      <x:c r="C512" s="2" t="str">
        <x:v>inside</x:v>
      </x:c>
      <x:c r="D512" s="2" t="n">
        <x:v>2</x:v>
      </x:c>
      <x:c r="E512" s="2" t="n">
        <x:v>1</x:v>
      </x:c>
      <x:c r="F512" s="2" t="n">
        <x:v>3</x:v>
      </x:c>
      <x:c r="G512" s="2" t="str">
        <x:v>observed_post_release</x:v>
      </x:c>
      <x:c r="H512" s="2" t="n">
        <x:f>IF(AND(ISNUMBER(F512),F512&gt;=D512),1,0)</x:f>
        <x:v>1</x:v>
      </x:c>
      <x:c r="I512" s="2" t="n">
        <x:f>IF(AND(ISNUMBER(F512),F512&gt;D512),1,0)</x:f>
        <x:v>1</x:v>
      </x:c>
      <x:c r="J512" s="2" t="n">
        <x:f>IF(H512=1,F512-D512,"")</x:f>
        <x:v>1</x:v>
      </x:c>
      <x:c r="K512" s="2" t="n">
        <x:f>IF(H512=1,F512-E512,"")</x:f>
        <x:v>2</x:v>
      </x:c>
      <x:c r="L512" s="2" t="n">
        <x:v>9</x:v>
      </x:c>
      <x:c r="M512" s="2" t="n">
        <x:v>3</x:v>
      </x:c>
      <x:c r="N512" s="20" t="n">
        <x:v>0.4</x:v>
      </x:c>
      <x:c r="O512" s="20" t="n">
        <x:v>0.2</x:v>
      </x:c>
      <x:c r="P512" s="20" t="n">
        <x:v>0.75</x:v>
      </x:c>
      <x:c r="Q512" s="2" t="n">
        <x:v>55</x:v>
      </x:c>
      <x:c r="R512" s="2" t="str">
        <x:v>ENFP</x:v>
      </x:c>
      <x:c r="S512" s="2" t="str">
        <x:v>华南</x:v>
      </x:c>
      <x:c r="T512" s="2" t="str">
        <x:v>个体经营或自由职业</x:v>
      </x:c>
    </x:row>
    <x:row r="513" ht="24" customHeight="1">
      <x:c r="A513" s="2" t="str">
        <x:v>D040_T02_C020_G075</x:v>
      </x:c>
      <x:c r="B513" s="2" t="str">
        <x:v>A0034</x:v>
      </x:c>
      <x:c r="C513" s="2" t="str">
        <x:v>inside</x:v>
      </x:c>
      <x:c r="D513" s="2" t="n">
        <x:v>2</x:v>
      </x:c>
      <x:c r="E513" s="2" t="n">
        <x:v>1</x:v>
      </x:c>
      <x:c r="F513" s="2" t="n">
        <x:v>5</x:v>
      </x:c>
      <x:c r="G513" s="2" t="str">
        <x:v>observed_post_release</x:v>
      </x:c>
      <x:c r="H513" s="2" t="n">
        <x:f>IF(AND(ISNUMBER(F513),F513&gt;=D513),1,0)</x:f>
        <x:v>1</x:v>
      </x:c>
      <x:c r="I513" s="2" t="n">
        <x:f>IF(AND(ISNUMBER(F513),F513&gt;D513),1,0)</x:f>
        <x:v>1</x:v>
      </x:c>
      <x:c r="J513" s="2" t="n">
        <x:f>IF(H513=1,F513-D513,"")</x:f>
        <x:v>3</x:v>
      </x:c>
      <x:c r="K513" s="2" t="n">
        <x:f>IF(H513=1,F513-E513,"")</x:f>
        <x:v>4</x:v>
      </x:c>
      <x:c r="L513" s="2" t="n">
        <x:v>9</x:v>
      </x:c>
      <x:c r="M513" s="2" t="n">
        <x:v>5</x:v>
      </x:c>
      <x:c r="N513" s="20" t="n">
        <x:v>0.4</x:v>
      </x:c>
      <x:c r="O513" s="20" t="n">
        <x:v>0.2</x:v>
      </x:c>
      <x:c r="P513" s="20" t="n">
        <x:v>0.75</x:v>
      </x:c>
      <x:c r="Q513" s="2" t="n">
        <x:v>36</x:v>
      </x:c>
      <x:c r="R513" s="2" t="str">
        <x:v>INTP</x:v>
      </x:c>
      <x:c r="S513" s="2" t="str">
        <x:v>华南</x:v>
      </x:c>
      <x:c r="T513" s="2" t="str">
        <x:v>专业技术岗位</x:v>
      </x:c>
    </x:row>
    <x:row r="514" ht="24" customHeight="1">
      <x:c r="A514" s="2" t="str">
        <x:v>D040_T02_C020_G075</x:v>
      </x:c>
      <x:c r="B514" s="2" t="str">
        <x:v>A0035</x:v>
      </x:c>
      <x:c r="C514" s="2" t="str">
        <x:v>inside</x:v>
      </x:c>
      <x:c r="D514" s="2" t="n">
        <x:v>2</x:v>
      </x:c>
      <x:c r="E514" s="2" t="n">
        <x:v>1</x:v>
      </x:c>
      <x:c r="F514" s="2" t="n">
        <x:v>4</x:v>
      </x:c>
      <x:c r="G514" s="2" t="str">
        <x:v>observed_post_release</x:v>
      </x:c>
      <x:c r="H514" s="2" t="n">
        <x:f>IF(AND(ISNUMBER(F514),F514&gt;=D514),1,0)</x:f>
        <x:v>1</x:v>
      </x:c>
      <x:c r="I514" s="2" t="n">
        <x:f>IF(AND(ISNUMBER(F514),F514&gt;D514),1,0)</x:f>
        <x:v>1</x:v>
      </x:c>
      <x:c r="J514" s="2" t="n">
        <x:f>IF(H514=1,F514-D514,"")</x:f>
        <x:v>2</x:v>
      </x:c>
      <x:c r="K514" s="2" t="n">
        <x:f>IF(H514=1,F514-E514,"")</x:f>
        <x:v>3</x:v>
      </x:c>
      <x:c r="L514" s="2" t="n">
        <x:v>9</x:v>
      </x:c>
      <x:c r="M514" s="2" t="n">
        <x:v>3</x:v>
      </x:c>
      <x:c r="N514" s="20" t="n">
        <x:v>0.4</x:v>
      </x:c>
      <x:c r="O514" s="20" t="n">
        <x:v>0.2</x:v>
      </x:c>
      <x:c r="P514" s="20" t="n">
        <x:v>0.75</x:v>
      </x:c>
      <x:c r="Q514" s="2" t="n">
        <x:v>42</x:v>
      </x:c>
      <x:c r="R514" s="2" t="str">
        <x:v>ISFJ</x:v>
      </x:c>
      <x:c r="S514" s="2" t="str">
        <x:v>华南</x:v>
      </x:c>
      <x:c r="T514" s="2" t="str">
        <x:v>专业技术岗位</x:v>
      </x:c>
    </x:row>
    <x:row r="515" ht="24" customHeight="1">
      <x:c r="A515" s="2" t="str">
        <x:v>D040_T02_C020_G075</x:v>
      </x:c>
      <x:c r="B515" s="2" t="str">
        <x:v>A0036</x:v>
      </x:c>
      <x:c r="C515" s="2" t="str">
        <x:v>inside</x:v>
      </x:c>
      <x:c r="D515" s="2" t="n">
        <x:v>2</x:v>
      </x:c>
      <x:c r="E515" s="2" t="n">
        <x:v>1</x:v>
      </x:c>
      <x:c r="F515" s="2" t="n">
        <x:v>3</x:v>
      </x:c>
      <x:c r="G515" s="2" t="str">
        <x:v>observed_post_release</x:v>
      </x:c>
      <x:c r="H515" s="2" t="n">
        <x:f>IF(AND(ISNUMBER(F515),F515&gt;=D515),1,0)</x:f>
        <x:v>1</x:v>
      </x:c>
      <x:c r="I515" s="2" t="n">
        <x:f>IF(AND(ISNUMBER(F515),F515&gt;D515),1,0)</x:f>
        <x:v>1</x:v>
      </x:c>
      <x:c r="J515" s="2" t="n">
        <x:f>IF(H515=1,F515-D515,"")</x:f>
        <x:v>1</x:v>
      </x:c>
      <x:c r="K515" s="2" t="n">
        <x:f>IF(H515=1,F515-E515,"")</x:f>
        <x:v>2</x:v>
      </x:c>
      <x:c r="L515" s="2" t="n">
        <x:v>9</x:v>
      </x:c>
      <x:c r="M515" s="2" t="n">
        <x:v>3</x:v>
      </x:c>
      <x:c r="N515" s="20" t="n">
        <x:v>0.4</x:v>
      </x:c>
      <x:c r="O515" s="20" t="n">
        <x:v>0.2</x:v>
      </x:c>
      <x:c r="P515" s="20" t="n">
        <x:v>0.75</x:v>
      </x:c>
      <x:c r="Q515" s="2" t="n">
        <x:v>43</x:v>
      </x:c>
      <x:c r="R515" s="2" t="str">
        <x:v>ISFJ</x:v>
      </x:c>
      <x:c r="S515" s="2" t="str">
        <x:v>华东</x:v>
      </x:c>
      <x:c r="T515" s="2" t="str">
        <x:v>生产运输或体力岗位</x:v>
      </x:c>
    </x:row>
    <x:row r="516" ht="24" customHeight="1">
      <x:c r="A516" s="2" t="str">
        <x:v>D040_T02_C020_G075</x:v>
      </x:c>
      <x:c r="B516" s="2" t="str">
        <x:v>A0037</x:v>
      </x:c>
      <x:c r="C516" s="2" t="str">
        <x:v>inside</x:v>
      </x:c>
      <x:c r="D516" s="2" t="n">
        <x:v>2</x:v>
      </x:c>
      <x:c r="E516" s="2" t="n">
        <x:v>1</x:v>
      </x:c>
      <x:c r="F516" s="2" t="n">
        <x:v>3</x:v>
      </x:c>
      <x:c r="G516" s="2" t="str">
        <x:v>observed_post_release</x:v>
      </x:c>
      <x:c r="H516" s="2" t="n">
        <x:f>IF(AND(ISNUMBER(F516),F516&gt;=D516),1,0)</x:f>
        <x:v>1</x:v>
      </x:c>
      <x:c r="I516" s="2" t="n">
        <x:f>IF(AND(ISNUMBER(F516),F516&gt;D516),1,0)</x:f>
        <x:v>1</x:v>
      </x:c>
      <x:c r="J516" s="2" t="n">
        <x:f>IF(H516=1,F516-D516,"")</x:f>
        <x:v>1</x:v>
      </x:c>
      <x:c r="K516" s="2" t="n">
        <x:f>IF(H516=1,F516-E516,"")</x:f>
        <x:v>2</x:v>
      </x:c>
      <x:c r="L516" s="2" t="n">
        <x:v>9</x:v>
      </x:c>
      <x:c r="M516" s="2" t="n">
        <x:v>3</x:v>
      </x:c>
      <x:c r="N516" s="20" t="n">
        <x:v>0.4</x:v>
      </x:c>
      <x:c r="O516" s="20" t="n">
        <x:v>0.2</x:v>
      </x:c>
      <x:c r="P516" s="20" t="n">
        <x:v>0.75</x:v>
      </x:c>
      <x:c r="Q516" s="2" t="n">
        <x:v>24</x:v>
      </x:c>
      <x:c r="R516" s="2" t="str">
        <x:v>ENTP</x:v>
      </x:c>
      <x:c r="S516" s="2" t="str">
        <x:v>华南</x:v>
      </x:c>
      <x:c r="T516" s="2" t="str">
        <x:v>在校学生</x:v>
      </x:c>
    </x:row>
    <x:row r="517" ht="24" customHeight="1">
      <x:c r="A517" s="2" t="str">
        <x:v>D040_T02_C020_G075</x:v>
      </x:c>
      <x:c r="B517" s="2" t="str">
        <x:v>A0038</x:v>
      </x:c>
      <x:c r="C517" s="2" t="str">
        <x:v>inside</x:v>
      </x:c>
      <x:c r="D517" s="2" t="n">
        <x:v>2</x:v>
      </x:c>
      <x:c r="E517" s="2" t="n">
        <x:v>1</x:v>
      </x:c>
      <x:c r="F517" s="2" t="n">
        <x:v>4</x:v>
      </x:c>
      <x:c r="G517" s="2" t="str">
        <x:v>observed_post_release</x:v>
      </x:c>
      <x:c r="H517" s="2" t="n">
        <x:f>IF(AND(ISNUMBER(F517),F517&gt;=D517),1,0)</x:f>
        <x:v>1</x:v>
      </x:c>
      <x:c r="I517" s="2" t="n">
        <x:f>IF(AND(ISNUMBER(F517),F517&gt;D517),1,0)</x:f>
        <x:v>1</x:v>
      </x:c>
      <x:c r="J517" s="2" t="n">
        <x:f>IF(H517=1,F517-D517,"")</x:f>
        <x:v>2</x:v>
      </x:c>
      <x:c r="K517" s="2" t="n">
        <x:f>IF(H517=1,F517-E517,"")</x:f>
        <x:v>3</x:v>
      </x:c>
      <x:c r="L517" s="2" t="n">
        <x:v>9</x:v>
      </x:c>
      <x:c r="M517" s="2" t="n">
        <x:v>4</x:v>
      </x:c>
      <x:c r="N517" s="20" t="n">
        <x:v>0.4</x:v>
      </x:c>
      <x:c r="O517" s="20" t="n">
        <x:v>0.2</x:v>
      </x:c>
      <x:c r="P517" s="20" t="n">
        <x:v>0.75</x:v>
      </x:c>
      <x:c r="Q517" s="2" t="n">
        <x:v>46</x:v>
      </x:c>
      <x:c r="R517" s="2" t="str">
        <x:v>ISTP</x:v>
      </x:c>
      <x:c r="S517" s="2" t="str">
        <x:v>华东</x:v>
      </x:c>
      <x:c r="T517" s="2" t="str">
        <x:v>行政或办公室岗位</x:v>
      </x:c>
    </x:row>
    <x:row r="518" ht="24" customHeight="1">
      <x:c r="A518" s="2" t="str">
        <x:v>D040_T02_C020_G075</x:v>
      </x:c>
      <x:c r="B518" s="2" t="str">
        <x:v>A0040</x:v>
      </x:c>
      <x:c r="C518" s="2" t="str">
        <x:v>inside</x:v>
      </x:c>
      <x:c r="D518" s="2" t="n">
        <x:v>2</x:v>
      </x:c>
      <x:c r="E518" s="2" t="n">
        <x:v>1</x:v>
      </x:c>
      <x:c r="F518" s="2" t="n">
        <x:v>4</x:v>
      </x:c>
      <x:c r="G518" s="2" t="str">
        <x:v>observed_post_release</x:v>
      </x:c>
      <x:c r="H518" s="2" t="n">
        <x:f>IF(AND(ISNUMBER(F518),F518&gt;=D518),1,0)</x:f>
        <x:v>1</x:v>
      </x:c>
      <x:c r="I518" s="2" t="n">
        <x:f>IF(AND(ISNUMBER(F518),F518&gt;D518),1,0)</x:f>
        <x:v>1</x:v>
      </x:c>
      <x:c r="J518" s="2" t="n">
        <x:f>IF(H518=1,F518-D518,"")</x:f>
        <x:v>2</x:v>
      </x:c>
      <x:c r="K518" s="2" t="n">
        <x:f>IF(H518=1,F518-E518,"")</x:f>
        <x:v>3</x:v>
      </x:c>
      <x:c r="L518" s="2" t="n">
        <x:v>9</x:v>
      </x:c>
      <x:c r="M518" s="2" t="n">
        <x:v>4</x:v>
      </x:c>
      <x:c r="N518" s="20" t="n">
        <x:v>0.4</x:v>
      </x:c>
      <x:c r="O518" s="20" t="n">
        <x:v>0.2</x:v>
      </x:c>
      <x:c r="P518" s="20" t="n">
        <x:v>0.75</x:v>
      </x:c>
      <x:c r="Q518" s="2" t="n">
        <x:v>48</x:v>
      </x:c>
      <x:c r="R518" s="2" t="str">
        <x:v>INFP</x:v>
      </x:c>
      <x:c r="S518" s="2" t="str">
        <x:v>西北</x:v>
      </x:c>
      <x:c r="T518" s="2" t="str">
        <x:v>个体经营或自由职业</x:v>
      </x:c>
    </x:row>
    <x:row r="519" ht="24" customHeight="1">
      <x:c r="A519" s="2" t="str">
        <x:v>D040_T02_C020_G075</x:v>
      </x:c>
      <x:c r="B519" s="2" t="str">
        <x:v>A0041</x:v>
      </x:c>
      <x:c r="C519" s="2" t="str">
        <x:v>inside</x:v>
      </x:c>
      <x:c r="D519" s="2" t="n">
        <x:v>2</x:v>
      </x:c>
      <x:c r="E519" s="2" t="n">
        <x:v>1</x:v>
      </x:c>
      <x:c r="F519" s="2" t="n">
        <x:v>3</x:v>
      </x:c>
      <x:c r="G519" s="2" t="str">
        <x:v>observed_post_release</x:v>
      </x:c>
      <x:c r="H519" s="2" t="n">
        <x:f>IF(AND(ISNUMBER(F519),F519&gt;=D519),1,0)</x:f>
        <x:v>1</x:v>
      </x:c>
      <x:c r="I519" s="2" t="n">
        <x:f>IF(AND(ISNUMBER(F519),F519&gt;D519),1,0)</x:f>
        <x:v>1</x:v>
      </x:c>
      <x:c r="J519" s="2" t="n">
        <x:f>IF(H519=1,F519-D519,"")</x:f>
        <x:v>1</x:v>
      </x:c>
      <x:c r="K519" s="2" t="n">
        <x:f>IF(H519=1,F519-E519,"")</x:f>
        <x:v>2</x:v>
      </x:c>
      <x:c r="L519" s="2" t="n">
        <x:v>9</x:v>
      </x:c>
      <x:c r="M519" s="2" t="n">
        <x:v>3</x:v>
      </x:c>
      <x:c r="N519" s="20" t="n">
        <x:v>0.4</x:v>
      </x:c>
      <x:c r="O519" s="20" t="n">
        <x:v>0.2</x:v>
      </x:c>
      <x:c r="P519" s="20" t="n">
        <x:v>0.75</x:v>
      </x:c>
      <x:c r="Q519" s="2" t="n">
        <x:v>62</x:v>
      </x:c>
      <x:c r="R519" s="2" t="str">
        <x:v>ISFJ</x:v>
      </x:c>
      <x:c r="S519" s="2" t="str">
        <x:v>西北</x:v>
      </x:c>
      <x:c r="T519" s="2" t="str">
        <x:v>个体经营或自由职业</x:v>
      </x:c>
    </x:row>
    <x:row r="520" ht="24" customHeight="1">
      <x:c r="A520" s="2" t="str">
        <x:v>D040_T02_C020_G075</x:v>
      </x:c>
      <x:c r="B520" s="2" t="str">
        <x:v>A0042</x:v>
      </x:c>
      <x:c r="C520" s="2" t="str">
        <x:v>inside</x:v>
      </x:c>
      <x:c r="D520" s="2" t="n">
        <x:v>2</x:v>
      </x:c>
      <x:c r="E520" s="2" t="n">
        <x:v>1</x:v>
      </x:c>
      <x:c r="F520" s="2" t="n">
        <x:v>3</x:v>
      </x:c>
      <x:c r="G520" s="2" t="str">
        <x:v>observed_post_release</x:v>
      </x:c>
      <x:c r="H520" s="2" t="n">
        <x:f>IF(AND(ISNUMBER(F520),F520&gt;=D520),1,0)</x:f>
        <x:v>1</x:v>
      </x:c>
      <x:c r="I520" s="2" t="n">
        <x:f>IF(AND(ISNUMBER(F520),F520&gt;D520),1,0)</x:f>
        <x:v>1</x:v>
      </x:c>
      <x:c r="J520" s="2" t="n">
        <x:f>IF(H520=1,F520-D520,"")</x:f>
        <x:v>1</x:v>
      </x:c>
      <x:c r="K520" s="2" t="n">
        <x:f>IF(H520=1,F520-E520,"")</x:f>
        <x:v>2</x:v>
      </x:c>
      <x:c r="L520" s="2" t="n">
        <x:v>9</x:v>
      </x:c>
      <x:c r="M520" s="2" t="n">
        <x:v>3</x:v>
      </x:c>
      <x:c r="N520" s="20" t="n">
        <x:v>0.4</x:v>
      </x:c>
      <x:c r="O520" s="20" t="n">
        <x:v>0.2</x:v>
      </x:c>
      <x:c r="P520" s="20" t="n">
        <x:v>0.75</x:v>
      </x:c>
      <x:c r="Q520" s="2" t="n">
        <x:v>31</x:v>
      </x:c>
      <x:c r="R520" s="2" t="str">
        <x:v>INTJ</x:v>
      </x:c>
      <x:c r="S520" s="2" t="str">
        <x:v>华东</x:v>
      </x:c>
      <x:c r="T520" s="2" t="str">
        <x:v>生产运输或体力岗位</x:v>
      </x:c>
    </x:row>
    <x:row r="521" ht="24" customHeight="1">
      <x:c r="A521" s="2" t="str">
        <x:v>D040_T02_C020_G075</x:v>
      </x:c>
      <x:c r="B521" s="2" t="str">
        <x:v>A0071</x:v>
      </x:c>
      <x:c r="C521" s="2" t="str">
        <x:v>inside</x:v>
      </x:c>
      <x:c r="D521" s="2" t="n">
        <x:v>2</x:v>
      </x:c>
      <x:c r="E521" s="2" t="n">
        <x:v>1</x:v>
      </x:c>
      <x:c r="F521" s="2" t="n">
        <x:v>3</x:v>
      </x:c>
      <x:c r="G521" s="2" t="str">
        <x:v>observed_post_release</x:v>
      </x:c>
      <x:c r="H521" s="2" t="n">
        <x:f>IF(AND(ISNUMBER(F521),F521&gt;=D521),1,0)</x:f>
        <x:v>1</x:v>
      </x:c>
      <x:c r="I521" s="2" t="n">
        <x:f>IF(AND(ISNUMBER(F521),F521&gt;D521),1,0)</x:f>
        <x:v>1</x:v>
      </x:c>
      <x:c r="J521" s="2" t="n">
        <x:f>IF(H521=1,F521-D521,"")</x:f>
        <x:v>1</x:v>
      </x:c>
      <x:c r="K521" s="2" t="n">
        <x:f>IF(H521=1,F521-E521,"")</x:f>
        <x:v>2</x:v>
      </x:c>
      <x:c r="L521" s="2" t="n">
        <x:v>9</x:v>
      </x:c>
      <x:c r="M521" s="2" t="n">
        <x:v>3</x:v>
      </x:c>
      <x:c r="N521" s="20" t="n">
        <x:v>0.4</x:v>
      </x:c>
      <x:c r="O521" s="20" t="n">
        <x:v>0.2</x:v>
      </x:c>
      <x:c r="P521" s="20" t="n">
        <x:v>0.75</x:v>
      </x:c>
      <x:c r="Q521" s="2" t="n">
        <x:v>33</x:v>
      </x:c>
      <x:c r="R521" s="2" t="str">
        <x:v>ISTJ</x:v>
      </x:c>
      <x:c r="S521" s="2" t="str">
        <x:v>华东</x:v>
      </x:c>
      <x:c r="T521" s="2" t="str">
        <x:v>商业服务岗位</x:v>
      </x:c>
    </x:row>
    <x:row r="522" ht="24" customHeight="1">
      <x:c r="A522" s="2" t="str">
        <x:v>D040_T02_C020_G075</x:v>
      </x:c>
      <x:c r="B522" s="2" t="str">
        <x:v>A0189</x:v>
      </x:c>
      <x:c r="C522" s="2" t="str">
        <x:v>inside</x:v>
      </x:c>
      <x:c r="D522" s="2" t="n">
        <x:v>2</x:v>
      </x:c>
      <x:c r="E522" s="2" t="n">
        <x:v>1</x:v>
      </x:c>
      <x:c r="F522" s="2" t="n">
        <x:v>3</x:v>
      </x:c>
      <x:c r="G522" s="2" t="str">
        <x:v>observed_post_release</x:v>
      </x:c>
      <x:c r="H522" s="2" t="n">
        <x:f>IF(AND(ISNUMBER(F522),F522&gt;=D522),1,0)</x:f>
        <x:v>1</x:v>
      </x:c>
      <x:c r="I522" s="2" t="n">
        <x:f>IF(AND(ISNUMBER(F522),F522&gt;D522),1,0)</x:f>
        <x:v>1</x:v>
      </x:c>
      <x:c r="J522" s="2" t="n">
        <x:f>IF(H522=1,F522-D522,"")</x:f>
        <x:v>1</x:v>
      </x:c>
      <x:c r="K522" s="2" t="n">
        <x:f>IF(H522=1,F522-E522,"")</x:f>
        <x:v>2</x:v>
      </x:c>
      <x:c r="L522" s="2" t="n">
        <x:v>9</x:v>
      </x:c>
      <x:c r="M522" s="2" t="n">
        <x:v>3</x:v>
      </x:c>
      <x:c r="N522" s="20" t="n">
        <x:v>0.4</x:v>
      </x:c>
      <x:c r="O522" s="20" t="n">
        <x:v>0.2</x:v>
      </x:c>
      <x:c r="P522" s="20" t="n">
        <x:v>0.75</x:v>
      </x:c>
      <x:c r="Q522" s="2" t="n">
        <x:v>45</x:v>
      </x:c>
      <x:c r="R522" s="2" t="str">
        <x:v>ISFJ</x:v>
      </x:c>
      <x:c r="S522" s="2" t="str">
        <x:v>西北</x:v>
      </x:c>
      <x:c r="T522" s="2" t="str">
        <x:v>生产运输或体力岗位</x:v>
      </x:c>
    </x:row>
    <x:row r="523" ht="24" customHeight="1">
      <x:c r="A523" s="2" t="str">
        <x:v>D040_T02_C020_G075</x:v>
      </x:c>
      <x:c r="B523" s="2" t="str">
        <x:v>A0206</x:v>
      </x:c>
      <x:c r="C523" s="2" t="str">
        <x:v>inside</x:v>
      </x:c>
      <x:c r="D523" s="2" t="n">
        <x:v>2</x:v>
      </x:c>
      <x:c r="E523" s="2" t="n">
        <x:v>1</x:v>
      </x:c>
      <x:c r="F523" s="2" t="n">
        <x:v>2</x:v>
      </x:c>
      <x:c r="G523" s="2" t="str">
        <x:v>observed_post_release</x:v>
      </x:c>
      <x:c r="H523" s="2" t="n">
        <x:f>IF(AND(ISNUMBER(F523),F523&gt;=D523),1,0)</x:f>
        <x:v>1</x:v>
      </x:c>
      <x:c r="I523" s="2" t="n">
        <x:f>IF(AND(ISNUMBER(F523),F523&gt;D523),1,0)</x:f>
        <x:v>0</x:v>
      </x:c>
      <x:c r="J523" s="2" t="n">
        <x:f>IF(H523=1,F523-D523,"")</x:f>
        <x:v>0</x:v>
      </x:c>
      <x:c r="K523" s="2" t="n">
        <x:f>IF(H523=1,F523-E523,"")</x:f>
        <x:v>1</x:v>
      </x:c>
      <x:c r="L523" s="2" t="n">
        <x:v>9</x:v>
      </x:c>
      <x:c r="M523" s="2" t="n">
        <x:v>2</x:v>
      </x:c>
      <x:c r="N523" s="20" t="n">
        <x:v>0.4</x:v>
      </x:c>
      <x:c r="O523" s="20" t="n">
        <x:v>0.2</x:v>
      </x:c>
      <x:c r="P523" s="20" t="n">
        <x:v>0.75</x:v>
      </x:c>
      <x:c r="Q523" s="2" t="n">
        <x:v>21</x:v>
      </x:c>
      <x:c r="R523" s="2" t="str">
        <x:v>ESTP</x:v>
      </x:c>
      <x:c r="S523" s="2" t="str">
        <x:v>西北</x:v>
      </x:c>
      <x:c r="T523" s="2" t="str">
        <x:v>暂未就业或家庭照料</x:v>
      </x:c>
    </x:row>
    <x:row r="524" ht="24" customHeight="1">
      <x:c r="A524" s="2" t="str">
        <x:v>D040_T02_C080_G025</x:v>
      </x:c>
      <x:c r="B524" s="2" t="str">
        <x:v>A0001</x:v>
      </x:c>
      <x:c r="C524" s="2" t="str">
        <x:v>inside</x:v>
      </x:c>
      <x:c r="D524" s="2" t="n">
        <x:v>2</x:v>
      </x:c>
      <x:c r="E524" s="2" t="n">
        <x:v>1</x:v>
      </x:c>
      <x:c r="F524" s="2" t="n">
        <x:v>2</x:v>
      </x:c>
      <x:c r="G524" s="2" t="str">
        <x:v>observed_post_release</x:v>
      </x:c>
      <x:c r="H524" s="2" t="n">
        <x:f>IF(AND(ISNUMBER(F524),F524&gt;=D524),1,0)</x:f>
        <x:v>1</x:v>
      </x:c>
      <x:c r="I524" s="2" t="n">
        <x:f>IF(AND(ISNUMBER(F524),F524&gt;D524),1,0)</x:f>
        <x:v>0</x:v>
      </x:c>
      <x:c r="J524" s="2" t="n">
        <x:f>IF(H524=1,F524-D524,"")</x:f>
        <x:v>0</x:v>
      </x:c>
      <x:c r="K524" s="2" t="n">
        <x:f>IF(H524=1,F524-E524,"")</x:f>
        <x:v>1</x:v>
      </x:c>
      <x:c r="L524" s="2" t="n">
        <x:v>9</x:v>
      </x:c>
      <x:c r="M524" s="2" t="n">
        <x:v>2</x:v>
      </x:c>
      <x:c r="N524" s="20" t="n">
        <x:v>0.4</x:v>
      </x:c>
      <x:c r="O524" s="20" t="n">
        <x:v>0.8</x:v>
      </x:c>
      <x:c r="P524" s="20" t="n">
        <x:v>0.25</x:v>
      </x:c>
      <x:c r="Q524" s="2" t="n">
        <x:v>22</x:v>
      </x:c>
      <x:c r="R524" s="2" t="str">
        <x:v>ESTJ</x:v>
      </x:c>
      <x:c r="S524" s="2" t="str">
        <x:v>华南</x:v>
      </x:c>
      <x:c r="T524" s="2" t="str">
        <x:v>在校学生</x:v>
      </x:c>
    </x:row>
    <x:row r="525" ht="24" customHeight="1">
      <x:c r="A525" s="2" t="str">
        <x:v>D040_T02_C080_G025</x:v>
      </x:c>
      <x:c r="B525" s="2" t="str">
        <x:v>A0002</x:v>
      </x:c>
      <x:c r="C525" s="2" t="str">
        <x:v>inside</x:v>
      </x:c>
      <x:c r="D525" s="2" t="n">
        <x:v>2</x:v>
      </x:c>
      <x:c r="E525" s="2" t="n">
        <x:v>1</x:v>
      </x:c>
      <x:c r="F525" s="2" t="n">
        <x:v>5</x:v>
      </x:c>
      <x:c r="G525" s="2" t="str">
        <x:v>observed_post_release</x:v>
      </x:c>
      <x:c r="H525" s="2" t="n">
        <x:f>IF(AND(ISNUMBER(F525),F525&gt;=D525),1,0)</x:f>
        <x:v>1</x:v>
      </x:c>
      <x:c r="I525" s="2" t="n">
        <x:f>IF(AND(ISNUMBER(F525),F525&gt;D525),1,0)</x:f>
        <x:v>1</x:v>
      </x:c>
      <x:c r="J525" s="2" t="n">
        <x:f>IF(H525=1,F525-D525,"")</x:f>
        <x:v>3</x:v>
      </x:c>
      <x:c r="K525" s="2" t="n">
        <x:f>IF(H525=1,F525-E525,"")</x:f>
        <x:v>4</x:v>
      </x:c>
      <x:c r="L525" s="2" t="n">
        <x:v>9</x:v>
      </x:c>
      <x:c r="M525" s="2" t="n">
        <x:v>3</x:v>
      </x:c>
      <x:c r="N525" s="20" t="n">
        <x:v>0.4</x:v>
      </x:c>
      <x:c r="O525" s="20" t="n">
        <x:v>0.8</x:v>
      </x:c>
      <x:c r="P525" s="20" t="n">
        <x:v>0.25</x:v>
      </x:c>
      <x:c r="Q525" s="2" t="n">
        <x:v>19</x:v>
      </x:c>
      <x:c r="R525" s="2" t="str">
        <x:v>ESTP</x:v>
      </x:c>
      <x:c r="S525" s="2" t="str">
        <x:v>华南</x:v>
      </x:c>
      <x:c r="T525" s="2" t="str">
        <x:v>商业服务岗位</x:v>
      </x:c>
    </x:row>
    <x:row r="526" ht="24" customHeight="1">
      <x:c r="A526" s="2" t="str">
        <x:v>D040_T02_C080_G025</x:v>
      </x:c>
      <x:c r="B526" s="2" t="str">
        <x:v>A0003</x:v>
      </x:c>
      <x:c r="C526" s="2" t="str">
        <x:v>inside</x:v>
      </x:c>
      <x:c r="D526" s="2" t="n">
        <x:v>2</x:v>
      </x:c>
      <x:c r="E526" s="2" t="n">
        <x:v>1</x:v>
      </x:c>
      <x:c r="F526" s="2" t="n">
        <x:v>2</x:v>
      </x:c>
      <x:c r="G526" s="2" t="str">
        <x:v>observed_post_release</x:v>
      </x:c>
      <x:c r="H526" s="2" t="n">
        <x:f>IF(AND(ISNUMBER(F526),F526&gt;=D526),1,0)</x:f>
        <x:v>1</x:v>
      </x:c>
      <x:c r="I526" s="2" t="n">
        <x:f>IF(AND(ISNUMBER(F526),F526&gt;D526),1,0)</x:f>
        <x:v>0</x:v>
      </x:c>
      <x:c r="J526" s="2" t="n">
        <x:f>IF(H526=1,F526-D526,"")</x:f>
        <x:v>0</x:v>
      </x:c>
      <x:c r="K526" s="2" t="n">
        <x:f>IF(H526=1,F526-E526,"")</x:f>
        <x:v>1</x:v>
      </x:c>
      <x:c r="L526" s="2" t="n">
        <x:v>9</x:v>
      </x:c>
      <x:c r="M526" s="2" t="n">
        <x:v>2</x:v>
      </x:c>
      <x:c r="N526" s="20" t="n">
        <x:v>0.4</x:v>
      </x:c>
      <x:c r="O526" s="20" t="n">
        <x:v>0.8</x:v>
      </x:c>
      <x:c r="P526" s="20" t="n">
        <x:v>0.25</x:v>
      </x:c>
      <x:c r="Q526" s="2" t="n">
        <x:v>20</x:v>
      </x:c>
      <x:c r="R526" s="2" t="str">
        <x:v>ENFP</x:v>
      </x:c>
      <x:c r="S526" s="2" t="str">
        <x:v>华北</x:v>
      </x:c>
      <x:c r="T526" s="2" t="str">
        <x:v>行政或办公室岗位</x:v>
      </x:c>
    </x:row>
    <x:row r="527" ht="24" customHeight="1">
      <x:c r="A527" s="2" t="str">
        <x:v>D040_T02_C080_G025</x:v>
      </x:c>
      <x:c r="B527" s="2" t="str">
        <x:v>A0005</x:v>
      </x:c>
      <x:c r="C527" s="2" t="str">
        <x:v>inside</x:v>
      </x:c>
      <x:c r="D527" s="2" t="n">
        <x:v>2</x:v>
      </x:c>
      <x:c r="E527" s="2" t="n">
        <x:v>1</x:v>
      </x:c>
      <x:c r="F527" s="2"/>
      <x:c r="G527" s="2" t="str">
        <x:v>right_censored</x:v>
      </x:c>
      <x:c r="H527" s="2" t="n">
        <x:f>IF(AND(ISNUMBER(F527),F527&gt;=D527),1,0)</x:f>
        <x:v>0</x:v>
      </x:c>
      <x:c r="I527" s="2" t="n">
        <x:f>IF(AND(ISNUMBER(F527),F527&gt;D527),1,0)</x:f>
        <x:v>0</x:v>
      </x:c>
      <x:c r="J527" s="2" t="str">
        <x:f>IF(H527=1,F527-D527,"")</x:f>
      </x:c>
      <x:c r="K527" s="2" t="str">
        <x:f>IF(H527=1,F527-E527,"")</x:f>
      </x:c>
      <x:c r="L527" s="2" t="n">
        <x:v>9</x:v>
      </x:c>
      <x:c r="M527" s="2" t="n">
        <x:v>2</x:v>
      </x:c>
      <x:c r="N527" s="20" t="n">
        <x:v>0.4</x:v>
      </x:c>
      <x:c r="O527" s="20" t="n">
        <x:v>0.8</x:v>
      </x:c>
      <x:c r="P527" s="20" t="n">
        <x:v>0.25</x:v>
      </x:c>
      <x:c r="Q527" s="2" t="n">
        <x:v>51</x:v>
      </x:c>
      <x:c r="R527" s="2" t="str">
        <x:v>ISTP</x:v>
      </x:c>
      <x:c r="S527" s="2" t="str">
        <x:v>华南</x:v>
      </x:c>
      <x:c r="T527" s="2" t="str">
        <x:v>生产运输或体力岗位</x:v>
      </x:c>
    </x:row>
    <x:row r="528" ht="24" customHeight="1">
      <x:c r="A528" s="2" t="str">
        <x:v>D040_T02_C080_G025</x:v>
      </x:c>
      <x:c r="B528" s="2" t="str">
        <x:v>A0009</x:v>
      </x:c>
      <x:c r="C528" s="2" t="str">
        <x:v>inside</x:v>
      </x:c>
      <x:c r="D528" s="2" t="n">
        <x:v>2</x:v>
      </x:c>
      <x:c r="E528" s="2" t="n">
        <x:v>1</x:v>
      </x:c>
      <x:c r="F528" s="2" t="n">
        <x:v>3</x:v>
      </x:c>
      <x:c r="G528" s="2" t="str">
        <x:v>observed_post_release</x:v>
      </x:c>
      <x:c r="H528" s="2" t="n">
        <x:f>IF(AND(ISNUMBER(F528),F528&gt;=D528),1,0)</x:f>
        <x:v>1</x:v>
      </x:c>
      <x:c r="I528" s="2" t="n">
        <x:f>IF(AND(ISNUMBER(F528),F528&gt;D528),1,0)</x:f>
        <x:v>1</x:v>
      </x:c>
      <x:c r="J528" s="2" t="n">
        <x:f>IF(H528=1,F528-D528,"")</x:f>
        <x:v>1</x:v>
      </x:c>
      <x:c r="K528" s="2" t="n">
        <x:f>IF(H528=1,F528-E528,"")</x:f>
        <x:v>2</x:v>
      </x:c>
      <x:c r="L528" s="2" t="n">
        <x:v>9</x:v>
      </x:c>
      <x:c r="M528" s="2" t="n">
        <x:v>2</x:v>
      </x:c>
      <x:c r="N528" s="20" t="n">
        <x:v>0.4</x:v>
      </x:c>
      <x:c r="O528" s="20" t="n">
        <x:v>0.8</x:v>
      </x:c>
      <x:c r="P528" s="20" t="n">
        <x:v>0.25</x:v>
      </x:c>
      <x:c r="Q528" s="2" t="n">
        <x:v>32</x:v>
      </x:c>
      <x:c r="R528" s="2" t="str">
        <x:v>ENFJ</x:v>
      </x:c>
      <x:c r="S528" s="2" t="str">
        <x:v>华东</x:v>
      </x:c>
      <x:c r="T528" s="2" t="str">
        <x:v>商业服务岗位</x:v>
      </x:c>
    </x:row>
    <x:row r="529" ht="24" customHeight="1">
      <x:c r="A529" s="2" t="str">
        <x:v>D040_T02_C080_G025</x:v>
      </x:c>
      <x:c r="B529" s="2" t="str">
        <x:v>A0011</x:v>
      </x:c>
      <x:c r="C529" s="2" t="str">
        <x:v>inside</x:v>
      </x:c>
      <x:c r="D529" s="2" t="n">
        <x:v>2</x:v>
      </x:c>
      <x:c r="E529" s="2" t="n">
        <x:v>1</x:v>
      </x:c>
      <x:c r="F529" s="2" t="n">
        <x:v>5</x:v>
      </x:c>
      <x:c r="G529" s="2" t="str">
        <x:v>observed_post_release</x:v>
      </x:c>
      <x:c r="H529" s="2" t="n">
        <x:f>IF(AND(ISNUMBER(F529),F529&gt;=D529),1,0)</x:f>
        <x:v>1</x:v>
      </x:c>
      <x:c r="I529" s="2" t="n">
        <x:f>IF(AND(ISNUMBER(F529),F529&gt;D529),1,0)</x:f>
        <x:v>1</x:v>
      </x:c>
      <x:c r="J529" s="2" t="n">
        <x:f>IF(H529=1,F529-D529,"")</x:f>
        <x:v>3</x:v>
      </x:c>
      <x:c r="K529" s="2" t="n">
        <x:f>IF(H529=1,F529-E529,"")</x:f>
        <x:v>4</x:v>
      </x:c>
      <x:c r="L529" s="2" t="n">
        <x:v>9</x:v>
      </x:c>
      <x:c r="M529" s="2" t="n">
        <x:v>3</x:v>
      </x:c>
      <x:c r="N529" s="20" t="n">
        <x:v>0.4</x:v>
      </x:c>
      <x:c r="O529" s="20" t="n">
        <x:v>0.8</x:v>
      </x:c>
      <x:c r="P529" s="20" t="n">
        <x:v>0.25</x:v>
      </x:c>
      <x:c r="Q529" s="2" t="n">
        <x:v>42</x:v>
      </x:c>
      <x:c r="R529" s="2" t="str">
        <x:v>ENFJ</x:v>
      </x:c>
      <x:c r="S529" s="2" t="str">
        <x:v>西南</x:v>
      </x:c>
      <x:c r="T529" s="2" t="str">
        <x:v>行政或办公室岗位</x:v>
      </x:c>
    </x:row>
    <x:row r="530" ht="24" customHeight="1">
      <x:c r="A530" s="2" t="str">
        <x:v>D040_T02_C080_G025</x:v>
      </x:c>
      <x:c r="B530" s="2" t="str">
        <x:v>A0012</x:v>
      </x:c>
      <x:c r="C530" s="2" t="str">
        <x:v>inside</x:v>
      </x:c>
      <x:c r="D530" s="2" t="n">
        <x:v>2</x:v>
      </x:c>
      <x:c r="E530" s="2" t="n">
        <x:v>1</x:v>
      </x:c>
      <x:c r="F530" s="2"/>
      <x:c r="G530" s="2" t="str">
        <x:v>right_censored</x:v>
      </x:c>
      <x:c r="H530" s="2" t="n">
        <x:f>IF(AND(ISNUMBER(F530),F530&gt;=D530),1,0)</x:f>
        <x:v>0</x:v>
      </x:c>
      <x:c r="I530" s="2" t="n">
        <x:f>IF(AND(ISNUMBER(F530),F530&gt;D530),1,0)</x:f>
        <x:v>0</x:v>
      </x:c>
      <x:c r="J530" s="2" t="str">
        <x:f>IF(H530=1,F530-D530,"")</x:f>
      </x:c>
      <x:c r="K530" s="2" t="str">
        <x:f>IF(H530=1,F530-E530,"")</x:f>
      </x:c>
      <x:c r="L530" s="2" t="n">
        <x:v>9</x:v>
      </x:c>
      <x:c r="M530" s="2" t="n">
        <x:v>2</x:v>
      </x:c>
      <x:c r="N530" s="20" t="n">
        <x:v>0.4</x:v>
      </x:c>
      <x:c r="O530" s="20" t="n">
        <x:v>0.8</x:v>
      </x:c>
      <x:c r="P530" s="20" t="n">
        <x:v>0.25</x:v>
      </x:c>
      <x:c r="Q530" s="2" t="n">
        <x:v>38</x:v>
      </x:c>
      <x:c r="R530" s="2" t="str">
        <x:v>ESFP</x:v>
      </x:c>
      <x:c r="S530" s="2" t="str">
        <x:v>华中</x:v>
      </x:c>
      <x:c r="T530" s="2" t="str">
        <x:v>行政或办公室岗位</x:v>
      </x:c>
    </x:row>
    <x:row r="531" ht="24" customHeight="1">
      <x:c r="A531" s="2" t="str">
        <x:v>D040_T02_C080_G025</x:v>
      </x:c>
      <x:c r="B531" s="2" t="str">
        <x:v>A0014</x:v>
      </x:c>
      <x:c r="C531" s="2" t="str">
        <x:v>inside</x:v>
      </x:c>
      <x:c r="D531" s="2" t="n">
        <x:v>2</x:v>
      </x:c>
      <x:c r="E531" s="2" t="n">
        <x:v>1</x:v>
      </x:c>
      <x:c r="F531" s="2" t="n">
        <x:v>3</x:v>
      </x:c>
      <x:c r="G531" s="2" t="str">
        <x:v>observed_post_release</x:v>
      </x:c>
      <x:c r="H531" s="2" t="n">
        <x:f>IF(AND(ISNUMBER(F531),F531&gt;=D531),1,0)</x:f>
        <x:v>1</x:v>
      </x:c>
      <x:c r="I531" s="2" t="n">
        <x:f>IF(AND(ISNUMBER(F531),F531&gt;D531),1,0)</x:f>
        <x:v>1</x:v>
      </x:c>
      <x:c r="J531" s="2" t="n">
        <x:f>IF(H531=1,F531-D531,"")</x:f>
        <x:v>1</x:v>
      </x:c>
      <x:c r="K531" s="2" t="n">
        <x:f>IF(H531=1,F531-E531,"")</x:f>
        <x:v>2</x:v>
      </x:c>
      <x:c r="L531" s="2" t="n">
        <x:v>9</x:v>
      </x:c>
      <x:c r="M531" s="2" t="n">
        <x:v>2</x:v>
      </x:c>
      <x:c r="N531" s="20" t="n">
        <x:v>0.4</x:v>
      </x:c>
      <x:c r="O531" s="20" t="n">
        <x:v>0.8</x:v>
      </x:c>
      <x:c r="P531" s="20" t="n">
        <x:v>0.25</x:v>
      </x:c>
      <x:c r="Q531" s="2" t="n">
        <x:v>52</x:v>
      </x:c>
      <x:c r="R531" s="2" t="str">
        <x:v>INFJ</x:v>
      </x:c>
      <x:c r="S531" s="2" t="str">
        <x:v>华东</x:v>
      </x:c>
      <x:c r="T531" s="2" t="str">
        <x:v>生产运输或体力岗位</x:v>
      </x:c>
    </x:row>
    <x:row r="532" ht="24" customHeight="1">
      <x:c r="A532" s="2" t="str">
        <x:v>D040_T02_C080_G025</x:v>
      </x:c>
      <x:c r="B532" s="2" t="str">
        <x:v>A0015</x:v>
      </x:c>
      <x:c r="C532" s="2" t="str">
        <x:v>inside</x:v>
      </x:c>
      <x:c r="D532" s="2" t="n">
        <x:v>2</x:v>
      </x:c>
      <x:c r="E532" s="2" t="n">
        <x:v>1</x:v>
      </x:c>
      <x:c r="F532" s="2" t="n">
        <x:v>7</x:v>
      </x:c>
      <x:c r="G532" s="2" t="str">
        <x:v>observed_post_release</x:v>
      </x:c>
      <x:c r="H532" s="2" t="n">
        <x:f>IF(AND(ISNUMBER(F532),F532&gt;=D532),1,0)</x:f>
        <x:v>1</x:v>
      </x:c>
      <x:c r="I532" s="2" t="n">
        <x:f>IF(AND(ISNUMBER(F532),F532&gt;D532),1,0)</x:f>
        <x:v>1</x:v>
      </x:c>
      <x:c r="J532" s="2" t="n">
        <x:f>IF(H532=1,F532-D532,"")</x:f>
        <x:v>5</x:v>
      </x:c>
      <x:c r="K532" s="2" t="n">
        <x:f>IF(H532=1,F532-E532,"")</x:f>
        <x:v>6</x:v>
      </x:c>
      <x:c r="L532" s="2" t="n">
        <x:v>9</x:v>
      </x:c>
      <x:c r="M532" s="2" t="n">
        <x:v>2</x:v>
      </x:c>
      <x:c r="N532" s="20" t="n">
        <x:v>0.4</x:v>
      </x:c>
      <x:c r="O532" s="20" t="n">
        <x:v>0.8</x:v>
      </x:c>
      <x:c r="P532" s="20" t="n">
        <x:v>0.25</x:v>
      </x:c>
      <x:c r="Q532" s="2" t="n">
        <x:v>29</x:v>
      </x:c>
      <x:c r="R532" s="2" t="str">
        <x:v>ESFP</x:v>
      </x:c>
      <x:c r="S532" s="2" t="str">
        <x:v>华南</x:v>
      </x:c>
      <x:c r="T532" s="2" t="str">
        <x:v>行政或办公室岗位</x:v>
      </x:c>
    </x:row>
    <x:row r="533" ht="24" customHeight="1">
      <x:c r="A533" s="2" t="str">
        <x:v>D040_T02_C080_G025</x:v>
      </x:c>
      <x:c r="B533" s="2" t="str">
        <x:v>A0016</x:v>
      </x:c>
      <x:c r="C533" s="2" t="str">
        <x:v>inside</x:v>
      </x:c>
      <x:c r="D533" s="2" t="n">
        <x:v>2</x:v>
      </x:c>
      <x:c r="E533" s="2" t="n">
        <x:v>1</x:v>
      </x:c>
      <x:c r="F533" s="2" t="n">
        <x:v>2</x:v>
      </x:c>
      <x:c r="G533" s="2" t="str">
        <x:v>observed_post_release</x:v>
      </x:c>
      <x:c r="H533" s="2" t="n">
        <x:f>IF(AND(ISNUMBER(F533),F533&gt;=D533),1,0)</x:f>
        <x:v>1</x:v>
      </x:c>
      <x:c r="I533" s="2" t="n">
        <x:f>IF(AND(ISNUMBER(F533),F533&gt;D533),1,0)</x:f>
        <x:v>0</x:v>
      </x:c>
      <x:c r="J533" s="2" t="n">
        <x:f>IF(H533=1,F533-D533,"")</x:f>
        <x:v>0</x:v>
      </x:c>
      <x:c r="K533" s="2" t="n">
        <x:f>IF(H533=1,F533-E533,"")</x:f>
        <x:v>1</x:v>
      </x:c>
      <x:c r="L533" s="2" t="n">
        <x:v>9</x:v>
      </x:c>
      <x:c r="M533" s="2" t="n">
        <x:v>2</x:v>
      </x:c>
      <x:c r="N533" s="20" t="n">
        <x:v>0.4</x:v>
      </x:c>
      <x:c r="O533" s="20" t="n">
        <x:v>0.8</x:v>
      </x:c>
      <x:c r="P533" s="20" t="n">
        <x:v>0.25</x:v>
      </x:c>
      <x:c r="Q533" s="2" t="n">
        <x:v>60</x:v>
      </x:c>
      <x:c r="R533" s="2" t="str">
        <x:v>ESFJ</x:v>
      </x:c>
      <x:c r="S533" s="2" t="str">
        <x:v>华北</x:v>
      </x:c>
      <x:c r="T533" s="2" t="str">
        <x:v>个体经营或自由职业</x:v>
      </x:c>
    </x:row>
    <x:row r="534" ht="24" customHeight="1">
      <x:c r="A534" s="2" t="str">
        <x:v>D040_T02_C080_G025</x:v>
      </x:c>
      <x:c r="B534" s="2" t="str">
        <x:v>A0017</x:v>
      </x:c>
      <x:c r="C534" s="2" t="str">
        <x:v>inside</x:v>
      </x:c>
      <x:c r="D534" s="2" t="n">
        <x:v>2</x:v>
      </x:c>
      <x:c r="E534" s="2" t="n">
        <x:v>1</x:v>
      </x:c>
      <x:c r="F534" s="2"/>
      <x:c r="G534" s="2" t="str">
        <x:v>right_censored</x:v>
      </x:c>
      <x:c r="H534" s="2" t="n">
        <x:f>IF(AND(ISNUMBER(F534),F534&gt;=D534),1,0)</x:f>
        <x:v>0</x:v>
      </x:c>
      <x:c r="I534" s="2" t="n">
        <x:f>IF(AND(ISNUMBER(F534),F534&gt;D534),1,0)</x:f>
        <x:v>0</x:v>
      </x:c>
      <x:c r="J534" s="2" t="str">
        <x:f>IF(H534=1,F534-D534,"")</x:f>
      </x:c>
      <x:c r="K534" s="2" t="str">
        <x:f>IF(H534=1,F534-E534,"")</x:f>
      </x:c>
      <x:c r="L534" s="2" t="n">
        <x:v>9</x:v>
      </x:c>
      <x:c r="M534" s="2" t="n">
        <x:v>3</x:v>
      </x:c>
      <x:c r="N534" s="20" t="n">
        <x:v>0.4</x:v>
      </x:c>
      <x:c r="O534" s="20" t="n">
        <x:v>0.8</x:v>
      </x:c>
      <x:c r="P534" s="20" t="n">
        <x:v>0.25</x:v>
      </x:c>
      <x:c r="Q534" s="2" t="n">
        <x:v>30</x:v>
      </x:c>
      <x:c r="R534" s="2" t="str">
        <x:v>ISTJ</x:v>
      </x:c>
      <x:c r="S534" s="2" t="str">
        <x:v>华东</x:v>
      </x:c>
      <x:c r="T534" s="2" t="str">
        <x:v>商业服务岗位</x:v>
      </x:c>
    </x:row>
    <x:row r="535" ht="24" customHeight="1">
      <x:c r="A535" s="2" t="str">
        <x:v>D040_T02_C080_G025</x:v>
      </x:c>
      <x:c r="B535" s="2" t="str">
        <x:v>A0018</x:v>
      </x:c>
      <x:c r="C535" s="2" t="str">
        <x:v>inside</x:v>
      </x:c>
      <x:c r="D535" s="2" t="n">
        <x:v>2</x:v>
      </x:c>
      <x:c r="E535" s="2" t="n">
        <x:v>1</x:v>
      </x:c>
      <x:c r="F535" s="2" t="n">
        <x:v>8</x:v>
      </x:c>
      <x:c r="G535" s="2" t="str">
        <x:v>observed_post_release</x:v>
      </x:c>
      <x:c r="H535" s="2" t="n">
        <x:f>IF(AND(ISNUMBER(F535),F535&gt;=D535),1,0)</x:f>
        <x:v>1</x:v>
      </x:c>
      <x:c r="I535" s="2" t="n">
        <x:f>IF(AND(ISNUMBER(F535),F535&gt;D535),1,0)</x:f>
        <x:v>1</x:v>
      </x:c>
      <x:c r="J535" s="2" t="n">
        <x:f>IF(H535=1,F535-D535,"")</x:f>
        <x:v>6</x:v>
      </x:c>
      <x:c r="K535" s="2" t="n">
        <x:f>IF(H535=1,F535-E535,"")</x:f>
        <x:v>7</x:v>
      </x:c>
      <x:c r="L535" s="2" t="n">
        <x:v>9</x:v>
      </x:c>
      <x:c r="M535" s="2" t="n">
        <x:v>2</x:v>
      </x:c>
      <x:c r="N535" s="20" t="n">
        <x:v>0.4</x:v>
      </x:c>
      <x:c r="O535" s="20" t="n">
        <x:v>0.8</x:v>
      </x:c>
      <x:c r="P535" s="20" t="n">
        <x:v>0.25</x:v>
      </x:c>
      <x:c r="Q535" s="2" t="n">
        <x:v>60</x:v>
      </x:c>
      <x:c r="R535" s="2" t="str">
        <x:v>INTJ</x:v>
      </x:c>
      <x:c r="S535" s="2" t="str">
        <x:v>华南</x:v>
      </x:c>
      <x:c r="T535" s="2" t="str">
        <x:v>专业技术岗位</x:v>
      </x:c>
    </x:row>
    <x:row r="536" ht="24" customHeight="1">
      <x:c r="A536" s="2" t="str">
        <x:v>D040_T02_C080_G025</x:v>
      </x:c>
      <x:c r="B536" s="2" t="str">
        <x:v>A0019</x:v>
      </x:c>
      <x:c r="C536" s="2" t="str">
        <x:v>inside</x:v>
      </x:c>
      <x:c r="D536" s="2" t="n">
        <x:v>2</x:v>
      </x:c>
      <x:c r="E536" s="2" t="n">
        <x:v>1</x:v>
      </x:c>
      <x:c r="F536" s="2" t="n">
        <x:v>3</x:v>
      </x:c>
      <x:c r="G536" s="2" t="str">
        <x:v>observed_post_release</x:v>
      </x:c>
      <x:c r="H536" s="2" t="n">
        <x:f>IF(AND(ISNUMBER(F536),F536&gt;=D536),1,0)</x:f>
        <x:v>1</x:v>
      </x:c>
      <x:c r="I536" s="2" t="n">
        <x:f>IF(AND(ISNUMBER(F536),F536&gt;D536),1,0)</x:f>
        <x:v>1</x:v>
      </x:c>
      <x:c r="J536" s="2" t="n">
        <x:f>IF(H536=1,F536-D536,"")</x:f>
        <x:v>1</x:v>
      </x:c>
      <x:c r="K536" s="2" t="n">
        <x:f>IF(H536=1,F536-E536,"")</x:f>
        <x:v>2</x:v>
      </x:c>
      <x:c r="L536" s="2" t="n">
        <x:v>9</x:v>
      </x:c>
      <x:c r="M536" s="2" t="n">
        <x:v>2</x:v>
      </x:c>
      <x:c r="N536" s="20" t="n">
        <x:v>0.4</x:v>
      </x:c>
      <x:c r="O536" s="20" t="n">
        <x:v>0.8</x:v>
      </x:c>
      <x:c r="P536" s="20" t="n">
        <x:v>0.25</x:v>
      </x:c>
      <x:c r="Q536" s="2" t="n">
        <x:v>19</x:v>
      </x:c>
      <x:c r="R536" s="2" t="str">
        <x:v>INTJ</x:v>
      </x:c>
      <x:c r="S536" s="2" t="str">
        <x:v>西南</x:v>
      </x:c>
      <x:c r="T536" s="2" t="str">
        <x:v>行政或办公室岗位</x:v>
      </x:c>
    </x:row>
    <x:row r="537" ht="24" customHeight="1">
      <x:c r="A537" s="2" t="str">
        <x:v>D040_T02_C080_G025</x:v>
      </x:c>
      <x:c r="B537" s="2" t="str">
        <x:v>A0020</x:v>
      </x:c>
      <x:c r="C537" s="2" t="str">
        <x:v>inside</x:v>
      </x:c>
      <x:c r="D537" s="2" t="n">
        <x:v>2</x:v>
      </x:c>
      <x:c r="E537" s="2" t="n">
        <x:v>1</x:v>
      </x:c>
      <x:c r="F537" s="2" t="n">
        <x:v>9</x:v>
      </x:c>
      <x:c r="G537" s="2" t="str">
        <x:v>observed_post_release</x:v>
      </x:c>
      <x:c r="H537" s="2" t="n">
        <x:f>IF(AND(ISNUMBER(F537),F537&gt;=D537),1,0)</x:f>
        <x:v>1</x:v>
      </x:c>
      <x:c r="I537" s="2" t="n">
        <x:f>IF(AND(ISNUMBER(F537),F537&gt;D537),1,0)</x:f>
        <x:v>1</x:v>
      </x:c>
      <x:c r="J537" s="2" t="n">
        <x:f>IF(H537=1,F537-D537,"")</x:f>
        <x:v>7</x:v>
      </x:c>
      <x:c r="K537" s="2" t="n">
        <x:f>IF(H537=1,F537-E537,"")</x:f>
        <x:v>8</x:v>
      </x:c>
      <x:c r="L537" s="2" t="n">
        <x:v>9</x:v>
      </x:c>
      <x:c r="M537" s="2" t="n">
        <x:v>2</x:v>
      </x:c>
      <x:c r="N537" s="20" t="n">
        <x:v>0.4</x:v>
      </x:c>
      <x:c r="O537" s="20" t="n">
        <x:v>0.8</x:v>
      </x:c>
      <x:c r="P537" s="20" t="n">
        <x:v>0.25</x:v>
      </x:c>
      <x:c r="Q537" s="2" t="n">
        <x:v>42</x:v>
      </x:c>
      <x:c r="R537" s="2" t="str">
        <x:v>ENTJ</x:v>
      </x:c>
      <x:c r="S537" s="2" t="str">
        <x:v>西南</x:v>
      </x:c>
      <x:c r="T537" s="2" t="str">
        <x:v>行政或办公室岗位</x:v>
      </x:c>
    </x:row>
    <x:row r="538" ht="24" customHeight="1">
      <x:c r="A538" s="2" t="str">
        <x:v>D040_T02_C080_G025</x:v>
      </x:c>
      <x:c r="B538" s="2" t="str">
        <x:v>A0023</x:v>
      </x:c>
      <x:c r="C538" s="2" t="str">
        <x:v>inside</x:v>
      </x:c>
      <x:c r="D538" s="2" t="n">
        <x:v>2</x:v>
      </x:c>
      <x:c r="E538" s="2" t="n">
        <x:v>1</x:v>
      </x:c>
      <x:c r="F538" s="2" t="n">
        <x:v>3</x:v>
      </x:c>
      <x:c r="G538" s="2" t="str">
        <x:v>observed_post_release</x:v>
      </x:c>
      <x:c r="H538" s="2" t="n">
        <x:f>IF(AND(ISNUMBER(F538),F538&gt;=D538),1,0)</x:f>
        <x:v>1</x:v>
      </x:c>
      <x:c r="I538" s="2" t="n">
        <x:f>IF(AND(ISNUMBER(F538),F538&gt;D538),1,0)</x:f>
        <x:v>1</x:v>
      </x:c>
      <x:c r="J538" s="2" t="n">
        <x:f>IF(H538=1,F538-D538,"")</x:f>
        <x:v>1</x:v>
      </x:c>
      <x:c r="K538" s="2" t="n">
        <x:f>IF(H538=1,F538-E538,"")</x:f>
        <x:v>2</x:v>
      </x:c>
      <x:c r="L538" s="2" t="n">
        <x:v>9</x:v>
      </x:c>
      <x:c r="M538" s="2" t="n">
        <x:v>2</x:v>
      </x:c>
      <x:c r="N538" s="20" t="n">
        <x:v>0.4</x:v>
      </x:c>
      <x:c r="O538" s="20" t="n">
        <x:v>0.8</x:v>
      </x:c>
      <x:c r="P538" s="20" t="n">
        <x:v>0.25</x:v>
      </x:c>
      <x:c r="Q538" s="2" t="n">
        <x:v>56</x:v>
      </x:c>
      <x:c r="R538" s="2" t="str">
        <x:v>INFP</x:v>
      </x:c>
      <x:c r="S538" s="2" t="str">
        <x:v>东北</x:v>
      </x:c>
      <x:c r="T538" s="2" t="str">
        <x:v>行政或办公室岗位</x:v>
      </x:c>
    </x:row>
    <x:row r="539" ht="24" customHeight="1">
      <x:c r="A539" s="2" t="str">
        <x:v>D040_T02_C080_G025</x:v>
      </x:c>
      <x:c r="B539" s="2" t="str">
        <x:v>A0024</x:v>
      </x:c>
      <x:c r="C539" s="2" t="str">
        <x:v>inside</x:v>
      </x:c>
      <x:c r="D539" s="2" t="n">
        <x:v>2</x:v>
      </x:c>
      <x:c r="E539" s="2" t="n">
        <x:v>1</x:v>
      </x:c>
      <x:c r="F539" s="2" t="n">
        <x:v>8</x:v>
      </x:c>
      <x:c r="G539" s="2" t="str">
        <x:v>observed_post_release</x:v>
      </x:c>
      <x:c r="H539" s="2" t="n">
        <x:f>IF(AND(ISNUMBER(F539),F539&gt;=D539),1,0)</x:f>
        <x:v>1</x:v>
      </x:c>
      <x:c r="I539" s="2" t="n">
        <x:f>IF(AND(ISNUMBER(F539),F539&gt;D539),1,0)</x:f>
        <x:v>1</x:v>
      </x:c>
      <x:c r="J539" s="2" t="n">
        <x:f>IF(H539=1,F539-D539,"")</x:f>
        <x:v>6</x:v>
      </x:c>
      <x:c r="K539" s="2" t="n">
        <x:f>IF(H539=1,F539-E539,"")</x:f>
        <x:v>7</x:v>
      </x:c>
      <x:c r="L539" s="2" t="n">
        <x:v>9</x:v>
      </x:c>
      <x:c r="M539" s="2" t="n">
        <x:v>2</x:v>
      </x:c>
      <x:c r="N539" s="20" t="n">
        <x:v>0.4</x:v>
      </x:c>
      <x:c r="O539" s="20" t="n">
        <x:v>0.8</x:v>
      </x:c>
      <x:c r="P539" s="20" t="n">
        <x:v>0.25</x:v>
      </x:c>
      <x:c r="Q539" s="2" t="n">
        <x:v>31</x:v>
      </x:c>
      <x:c r="R539" s="2" t="str">
        <x:v>ESTP</x:v>
      </x:c>
      <x:c r="S539" s="2" t="str">
        <x:v>华北</x:v>
      </x:c>
      <x:c r="T539" s="2" t="str">
        <x:v>商业服务岗位</x:v>
      </x:c>
    </x:row>
    <x:row r="540" ht="24" customHeight="1">
      <x:c r="A540" s="2" t="str">
        <x:v>D040_T02_C080_G025</x:v>
      </x:c>
      <x:c r="B540" s="2" t="str">
        <x:v>A0025</x:v>
      </x:c>
      <x:c r="C540" s="2" t="str">
        <x:v>inside</x:v>
      </x:c>
      <x:c r="D540" s="2" t="n">
        <x:v>2</x:v>
      </x:c>
      <x:c r="E540" s="2" t="n">
        <x:v>1</x:v>
      </x:c>
      <x:c r="F540" s="2" t="n">
        <x:v>5</x:v>
      </x:c>
      <x:c r="G540" s="2" t="str">
        <x:v>observed_post_release</x:v>
      </x:c>
      <x:c r="H540" s="2" t="n">
        <x:f>IF(AND(ISNUMBER(F540),F540&gt;=D540),1,0)</x:f>
        <x:v>1</x:v>
      </x:c>
      <x:c r="I540" s="2" t="n">
        <x:f>IF(AND(ISNUMBER(F540),F540&gt;D540),1,0)</x:f>
        <x:v>1</x:v>
      </x:c>
      <x:c r="J540" s="2" t="n">
        <x:f>IF(H540=1,F540-D540,"")</x:f>
        <x:v>3</x:v>
      </x:c>
      <x:c r="K540" s="2" t="n">
        <x:f>IF(H540=1,F540-E540,"")</x:f>
        <x:v>4</x:v>
      </x:c>
      <x:c r="L540" s="2" t="n">
        <x:v>9</x:v>
      </x:c>
      <x:c r="M540" s="2" t="n">
        <x:v>2</x:v>
      </x:c>
      <x:c r="N540" s="20" t="n">
        <x:v>0.4</x:v>
      </x:c>
      <x:c r="O540" s="20" t="n">
        <x:v>0.8</x:v>
      </x:c>
      <x:c r="P540" s="20" t="n">
        <x:v>0.25</x:v>
      </x:c>
      <x:c r="Q540" s="2" t="n">
        <x:v>23</x:v>
      </x:c>
      <x:c r="R540" s="2" t="str">
        <x:v>ISTP</x:v>
      </x:c>
      <x:c r="S540" s="2" t="str">
        <x:v>华南</x:v>
      </x:c>
      <x:c r="T540" s="2" t="str">
        <x:v>行政或办公室岗位</x:v>
      </x:c>
    </x:row>
    <x:row r="541" ht="24" customHeight="1">
      <x:c r="A541" s="2" t="str">
        <x:v>D040_T02_C080_G025</x:v>
      </x:c>
      <x:c r="B541" s="2" t="str">
        <x:v>A0027</x:v>
      </x:c>
      <x:c r="C541" s="2" t="str">
        <x:v>inside</x:v>
      </x:c>
      <x:c r="D541" s="2" t="n">
        <x:v>2</x:v>
      </x:c>
      <x:c r="E541" s="2" t="n">
        <x:v>1</x:v>
      </x:c>
      <x:c r="F541" s="2" t="n">
        <x:v>10</x:v>
      </x:c>
      <x:c r="G541" s="2" t="str">
        <x:v>observed_post_release</x:v>
      </x:c>
      <x:c r="H541" s="2" t="n">
        <x:f>IF(AND(ISNUMBER(F541),F541&gt;=D541),1,0)</x:f>
        <x:v>1</x:v>
      </x:c>
      <x:c r="I541" s="2" t="n">
        <x:f>IF(AND(ISNUMBER(F541),F541&gt;D541),1,0)</x:f>
        <x:v>1</x:v>
      </x:c>
      <x:c r="J541" s="2" t="n">
        <x:f>IF(H541=1,F541-D541,"")</x:f>
        <x:v>8</x:v>
      </x:c>
      <x:c r="K541" s="2" t="n">
        <x:f>IF(H541=1,F541-E541,"")</x:f>
        <x:v>9</x:v>
      </x:c>
      <x:c r="L541" s="2" t="n">
        <x:v>9</x:v>
      </x:c>
      <x:c r="M541" s="2" t="n">
        <x:v>2</x:v>
      </x:c>
      <x:c r="N541" s="20" t="n">
        <x:v>0.4</x:v>
      </x:c>
      <x:c r="O541" s="20" t="n">
        <x:v>0.8</x:v>
      </x:c>
      <x:c r="P541" s="20" t="n">
        <x:v>0.25</x:v>
      </x:c>
      <x:c r="Q541" s="2" t="n">
        <x:v>25</x:v>
      </x:c>
      <x:c r="R541" s="2" t="str">
        <x:v>ESFP</x:v>
      </x:c>
      <x:c r="S541" s="2" t="str">
        <x:v>西北</x:v>
      </x:c>
      <x:c r="T541" s="2" t="str">
        <x:v>暂未就业或家庭照料</x:v>
      </x:c>
    </x:row>
    <x:row r="542" ht="24" customHeight="1">
      <x:c r="A542" s="2" t="str">
        <x:v>D040_T02_C080_G025</x:v>
      </x:c>
      <x:c r="B542" s="2" t="str">
        <x:v>A0030</x:v>
      </x:c>
      <x:c r="C542" s="2" t="str">
        <x:v>inside</x:v>
      </x:c>
      <x:c r="D542" s="2" t="n">
        <x:v>2</x:v>
      </x:c>
      <x:c r="E542" s="2" t="n">
        <x:v>1</x:v>
      </x:c>
      <x:c r="F542" s="2" t="n">
        <x:v>8</x:v>
      </x:c>
      <x:c r="G542" s="2" t="str">
        <x:v>observed_post_release</x:v>
      </x:c>
      <x:c r="H542" s="2" t="n">
        <x:f>IF(AND(ISNUMBER(F542),F542&gt;=D542),1,0)</x:f>
        <x:v>1</x:v>
      </x:c>
      <x:c r="I542" s="2" t="n">
        <x:f>IF(AND(ISNUMBER(F542),F542&gt;D542),1,0)</x:f>
        <x:v>1</x:v>
      </x:c>
      <x:c r="J542" s="2" t="n">
        <x:f>IF(H542=1,F542-D542,"")</x:f>
        <x:v>6</x:v>
      </x:c>
      <x:c r="K542" s="2" t="n">
        <x:f>IF(H542=1,F542-E542,"")</x:f>
        <x:v>7</x:v>
      </x:c>
      <x:c r="L542" s="2" t="n">
        <x:v>9</x:v>
      </x:c>
      <x:c r="M542" s="2" t="n">
        <x:v>2</x:v>
      </x:c>
      <x:c r="N542" s="20" t="n">
        <x:v>0.4</x:v>
      </x:c>
      <x:c r="O542" s="20" t="n">
        <x:v>0.8</x:v>
      </x:c>
      <x:c r="P542" s="20" t="n">
        <x:v>0.25</x:v>
      </x:c>
      <x:c r="Q542" s="2" t="n">
        <x:v>23</x:v>
      </x:c>
      <x:c r="R542" s="2" t="str">
        <x:v>ISFP</x:v>
      </x:c>
      <x:c r="S542" s="2" t="str">
        <x:v>华东</x:v>
      </x:c>
      <x:c r="T542" s="2" t="str">
        <x:v>在校学生</x:v>
      </x:c>
    </x:row>
    <x:row r="543" ht="24" customHeight="1">
      <x:c r="A543" s="2" t="str">
        <x:v>D040_T02_C080_G025</x:v>
      </x:c>
      <x:c r="B543" s="2" t="str">
        <x:v>A0032</x:v>
      </x:c>
      <x:c r="C543" s="2" t="str">
        <x:v>inside</x:v>
      </x:c>
      <x:c r="D543" s="2" t="n">
        <x:v>2</x:v>
      </x:c>
      <x:c r="E543" s="2" t="n">
        <x:v>1</x:v>
      </x:c>
      <x:c r="F543" s="2"/>
      <x:c r="G543" s="2" t="str">
        <x:v>right_censored</x:v>
      </x:c>
      <x:c r="H543" s="2" t="n">
        <x:f>IF(AND(ISNUMBER(F543),F543&gt;=D543),1,0)</x:f>
        <x:v>0</x:v>
      </x:c>
      <x:c r="I543" s="2" t="n">
        <x:f>IF(AND(ISNUMBER(F543),F543&gt;D543),1,0)</x:f>
        <x:v>0</x:v>
      </x:c>
      <x:c r="J543" s="2" t="str">
        <x:f>IF(H543=1,F543-D543,"")</x:f>
      </x:c>
      <x:c r="K543" s="2" t="str">
        <x:f>IF(H543=1,F543-E543,"")</x:f>
      </x:c>
      <x:c r="L543" s="2" t="n">
        <x:v>9</x:v>
      </x:c>
      <x:c r="M543" s="2" t="n">
        <x:v>2</x:v>
      </x:c>
      <x:c r="N543" s="20" t="n">
        <x:v>0.4</x:v>
      </x:c>
      <x:c r="O543" s="20" t="n">
        <x:v>0.8</x:v>
      </x:c>
      <x:c r="P543" s="20" t="n">
        <x:v>0.25</x:v>
      </x:c>
      <x:c r="Q543" s="2" t="n">
        <x:v>53</x:v>
      </x:c>
      <x:c r="R543" s="2" t="str">
        <x:v>INTP</x:v>
      </x:c>
      <x:c r="S543" s="2" t="str">
        <x:v>华北</x:v>
      </x:c>
      <x:c r="T543" s="2" t="str">
        <x:v>个体经营或自由职业</x:v>
      </x:c>
    </x:row>
    <x:row r="544" ht="24" customHeight="1">
      <x:c r="A544" s="2" t="str">
        <x:v>D040_T02_C080_G025</x:v>
      </x:c>
      <x:c r="B544" s="2" t="str">
        <x:v>A0033</x:v>
      </x:c>
      <x:c r="C544" s="2" t="str">
        <x:v>inside</x:v>
      </x:c>
      <x:c r="D544" s="2" t="n">
        <x:v>2</x:v>
      </x:c>
      <x:c r="E544" s="2" t="n">
        <x:v>1</x:v>
      </x:c>
      <x:c r="F544" s="2" t="n">
        <x:v>2</x:v>
      </x:c>
      <x:c r="G544" s="2" t="str">
        <x:v>observed_post_release</x:v>
      </x:c>
      <x:c r="H544" s="2" t="n">
        <x:f>IF(AND(ISNUMBER(F544),F544&gt;=D544),1,0)</x:f>
        <x:v>1</x:v>
      </x:c>
      <x:c r="I544" s="2" t="n">
        <x:f>IF(AND(ISNUMBER(F544),F544&gt;D544),1,0)</x:f>
        <x:v>0</x:v>
      </x:c>
      <x:c r="J544" s="2" t="n">
        <x:f>IF(H544=1,F544-D544,"")</x:f>
        <x:v>0</x:v>
      </x:c>
      <x:c r="K544" s="2" t="n">
        <x:f>IF(H544=1,F544-E544,"")</x:f>
        <x:v>1</x:v>
      </x:c>
      <x:c r="L544" s="2" t="n">
        <x:v>9</x:v>
      </x:c>
      <x:c r="M544" s="2" t="n">
        <x:v>2</x:v>
      </x:c>
      <x:c r="N544" s="20" t="n">
        <x:v>0.4</x:v>
      </x:c>
      <x:c r="O544" s="20" t="n">
        <x:v>0.8</x:v>
      </x:c>
      <x:c r="P544" s="20" t="n">
        <x:v>0.25</x:v>
      </x:c>
      <x:c r="Q544" s="2" t="n">
        <x:v>55</x:v>
      </x:c>
      <x:c r="R544" s="2" t="str">
        <x:v>ENFP</x:v>
      </x:c>
      <x:c r="S544" s="2" t="str">
        <x:v>华南</x:v>
      </x:c>
      <x:c r="T544" s="2" t="str">
        <x:v>个体经营或自由职业</x:v>
      </x:c>
    </x:row>
    <x:row r="545" ht="24" customHeight="1">
      <x:c r="A545" s="2" t="str">
        <x:v>D040_T02_C080_G025</x:v>
      </x:c>
      <x:c r="B545" s="2" t="str">
        <x:v>A0034</x:v>
      </x:c>
      <x:c r="C545" s="2" t="str">
        <x:v>inside</x:v>
      </x:c>
      <x:c r="D545" s="2" t="n">
        <x:v>2</x:v>
      </x:c>
      <x:c r="E545" s="2" t="n">
        <x:v>1</x:v>
      </x:c>
      <x:c r="F545" s="2" t="n">
        <x:v>2</x:v>
      </x:c>
      <x:c r="G545" s="2" t="str">
        <x:v>observed_post_release</x:v>
      </x:c>
      <x:c r="H545" s="2" t="n">
        <x:f>IF(AND(ISNUMBER(F545),F545&gt;=D545),1,0)</x:f>
        <x:v>1</x:v>
      </x:c>
      <x:c r="I545" s="2" t="n">
        <x:f>IF(AND(ISNUMBER(F545),F545&gt;D545),1,0)</x:f>
        <x:v>0</x:v>
      </x:c>
      <x:c r="J545" s="2" t="n">
        <x:f>IF(H545=1,F545-D545,"")</x:f>
        <x:v>0</x:v>
      </x:c>
      <x:c r="K545" s="2" t="n">
        <x:f>IF(H545=1,F545-E545,"")</x:f>
        <x:v>1</x:v>
      </x:c>
      <x:c r="L545" s="2" t="n">
        <x:v>9</x:v>
      </x:c>
      <x:c r="M545" s="2" t="n">
        <x:v>2</x:v>
      </x:c>
      <x:c r="N545" s="20" t="n">
        <x:v>0.4</x:v>
      </x:c>
      <x:c r="O545" s="20" t="n">
        <x:v>0.8</x:v>
      </x:c>
      <x:c r="P545" s="20" t="n">
        <x:v>0.25</x:v>
      </x:c>
      <x:c r="Q545" s="2" t="n">
        <x:v>36</x:v>
      </x:c>
      <x:c r="R545" s="2" t="str">
        <x:v>INTP</x:v>
      </x:c>
      <x:c r="S545" s="2" t="str">
        <x:v>华南</x:v>
      </x:c>
      <x:c r="T545" s="2" t="str">
        <x:v>专业技术岗位</x:v>
      </x:c>
    </x:row>
    <x:row r="546" ht="24" customHeight="1">
      <x:c r="A546" s="2" t="str">
        <x:v>D040_T02_C080_G025</x:v>
      </x:c>
      <x:c r="B546" s="2" t="str">
        <x:v>A0035</x:v>
      </x:c>
      <x:c r="C546" s="2" t="str">
        <x:v>inside</x:v>
      </x:c>
      <x:c r="D546" s="2" t="n">
        <x:v>2</x:v>
      </x:c>
      <x:c r="E546" s="2" t="n">
        <x:v>1</x:v>
      </x:c>
      <x:c r="F546" s="2" t="n">
        <x:v>8</x:v>
      </x:c>
      <x:c r="G546" s="2" t="str">
        <x:v>observed_post_release</x:v>
      </x:c>
      <x:c r="H546" s="2" t="n">
        <x:f>IF(AND(ISNUMBER(F546),F546&gt;=D546),1,0)</x:f>
        <x:v>1</x:v>
      </x:c>
      <x:c r="I546" s="2" t="n">
        <x:f>IF(AND(ISNUMBER(F546),F546&gt;D546),1,0)</x:f>
        <x:v>1</x:v>
      </x:c>
      <x:c r="J546" s="2" t="n">
        <x:f>IF(H546=1,F546-D546,"")</x:f>
        <x:v>6</x:v>
      </x:c>
      <x:c r="K546" s="2" t="n">
        <x:f>IF(H546=1,F546-E546,"")</x:f>
        <x:v>7</x:v>
      </x:c>
      <x:c r="L546" s="2" t="n">
        <x:v>9</x:v>
      </x:c>
      <x:c r="M546" s="2" t="n">
        <x:v>2</x:v>
      </x:c>
      <x:c r="N546" s="20" t="n">
        <x:v>0.4</x:v>
      </x:c>
      <x:c r="O546" s="20" t="n">
        <x:v>0.8</x:v>
      </x:c>
      <x:c r="P546" s="20" t="n">
        <x:v>0.25</x:v>
      </x:c>
      <x:c r="Q546" s="2" t="n">
        <x:v>42</x:v>
      </x:c>
      <x:c r="R546" s="2" t="str">
        <x:v>ISFJ</x:v>
      </x:c>
      <x:c r="S546" s="2" t="str">
        <x:v>华南</x:v>
      </x:c>
      <x:c r="T546" s="2" t="str">
        <x:v>专业技术岗位</x:v>
      </x:c>
    </x:row>
    <x:row r="547" ht="24" customHeight="1">
      <x:c r="A547" s="2" t="str">
        <x:v>D040_T02_C080_G025</x:v>
      </x:c>
      <x:c r="B547" s="2" t="str">
        <x:v>A0036</x:v>
      </x:c>
      <x:c r="C547" s="2" t="str">
        <x:v>inside</x:v>
      </x:c>
      <x:c r="D547" s="2" t="n">
        <x:v>2</x:v>
      </x:c>
      <x:c r="E547" s="2" t="n">
        <x:v>1</x:v>
      </x:c>
      <x:c r="F547" s="2" t="n">
        <x:v>9</x:v>
      </x:c>
      <x:c r="G547" s="2" t="str">
        <x:v>observed_post_release</x:v>
      </x:c>
      <x:c r="H547" s="2" t="n">
        <x:f>IF(AND(ISNUMBER(F547),F547&gt;=D547),1,0)</x:f>
        <x:v>1</x:v>
      </x:c>
      <x:c r="I547" s="2" t="n">
        <x:f>IF(AND(ISNUMBER(F547),F547&gt;D547),1,0)</x:f>
        <x:v>1</x:v>
      </x:c>
      <x:c r="J547" s="2" t="n">
        <x:f>IF(H547=1,F547-D547,"")</x:f>
        <x:v>7</x:v>
      </x:c>
      <x:c r="K547" s="2" t="n">
        <x:f>IF(H547=1,F547-E547,"")</x:f>
        <x:v>8</x:v>
      </x:c>
      <x:c r="L547" s="2" t="n">
        <x:v>9</x:v>
      </x:c>
      <x:c r="M547" s="2" t="n">
        <x:v>2</x:v>
      </x:c>
      <x:c r="N547" s="20" t="n">
        <x:v>0.4</x:v>
      </x:c>
      <x:c r="O547" s="20" t="n">
        <x:v>0.8</x:v>
      </x:c>
      <x:c r="P547" s="20" t="n">
        <x:v>0.25</x:v>
      </x:c>
      <x:c r="Q547" s="2" t="n">
        <x:v>43</x:v>
      </x:c>
      <x:c r="R547" s="2" t="str">
        <x:v>ISFJ</x:v>
      </x:c>
      <x:c r="S547" s="2" t="str">
        <x:v>华东</x:v>
      </x:c>
      <x:c r="T547" s="2" t="str">
        <x:v>生产运输或体力岗位</x:v>
      </x:c>
    </x:row>
    <x:row r="548" ht="24" customHeight="1">
      <x:c r="A548" s="2" t="str">
        <x:v>D040_T02_C080_G025</x:v>
      </x:c>
      <x:c r="B548" s="2" t="str">
        <x:v>A0037</x:v>
      </x:c>
      <x:c r="C548" s="2" t="str">
        <x:v>inside</x:v>
      </x:c>
      <x:c r="D548" s="2" t="n">
        <x:v>2</x:v>
      </x:c>
      <x:c r="E548" s="2" t="n">
        <x:v>1</x:v>
      </x:c>
      <x:c r="F548" s="2" t="n">
        <x:v>3</x:v>
      </x:c>
      <x:c r="G548" s="2" t="str">
        <x:v>observed_post_release</x:v>
      </x:c>
      <x:c r="H548" s="2" t="n">
        <x:f>IF(AND(ISNUMBER(F548),F548&gt;=D548),1,0)</x:f>
        <x:v>1</x:v>
      </x:c>
      <x:c r="I548" s="2" t="n">
        <x:f>IF(AND(ISNUMBER(F548),F548&gt;D548),1,0)</x:f>
        <x:v>1</x:v>
      </x:c>
      <x:c r="J548" s="2" t="n">
        <x:f>IF(H548=1,F548-D548,"")</x:f>
        <x:v>1</x:v>
      </x:c>
      <x:c r="K548" s="2" t="n">
        <x:f>IF(H548=1,F548-E548,"")</x:f>
        <x:v>2</x:v>
      </x:c>
      <x:c r="L548" s="2" t="n">
        <x:v>9</x:v>
      </x:c>
      <x:c r="M548" s="2" t="n">
        <x:v>2</x:v>
      </x:c>
      <x:c r="N548" s="20" t="n">
        <x:v>0.4</x:v>
      </x:c>
      <x:c r="O548" s="20" t="n">
        <x:v>0.8</x:v>
      </x:c>
      <x:c r="P548" s="20" t="n">
        <x:v>0.25</x:v>
      </x:c>
      <x:c r="Q548" s="2" t="n">
        <x:v>24</x:v>
      </x:c>
      <x:c r="R548" s="2" t="str">
        <x:v>ENTP</x:v>
      </x:c>
      <x:c r="S548" s="2" t="str">
        <x:v>华南</x:v>
      </x:c>
      <x:c r="T548" s="2" t="str">
        <x:v>在校学生</x:v>
      </x:c>
    </x:row>
    <x:row r="549" ht="24" customHeight="1">
      <x:c r="A549" s="2" t="str">
        <x:v>D040_T02_C080_G025</x:v>
      </x:c>
      <x:c r="B549" s="2" t="str">
        <x:v>A0040</x:v>
      </x:c>
      <x:c r="C549" s="2" t="str">
        <x:v>inside</x:v>
      </x:c>
      <x:c r="D549" s="2" t="n">
        <x:v>2</x:v>
      </x:c>
      <x:c r="E549" s="2" t="n">
        <x:v>1</x:v>
      </x:c>
      <x:c r="F549" s="2" t="n">
        <x:v>4</x:v>
      </x:c>
      <x:c r="G549" s="2" t="str">
        <x:v>observed_post_release</x:v>
      </x:c>
      <x:c r="H549" s="2" t="n">
        <x:f>IF(AND(ISNUMBER(F549),F549&gt;=D549),1,0)</x:f>
        <x:v>1</x:v>
      </x:c>
      <x:c r="I549" s="2" t="n">
        <x:f>IF(AND(ISNUMBER(F549),F549&gt;D549),1,0)</x:f>
        <x:v>1</x:v>
      </x:c>
      <x:c r="J549" s="2" t="n">
        <x:f>IF(H549=1,F549-D549,"")</x:f>
        <x:v>2</x:v>
      </x:c>
      <x:c r="K549" s="2" t="n">
        <x:f>IF(H549=1,F549-E549,"")</x:f>
        <x:v>3</x:v>
      </x:c>
      <x:c r="L549" s="2" t="n">
        <x:v>9</x:v>
      </x:c>
      <x:c r="M549" s="2" t="n">
        <x:v>2</x:v>
      </x:c>
      <x:c r="N549" s="20" t="n">
        <x:v>0.4</x:v>
      </x:c>
      <x:c r="O549" s="20" t="n">
        <x:v>0.8</x:v>
      </x:c>
      <x:c r="P549" s="20" t="n">
        <x:v>0.25</x:v>
      </x:c>
      <x:c r="Q549" s="2" t="n">
        <x:v>48</x:v>
      </x:c>
      <x:c r="R549" s="2" t="str">
        <x:v>INFP</x:v>
      </x:c>
      <x:c r="S549" s="2" t="str">
        <x:v>西北</x:v>
      </x:c>
      <x:c r="T549" s="2" t="str">
        <x:v>个体经营或自由职业</x:v>
      </x:c>
    </x:row>
    <x:row r="550" ht="24" customHeight="1">
      <x:c r="A550" s="2" t="str">
        <x:v>D040_T02_C080_G025</x:v>
      </x:c>
      <x:c r="B550" s="2" t="str">
        <x:v>A0041</x:v>
      </x:c>
      <x:c r="C550" s="2" t="str">
        <x:v>inside</x:v>
      </x:c>
      <x:c r="D550" s="2" t="n">
        <x:v>2</x:v>
      </x:c>
      <x:c r="E550" s="2" t="n">
        <x:v>1</x:v>
      </x:c>
      <x:c r="F550" s="2" t="n">
        <x:v>4</x:v>
      </x:c>
      <x:c r="G550" s="2" t="str">
        <x:v>observed_post_release</x:v>
      </x:c>
      <x:c r="H550" s="2" t="n">
        <x:f>IF(AND(ISNUMBER(F550),F550&gt;=D550),1,0)</x:f>
        <x:v>1</x:v>
      </x:c>
      <x:c r="I550" s="2" t="n">
        <x:f>IF(AND(ISNUMBER(F550),F550&gt;D550),1,0)</x:f>
        <x:v>1</x:v>
      </x:c>
      <x:c r="J550" s="2" t="n">
        <x:f>IF(H550=1,F550-D550,"")</x:f>
        <x:v>2</x:v>
      </x:c>
      <x:c r="K550" s="2" t="n">
        <x:f>IF(H550=1,F550-E550,"")</x:f>
        <x:v>3</x:v>
      </x:c>
      <x:c r="L550" s="2" t="n">
        <x:v>9</x:v>
      </x:c>
      <x:c r="M550" s="2" t="n">
        <x:v>2</x:v>
      </x:c>
      <x:c r="N550" s="20" t="n">
        <x:v>0.4</x:v>
      </x:c>
      <x:c r="O550" s="20" t="n">
        <x:v>0.8</x:v>
      </x:c>
      <x:c r="P550" s="20" t="n">
        <x:v>0.25</x:v>
      </x:c>
      <x:c r="Q550" s="2" t="n">
        <x:v>62</x:v>
      </x:c>
      <x:c r="R550" s="2" t="str">
        <x:v>ISFJ</x:v>
      </x:c>
      <x:c r="S550" s="2" t="str">
        <x:v>西北</x:v>
      </x:c>
      <x:c r="T550" s="2" t="str">
        <x:v>个体经营或自由职业</x:v>
      </x:c>
    </x:row>
    <x:row r="551" ht="24" customHeight="1">
      <x:c r="A551" s="2" t="str">
        <x:v>D040_T02_C080_G025</x:v>
      </x:c>
      <x:c r="B551" s="2" t="str">
        <x:v>A0042</x:v>
      </x:c>
      <x:c r="C551" s="2" t="str">
        <x:v>inside</x:v>
      </x:c>
      <x:c r="D551" s="2" t="n">
        <x:v>2</x:v>
      </x:c>
      <x:c r="E551" s="2" t="n">
        <x:v>1</x:v>
      </x:c>
      <x:c r="F551" s="2" t="n">
        <x:v>5</x:v>
      </x:c>
      <x:c r="G551" s="2" t="str">
        <x:v>observed_post_release</x:v>
      </x:c>
      <x:c r="H551" s="2" t="n">
        <x:f>IF(AND(ISNUMBER(F551),F551&gt;=D551),1,0)</x:f>
        <x:v>1</x:v>
      </x:c>
      <x:c r="I551" s="2" t="n">
        <x:f>IF(AND(ISNUMBER(F551),F551&gt;D551),1,0)</x:f>
        <x:v>1</x:v>
      </x:c>
      <x:c r="J551" s="2" t="n">
        <x:f>IF(H551=1,F551-D551,"")</x:f>
        <x:v>3</x:v>
      </x:c>
      <x:c r="K551" s="2" t="n">
        <x:f>IF(H551=1,F551-E551,"")</x:f>
        <x:v>4</x:v>
      </x:c>
      <x:c r="L551" s="2" t="n">
        <x:v>9</x:v>
      </x:c>
      <x:c r="M551" s="2" t="n">
        <x:v>2</x:v>
      </x:c>
      <x:c r="N551" s="20" t="n">
        <x:v>0.4</x:v>
      </x:c>
      <x:c r="O551" s="20" t="n">
        <x:v>0.8</x:v>
      </x:c>
      <x:c r="P551" s="20" t="n">
        <x:v>0.25</x:v>
      </x:c>
      <x:c r="Q551" s="2" t="n">
        <x:v>31</x:v>
      </x:c>
      <x:c r="R551" s="2" t="str">
        <x:v>INTJ</x:v>
      </x:c>
      <x:c r="S551" s="2" t="str">
        <x:v>华东</x:v>
      </x:c>
      <x:c r="T551" s="2" t="str">
        <x:v>生产运输或体力岗位</x:v>
      </x:c>
    </x:row>
    <x:row r="552" ht="24" customHeight="1">
      <x:c r="A552" s="2" t="str">
        <x:v>D040_T02_C080_G025</x:v>
      </x:c>
      <x:c r="B552" s="2" t="str">
        <x:v>A0071</x:v>
      </x:c>
      <x:c r="C552" s="2" t="str">
        <x:v>inside</x:v>
      </x:c>
      <x:c r="D552" s="2" t="n">
        <x:v>2</x:v>
      </x:c>
      <x:c r="E552" s="2" t="n">
        <x:v>1</x:v>
      </x:c>
      <x:c r="F552" s="2" t="n">
        <x:v>4</x:v>
      </x:c>
      <x:c r="G552" s="2" t="str">
        <x:v>observed_post_release</x:v>
      </x:c>
      <x:c r="H552" s="2" t="n">
        <x:f>IF(AND(ISNUMBER(F552),F552&gt;=D552),1,0)</x:f>
        <x:v>1</x:v>
      </x:c>
      <x:c r="I552" s="2" t="n">
        <x:f>IF(AND(ISNUMBER(F552),F552&gt;D552),1,0)</x:f>
        <x:v>1</x:v>
      </x:c>
      <x:c r="J552" s="2" t="n">
        <x:f>IF(H552=1,F552-D552,"")</x:f>
        <x:v>2</x:v>
      </x:c>
      <x:c r="K552" s="2" t="n">
        <x:f>IF(H552=1,F552-E552,"")</x:f>
        <x:v>3</x:v>
      </x:c>
      <x:c r="L552" s="2" t="n">
        <x:v>9</x:v>
      </x:c>
      <x:c r="M552" s="2" t="n">
        <x:v>2</x:v>
      </x:c>
      <x:c r="N552" s="20" t="n">
        <x:v>0.4</x:v>
      </x:c>
      <x:c r="O552" s="20" t="n">
        <x:v>0.8</x:v>
      </x:c>
      <x:c r="P552" s="20" t="n">
        <x:v>0.25</x:v>
      </x:c>
      <x:c r="Q552" s="2" t="n">
        <x:v>33</x:v>
      </x:c>
      <x:c r="R552" s="2" t="str">
        <x:v>ISTJ</x:v>
      </x:c>
      <x:c r="S552" s="2" t="str">
        <x:v>华东</x:v>
      </x:c>
      <x:c r="T552" s="2" t="str">
        <x:v>商业服务岗位</x:v>
      </x:c>
    </x:row>
    <x:row r="553" ht="24" customHeight="1">
      <x:c r="A553" s="2" t="str">
        <x:v>D040_T02_C080_G025</x:v>
      </x:c>
      <x:c r="B553" s="2" t="str">
        <x:v>A0090</x:v>
      </x:c>
      <x:c r="C553" s="2" t="str">
        <x:v>inside</x:v>
      </x:c>
      <x:c r="D553" s="2" t="n">
        <x:v>2</x:v>
      </x:c>
      <x:c r="E553" s="2" t="n">
        <x:v>1</x:v>
      </x:c>
      <x:c r="F553" s="2" t="n">
        <x:v>5</x:v>
      </x:c>
      <x:c r="G553" s="2" t="str">
        <x:v>observed_post_release</x:v>
      </x:c>
      <x:c r="H553" s="2" t="n">
        <x:f>IF(AND(ISNUMBER(F553),F553&gt;=D553),1,0)</x:f>
        <x:v>1</x:v>
      </x:c>
      <x:c r="I553" s="2" t="n">
        <x:f>IF(AND(ISNUMBER(F553),F553&gt;D553),1,0)</x:f>
        <x:v>1</x:v>
      </x:c>
      <x:c r="J553" s="2" t="n">
        <x:f>IF(H553=1,F553-D553,"")</x:f>
        <x:v>3</x:v>
      </x:c>
      <x:c r="K553" s="2" t="n">
        <x:f>IF(H553=1,F553-E553,"")</x:f>
        <x:v>4</x:v>
      </x:c>
      <x:c r="L553" s="2" t="n">
        <x:v>9</x:v>
      </x:c>
      <x:c r="M553" s="2" t="n">
        <x:v>3</x:v>
      </x:c>
      <x:c r="N553" s="20" t="n">
        <x:v>0.4</x:v>
      </x:c>
      <x:c r="O553" s="20" t="n">
        <x:v>0.8</x:v>
      </x:c>
      <x:c r="P553" s="20" t="n">
        <x:v>0.25</x:v>
      </x:c>
      <x:c r="Q553" s="2" t="n">
        <x:v>46</x:v>
      </x:c>
      <x:c r="R553" s="2" t="str">
        <x:v>ENFJ</x:v>
      </x:c>
      <x:c r="S553" s="2" t="str">
        <x:v>西北</x:v>
      </x:c>
      <x:c r="T553" s="2" t="str">
        <x:v>个体经营或自由职业</x:v>
      </x:c>
    </x:row>
    <x:row r="554" ht="24" customHeight="1">
      <x:c r="A554" s="2" t="str">
        <x:v>D040_T02_C080_G025</x:v>
      </x:c>
      <x:c r="B554" s="2" t="str">
        <x:v>A0189</x:v>
      </x:c>
      <x:c r="C554" s="2" t="str">
        <x:v>inside</x:v>
      </x:c>
      <x:c r="D554" s="2" t="n">
        <x:v>2</x:v>
      </x:c>
      <x:c r="E554" s="2" t="n">
        <x:v>1</x:v>
      </x:c>
      <x:c r="F554" s="2" t="n">
        <x:v>8</x:v>
      </x:c>
      <x:c r="G554" s="2" t="str">
        <x:v>observed_post_release</x:v>
      </x:c>
      <x:c r="H554" s="2" t="n">
        <x:f>IF(AND(ISNUMBER(F554),F554&gt;=D554),1,0)</x:f>
        <x:v>1</x:v>
      </x:c>
      <x:c r="I554" s="2" t="n">
        <x:f>IF(AND(ISNUMBER(F554),F554&gt;D554),1,0)</x:f>
        <x:v>1</x:v>
      </x:c>
      <x:c r="J554" s="2" t="n">
        <x:f>IF(H554=1,F554-D554,"")</x:f>
        <x:v>6</x:v>
      </x:c>
      <x:c r="K554" s="2" t="n">
        <x:f>IF(H554=1,F554-E554,"")</x:f>
        <x:v>7</x:v>
      </x:c>
      <x:c r="L554" s="2" t="n">
        <x:v>9</x:v>
      </x:c>
      <x:c r="M554" s="2" t="n">
        <x:v>3</x:v>
      </x:c>
      <x:c r="N554" s="20" t="n">
        <x:v>0.4</x:v>
      </x:c>
      <x:c r="O554" s="20" t="n">
        <x:v>0.8</x:v>
      </x:c>
      <x:c r="P554" s="20" t="n">
        <x:v>0.25</x:v>
      </x:c>
      <x:c r="Q554" s="2" t="n">
        <x:v>45</x:v>
      </x:c>
      <x:c r="R554" s="2" t="str">
        <x:v>ISFJ</x:v>
      </x:c>
      <x:c r="S554" s="2" t="str">
        <x:v>西北</x:v>
      </x:c>
      <x:c r="T554" s="2" t="str">
        <x:v>生产运输或体力岗位</x:v>
      </x:c>
    </x:row>
    <x:row r="555" ht="24" customHeight="1">
      <x:c r="A555" s="2" t="str">
        <x:v>D040_T02_C080_G025</x:v>
      </x:c>
      <x:c r="B555" s="2" t="str">
        <x:v>A0206</x:v>
      </x:c>
      <x:c r="C555" s="2" t="str">
        <x:v>inside</x:v>
      </x:c>
      <x:c r="D555" s="2" t="n">
        <x:v>2</x:v>
      </x:c>
      <x:c r="E555" s="2" t="n">
        <x:v>1</x:v>
      </x:c>
      <x:c r="F555" s="2" t="n">
        <x:v>4</x:v>
      </x:c>
      <x:c r="G555" s="2" t="str">
        <x:v>observed_post_release</x:v>
      </x:c>
      <x:c r="H555" s="2" t="n">
        <x:f>IF(AND(ISNUMBER(F555),F555&gt;=D555),1,0)</x:f>
        <x:v>1</x:v>
      </x:c>
      <x:c r="I555" s="2" t="n">
        <x:f>IF(AND(ISNUMBER(F555),F555&gt;D555),1,0)</x:f>
        <x:v>1</x:v>
      </x:c>
      <x:c r="J555" s="2" t="n">
        <x:f>IF(H555=1,F555-D555,"")</x:f>
        <x:v>2</x:v>
      </x:c>
      <x:c r="K555" s="2" t="n">
        <x:f>IF(H555=1,F555-E555,"")</x:f>
        <x:v>3</x:v>
      </x:c>
      <x:c r="L555" s="2" t="n">
        <x:v>9</x:v>
      </x:c>
      <x:c r="M555" s="2" t="n">
        <x:v>2</x:v>
      </x:c>
      <x:c r="N555" s="20" t="n">
        <x:v>0.4</x:v>
      </x:c>
      <x:c r="O555" s="20" t="n">
        <x:v>0.8</x:v>
      </x:c>
      <x:c r="P555" s="20" t="n">
        <x:v>0.25</x:v>
      </x:c>
      <x:c r="Q555" s="2" t="n">
        <x:v>21</x:v>
      </x:c>
      <x:c r="R555" s="2" t="str">
        <x:v>ESTP</x:v>
      </x:c>
      <x:c r="S555" s="2" t="str">
        <x:v>西北</x:v>
      </x:c>
      <x:c r="T555" s="2" t="str">
        <x:v>暂未就业或家庭照料</x:v>
      </x:c>
    </x:row>
    <x:row r="556" ht="24" customHeight="1">
      <x:c r="A556" s="2" t="str">
        <x:v>D040_T02_C080_G050</x:v>
      </x:c>
      <x:c r="B556" s="2" t="str">
        <x:v>A0003</x:v>
      </x:c>
      <x:c r="C556" s="2" t="str">
        <x:v>inside</x:v>
      </x:c>
      <x:c r="D556" s="2" t="n">
        <x:v>2</x:v>
      </x:c>
      <x:c r="E556" s="2" t="n">
        <x:v>1</x:v>
      </x:c>
      <x:c r="F556" s="2" t="n">
        <x:v>2</x:v>
      </x:c>
      <x:c r="G556" s="2" t="str">
        <x:v>observed_post_release</x:v>
      </x:c>
      <x:c r="H556" s="2" t="n">
        <x:f>IF(AND(ISNUMBER(F556),F556&gt;=D556),1,0)</x:f>
        <x:v>1</x:v>
      </x:c>
      <x:c r="I556" s="2" t="n">
        <x:f>IF(AND(ISNUMBER(F556),F556&gt;D556),1,0)</x:f>
        <x:v>0</x:v>
      </x:c>
      <x:c r="J556" s="2" t="n">
        <x:f>IF(H556=1,F556-D556,"")</x:f>
        <x:v>0</x:v>
      </x:c>
      <x:c r="K556" s="2" t="n">
        <x:f>IF(H556=1,F556-E556,"")</x:f>
        <x:v>1</x:v>
      </x:c>
      <x:c r="L556" s="2" t="n">
        <x:v>9</x:v>
      </x:c>
      <x:c r="M556" s="2" t="n">
        <x:v>2</x:v>
      </x:c>
      <x:c r="N556" s="20" t="n">
        <x:v>0.4</x:v>
      </x:c>
      <x:c r="O556" s="20" t="n">
        <x:v>0.8</x:v>
      </x:c>
      <x:c r="P556" s="20" t="n">
        <x:v>0.5</x:v>
      </x:c>
      <x:c r="Q556" s="2" t="n">
        <x:v>20</x:v>
      </x:c>
      <x:c r="R556" s="2" t="str">
        <x:v>ENFP</x:v>
      </x:c>
      <x:c r="S556" s="2" t="str">
        <x:v>华北</x:v>
      </x:c>
      <x:c r="T556" s="2" t="str">
        <x:v>行政或办公室岗位</x:v>
      </x:c>
    </x:row>
    <x:row r="557" ht="24" customHeight="1">
      <x:c r="A557" s="2" t="str">
        <x:v>D040_T02_C080_G050</x:v>
      </x:c>
      <x:c r="B557" s="2" t="str">
        <x:v>A0005</x:v>
      </x:c>
      <x:c r="C557" s="2" t="str">
        <x:v>inside</x:v>
      </x:c>
      <x:c r="D557" s="2" t="n">
        <x:v>2</x:v>
      </x:c>
      <x:c r="E557" s="2" t="n">
        <x:v>1</x:v>
      </x:c>
      <x:c r="F557" s="2" t="n">
        <x:v>2</x:v>
      </x:c>
      <x:c r="G557" s="2" t="str">
        <x:v>observed_post_release</x:v>
      </x:c>
      <x:c r="H557" s="2" t="n">
        <x:f>IF(AND(ISNUMBER(F557),F557&gt;=D557),1,0)</x:f>
        <x:v>1</x:v>
      </x:c>
      <x:c r="I557" s="2" t="n">
        <x:f>IF(AND(ISNUMBER(F557),F557&gt;D557),1,0)</x:f>
        <x:v>0</x:v>
      </x:c>
      <x:c r="J557" s="2" t="n">
        <x:f>IF(H557=1,F557-D557,"")</x:f>
        <x:v>0</x:v>
      </x:c>
      <x:c r="K557" s="2" t="n">
        <x:f>IF(H557=1,F557-E557,"")</x:f>
        <x:v>1</x:v>
      </x:c>
      <x:c r="L557" s="2" t="n">
        <x:v>9</x:v>
      </x:c>
      <x:c r="M557" s="2" t="n">
        <x:v>2</x:v>
      </x:c>
      <x:c r="N557" s="20" t="n">
        <x:v>0.4</x:v>
      </x:c>
      <x:c r="O557" s="20" t="n">
        <x:v>0.8</x:v>
      </x:c>
      <x:c r="P557" s="20" t="n">
        <x:v>0.5</x:v>
      </x:c>
      <x:c r="Q557" s="2" t="n">
        <x:v>51</x:v>
      </x:c>
      <x:c r="R557" s="2" t="str">
        <x:v>ISTP</x:v>
      </x:c>
      <x:c r="S557" s="2" t="str">
        <x:v>华南</x:v>
      </x:c>
      <x:c r="T557" s="2" t="str">
        <x:v>生产运输或体力岗位</x:v>
      </x:c>
    </x:row>
    <x:row r="558" ht="24" customHeight="1">
      <x:c r="A558" s="2" t="str">
        <x:v>D040_T02_C080_G050</x:v>
      </x:c>
      <x:c r="B558" s="2" t="str">
        <x:v>A0008</x:v>
      </x:c>
      <x:c r="C558" s="2" t="str">
        <x:v>inside</x:v>
      </x:c>
      <x:c r="D558" s="2" t="n">
        <x:v>2</x:v>
      </x:c>
      <x:c r="E558" s="2" t="n">
        <x:v>1</x:v>
      </x:c>
      <x:c r="F558" s="2" t="n">
        <x:v>2</x:v>
      </x:c>
      <x:c r="G558" s="2" t="str">
        <x:v>observed_post_release</x:v>
      </x:c>
      <x:c r="H558" s="2" t="n">
        <x:f>IF(AND(ISNUMBER(F558),F558&gt;=D558),1,0)</x:f>
        <x:v>1</x:v>
      </x:c>
      <x:c r="I558" s="2" t="n">
        <x:f>IF(AND(ISNUMBER(F558),F558&gt;D558),1,0)</x:f>
        <x:v>0</x:v>
      </x:c>
      <x:c r="J558" s="2" t="n">
        <x:f>IF(H558=1,F558-D558,"")</x:f>
        <x:v>0</x:v>
      </x:c>
      <x:c r="K558" s="2" t="n">
        <x:f>IF(H558=1,F558-E558,"")</x:f>
        <x:v>1</x:v>
      </x:c>
      <x:c r="L558" s="2" t="n">
        <x:v>9</x:v>
      </x:c>
      <x:c r="M558" s="2" t="n">
        <x:v>2</x:v>
      </x:c>
      <x:c r="N558" s="20" t="n">
        <x:v>0.4</x:v>
      </x:c>
      <x:c r="O558" s="20" t="n">
        <x:v>0.8</x:v>
      </x:c>
      <x:c r="P558" s="20" t="n">
        <x:v>0.5</x:v>
      </x:c>
      <x:c r="Q558" s="2" t="n">
        <x:v>36</x:v>
      </x:c>
      <x:c r="R558" s="2" t="str">
        <x:v>ISFP</x:v>
      </x:c>
      <x:c r="S558" s="2" t="str">
        <x:v>华南</x:v>
      </x:c>
      <x:c r="T558" s="2" t="str">
        <x:v>生产运输或体力岗位</x:v>
      </x:c>
    </x:row>
    <x:row r="559" ht="24" customHeight="1">
      <x:c r="A559" s="2" t="str">
        <x:v>D040_T02_C080_G050</x:v>
      </x:c>
      <x:c r="B559" s="2" t="str">
        <x:v>A0011</x:v>
      </x:c>
      <x:c r="C559" s="2" t="str">
        <x:v>inside</x:v>
      </x:c>
      <x:c r="D559" s="2" t="n">
        <x:v>2</x:v>
      </x:c>
      <x:c r="E559" s="2" t="n">
        <x:v>1</x:v>
      </x:c>
      <x:c r="F559" s="2" t="n">
        <x:v>4</x:v>
      </x:c>
      <x:c r="G559" s="2" t="str">
        <x:v>observed_post_release</x:v>
      </x:c>
      <x:c r="H559" s="2" t="n">
        <x:f>IF(AND(ISNUMBER(F559),F559&gt;=D559),1,0)</x:f>
        <x:v>1</x:v>
      </x:c>
      <x:c r="I559" s="2" t="n">
        <x:f>IF(AND(ISNUMBER(F559),F559&gt;D559),1,0)</x:f>
        <x:v>1</x:v>
      </x:c>
      <x:c r="J559" s="2" t="n">
        <x:f>IF(H559=1,F559-D559,"")</x:f>
        <x:v>2</x:v>
      </x:c>
      <x:c r="K559" s="2" t="n">
        <x:f>IF(H559=1,F559-E559,"")</x:f>
        <x:v>3</x:v>
      </x:c>
      <x:c r="L559" s="2" t="n">
        <x:v>9</x:v>
      </x:c>
      <x:c r="M559" s="2" t="n">
        <x:v>3</x:v>
      </x:c>
      <x:c r="N559" s="20" t="n">
        <x:v>0.4</x:v>
      </x:c>
      <x:c r="O559" s="20" t="n">
        <x:v>0.8</x:v>
      </x:c>
      <x:c r="P559" s="20" t="n">
        <x:v>0.5</x:v>
      </x:c>
      <x:c r="Q559" s="2" t="n">
        <x:v>42</x:v>
      </x:c>
      <x:c r="R559" s="2" t="str">
        <x:v>ENFJ</x:v>
      </x:c>
      <x:c r="S559" s="2" t="str">
        <x:v>西南</x:v>
      </x:c>
      <x:c r="T559" s="2" t="str">
        <x:v>行政或办公室岗位</x:v>
      </x:c>
    </x:row>
    <x:row r="560" ht="24" customHeight="1">
      <x:c r="A560" s="2" t="str">
        <x:v>D040_T02_C080_G050</x:v>
      </x:c>
      <x:c r="B560" s="2" t="str">
        <x:v>A0012</x:v>
      </x:c>
      <x:c r="C560" s="2" t="str">
        <x:v>inside</x:v>
      </x:c>
      <x:c r="D560" s="2" t="n">
        <x:v>2</x:v>
      </x:c>
      <x:c r="E560" s="2" t="n">
        <x:v>1</x:v>
      </x:c>
      <x:c r="F560" s="2" t="n">
        <x:v>8</x:v>
      </x:c>
      <x:c r="G560" s="2" t="str">
        <x:v>observed_post_release</x:v>
      </x:c>
      <x:c r="H560" s="2" t="n">
        <x:f>IF(AND(ISNUMBER(F560),F560&gt;=D560),1,0)</x:f>
        <x:v>1</x:v>
      </x:c>
      <x:c r="I560" s="2" t="n">
        <x:f>IF(AND(ISNUMBER(F560),F560&gt;D560),1,0)</x:f>
        <x:v>1</x:v>
      </x:c>
      <x:c r="J560" s="2" t="n">
        <x:f>IF(H560=1,F560-D560,"")</x:f>
        <x:v>6</x:v>
      </x:c>
      <x:c r="K560" s="2" t="n">
        <x:f>IF(H560=1,F560-E560,"")</x:f>
        <x:v>7</x:v>
      </x:c>
      <x:c r="L560" s="2" t="n">
        <x:v>9</x:v>
      </x:c>
      <x:c r="M560" s="2" t="n">
        <x:v>2</x:v>
      </x:c>
      <x:c r="N560" s="20" t="n">
        <x:v>0.4</x:v>
      </x:c>
      <x:c r="O560" s="20" t="n">
        <x:v>0.8</x:v>
      </x:c>
      <x:c r="P560" s="20" t="n">
        <x:v>0.5</x:v>
      </x:c>
      <x:c r="Q560" s="2" t="n">
        <x:v>38</x:v>
      </x:c>
      <x:c r="R560" s="2" t="str">
        <x:v>ESFP</x:v>
      </x:c>
      <x:c r="S560" s="2" t="str">
        <x:v>华中</x:v>
      </x:c>
      <x:c r="T560" s="2" t="str">
        <x:v>行政或办公室岗位</x:v>
      </x:c>
    </x:row>
    <x:row r="561" ht="24" customHeight="1">
      <x:c r="A561" s="2" t="str">
        <x:v>D040_T02_C080_G050</x:v>
      </x:c>
      <x:c r="B561" s="2" t="str">
        <x:v>A0014</x:v>
      </x:c>
      <x:c r="C561" s="2" t="str">
        <x:v>inside</x:v>
      </x:c>
      <x:c r="D561" s="2" t="n">
        <x:v>2</x:v>
      </x:c>
      <x:c r="E561" s="2" t="n">
        <x:v>1</x:v>
      </x:c>
      <x:c r="F561" s="2" t="n">
        <x:v>3</x:v>
      </x:c>
      <x:c r="G561" s="2" t="str">
        <x:v>observed_post_release</x:v>
      </x:c>
      <x:c r="H561" s="2" t="n">
        <x:f>IF(AND(ISNUMBER(F561),F561&gt;=D561),1,0)</x:f>
        <x:v>1</x:v>
      </x:c>
      <x:c r="I561" s="2" t="n">
        <x:f>IF(AND(ISNUMBER(F561),F561&gt;D561),1,0)</x:f>
        <x:v>1</x:v>
      </x:c>
      <x:c r="J561" s="2" t="n">
        <x:f>IF(H561=1,F561-D561,"")</x:f>
        <x:v>1</x:v>
      </x:c>
      <x:c r="K561" s="2" t="n">
        <x:f>IF(H561=1,F561-E561,"")</x:f>
        <x:v>2</x:v>
      </x:c>
      <x:c r="L561" s="2" t="n">
        <x:v>9</x:v>
      </x:c>
      <x:c r="M561" s="2" t="n">
        <x:v>2</x:v>
      </x:c>
      <x:c r="N561" s="20" t="n">
        <x:v>0.4</x:v>
      </x:c>
      <x:c r="O561" s="20" t="n">
        <x:v>0.8</x:v>
      </x:c>
      <x:c r="P561" s="20" t="n">
        <x:v>0.5</x:v>
      </x:c>
      <x:c r="Q561" s="2" t="n">
        <x:v>52</x:v>
      </x:c>
      <x:c r="R561" s="2" t="str">
        <x:v>INFJ</x:v>
      </x:c>
      <x:c r="S561" s="2" t="str">
        <x:v>华东</x:v>
      </x:c>
      <x:c r="T561" s="2" t="str">
        <x:v>生产运输或体力岗位</x:v>
      </x:c>
    </x:row>
    <x:row r="562" ht="24" customHeight="1">
      <x:c r="A562" s="2" t="str">
        <x:v>D040_T02_C080_G050</x:v>
      </x:c>
      <x:c r="B562" s="2" t="str">
        <x:v>A0015</x:v>
      </x:c>
      <x:c r="C562" s="2" t="str">
        <x:v>inside</x:v>
      </x:c>
      <x:c r="D562" s="2" t="n">
        <x:v>2</x:v>
      </x:c>
      <x:c r="E562" s="2" t="n">
        <x:v>1</x:v>
      </x:c>
      <x:c r="F562" s="2" t="n">
        <x:v>2</x:v>
      </x:c>
      <x:c r="G562" s="2" t="str">
        <x:v>observed_post_release</x:v>
      </x:c>
      <x:c r="H562" s="2" t="n">
        <x:f>IF(AND(ISNUMBER(F562),F562&gt;=D562),1,0)</x:f>
        <x:v>1</x:v>
      </x:c>
      <x:c r="I562" s="2" t="n">
        <x:f>IF(AND(ISNUMBER(F562),F562&gt;D562),1,0)</x:f>
        <x:v>0</x:v>
      </x:c>
      <x:c r="J562" s="2" t="n">
        <x:f>IF(H562=1,F562-D562,"")</x:f>
        <x:v>0</x:v>
      </x:c>
      <x:c r="K562" s="2" t="n">
        <x:f>IF(H562=1,F562-E562,"")</x:f>
        <x:v>1</x:v>
      </x:c>
      <x:c r="L562" s="2" t="n">
        <x:v>9</x:v>
      </x:c>
      <x:c r="M562" s="2" t="n">
        <x:v>2</x:v>
      </x:c>
      <x:c r="N562" s="20" t="n">
        <x:v>0.4</x:v>
      </x:c>
      <x:c r="O562" s="20" t="n">
        <x:v>0.8</x:v>
      </x:c>
      <x:c r="P562" s="20" t="n">
        <x:v>0.5</x:v>
      </x:c>
      <x:c r="Q562" s="2" t="n">
        <x:v>29</x:v>
      </x:c>
      <x:c r="R562" s="2" t="str">
        <x:v>ESFP</x:v>
      </x:c>
      <x:c r="S562" s="2" t="str">
        <x:v>华南</x:v>
      </x:c>
      <x:c r="T562" s="2" t="str">
        <x:v>行政或办公室岗位</x:v>
      </x:c>
    </x:row>
    <x:row r="563" ht="24" customHeight="1">
      <x:c r="A563" s="2" t="str">
        <x:v>D040_T02_C080_G050</x:v>
      </x:c>
      <x:c r="B563" s="2" t="str">
        <x:v>A0017</x:v>
      </x:c>
      <x:c r="C563" s="2" t="str">
        <x:v>inside</x:v>
      </x:c>
      <x:c r="D563" s="2" t="n">
        <x:v>2</x:v>
      </x:c>
      <x:c r="E563" s="2" t="n">
        <x:v>1</x:v>
      </x:c>
      <x:c r="F563" s="2" t="n">
        <x:v>5</x:v>
      </x:c>
      <x:c r="G563" s="2" t="str">
        <x:v>observed_post_release</x:v>
      </x:c>
      <x:c r="H563" s="2" t="n">
        <x:f>IF(AND(ISNUMBER(F563),F563&gt;=D563),1,0)</x:f>
        <x:v>1</x:v>
      </x:c>
      <x:c r="I563" s="2" t="n">
        <x:f>IF(AND(ISNUMBER(F563),F563&gt;D563),1,0)</x:f>
        <x:v>1</x:v>
      </x:c>
      <x:c r="J563" s="2" t="n">
        <x:f>IF(H563=1,F563-D563,"")</x:f>
        <x:v>3</x:v>
      </x:c>
      <x:c r="K563" s="2" t="n">
        <x:f>IF(H563=1,F563-E563,"")</x:f>
        <x:v>4</x:v>
      </x:c>
      <x:c r="L563" s="2" t="n">
        <x:v>9</x:v>
      </x:c>
      <x:c r="M563" s="2" t="n">
        <x:v>3</x:v>
      </x:c>
      <x:c r="N563" s="20" t="n">
        <x:v>0.4</x:v>
      </x:c>
      <x:c r="O563" s="20" t="n">
        <x:v>0.8</x:v>
      </x:c>
      <x:c r="P563" s="20" t="n">
        <x:v>0.5</x:v>
      </x:c>
      <x:c r="Q563" s="2" t="n">
        <x:v>30</x:v>
      </x:c>
      <x:c r="R563" s="2" t="str">
        <x:v>ISTJ</x:v>
      </x:c>
      <x:c r="S563" s="2" t="str">
        <x:v>华东</x:v>
      </x:c>
      <x:c r="T563" s="2" t="str">
        <x:v>商业服务岗位</x:v>
      </x:c>
    </x:row>
    <x:row r="564" ht="24" customHeight="1">
      <x:c r="A564" s="2" t="str">
        <x:v>D040_T02_C080_G050</x:v>
      </x:c>
      <x:c r="B564" s="2" t="str">
        <x:v>A0018</x:v>
      </x:c>
      <x:c r="C564" s="2" t="str">
        <x:v>inside</x:v>
      </x:c>
      <x:c r="D564" s="2" t="n">
        <x:v>2</x:v>
      </x:c>
      <x:c r="E564" s="2" t="n">
        <x:v>1</x:v>
      </x:c>
      <x:c r="F564" s="2" t="n">
        <x:v>3</x:v>
      </x:c>
      <x:c r="G564" s="2" t="str">
        <x:v>observed_post_release</x:v>
      </x:c>
      <x:c r="H564" s="2" t="n">
        <x:f>IF(AND(ISNUMBER(F564),F564&gt;=D564),1,0)</x:f>
        <x:v>1</x:v>
      </x:c>
      <x:c r="I564" s="2" t="n">
        <x:f>IF(AND(ISNUMBER(F564),F564&gt;D564),1,0)</x:f>
        <x:v>1</x:v>
      </x:c>
      <x:c r="J564" s="2" t="n">
        <x:f>IF(H564=1,F564-D564,"")</x:f>
        <x:v>1</x:v>
      </x:c>
      <x:c r="K564" s="2" t="n">
        <x:f>IF(H564=1,F564-E564,"")</x:f>
        <x:v>2</x:v>
      </x:c>
      <x:c r="L564" s="2" t="n">
        <x:v>9</x:v>
      </x:c>
      <x:c r="M564" s="2" t="n">
        <x:v>2</x:v>
      </x:c>
      <x:c r="N564" s="20" t="n">
        <x:v>0.4</x:v>
      </x:c>
      <x:c r="O564" s="20" t="n">
        <x:v>0.8</x:v>
      </x:c>
      <x:c r="P564" s="20" t="n">
        <x:v>0.5</x:v>
      </x:c>
      <x:c r="Q564" s="2" t="n">
        <x:v>60</x:v>
      </x:c>
      <x:c r="R564" s="2" t="str">
        <x:v>INTJ</x:v>
      </x:c>
      <x:c r="S564" s="2" t="str">
        <x:v>华南</x:v>
      </x:c>
      <x:c r="T564" s="2" t="str">
        <x:v>专业技术岗位</x:v>
      </x:c>
    </x:row>
    <x:row r="565" ht="24" customHeight="1">
      <x:c r="A565" s="2" t="str">
        <x:v>D040_T02_C080_G050</x:v>
      </x:c>
      <x:c r="B565" s="2" t="str">
        <x:v>A0020</x:v>
      </x:c>
      <x:c r="C565" s="2" t="str">
        <x:v>inside</x:v>
      </x:c>
      <x:c r="D565" s="2" t="n">
        <x:v>2</x:v>
      </x:c>
      <x:c r="E565" s="2" t="n">
        <x:v>1</x:v>
      </x:c>
      <x:c r="F565" s="2" t="n">
        <x:v>2</x:v>
      </x:c>
      <x:c r="G565" s="2" t="str">
        <x:v>observed_post_release</x:v>
      </x:c>
      <x:c r="H565" s="2" t="n">
        <x:f>IF(AND(ISNUMBER(F565),F565&gt;=D565),1,0)</x:f>
        <x:v>1</x:v>
      </x:c>
      <x:c r="I565" s="2" t="n">
        <x:f>IF(AND(ISNUMBER(F565),F565&gt;D565),1,0)</x:f>
        <x:v>0</x:v>
      </x:c>
      <x:c r="J565" s="2" t="n">
        <x:f>IF(H565=1,F565-D565,"")</x:f>
        <x:v>0</x:v>
      </x:c>
      <x:c r="K565" s="2" t="n">
        <x:f>IF(H565=1,F565-E565,"")</x:f>
        <x:v>1</x:v>
      </x:c>
      <x:c r="L565" s="2" t="n">
        <x:v>9</x:v>
      </x:c>
      <x:c r="M565" s="2" t="n">
        <x:v>2</x:v>
      </x:c>
      <x:c r="N565" s="20" t="n">
        <x:v>0.4</x:v>
      </x:c>
      <x:c r="O565" s="20" t="n">
        <x:v>0.8</x:v>
      </x:c>
      <x:c r="P565" s="20" t="n">
        <x:v>0.5</x:v>
      </x:c>
      <x:c r="Q565" s="2" t="n">
        <x:v>42</x:v>
      </x:c>
      <x:c r="R565" s="2" t="str">
        <x:v>ENTJ</x:v>
      </x:c>
      <x:c r="S565" s="2" t="str">
        <x:v>西南</x:v>
      </x:c>
      <x:c r="T565" s="2" t="str">
        <x:v>行政或办公室岗位</x:v>
      </x:c>
    </x:row>
    <x:row r="566" ht="24" customHeight="1">
      <x:c r="A566" s="2" t="str">
        <x:v>D040_T02_C080_G050</x:v>
      </x:c>
      <x:c r="B566" s="2" t="str">
        <x:v>A0022</x:v>
      </x:c>
      <x:c r="C566" s="2" t="str">
        <x:v>inside</x:v>
      </x:c>
      <x:c r="D566" s="2" t="n">
        <x:v>2</x:v>
      </x:c>
      <x:c r="E566" s="2" t="n">
        <x:v>1</x:v>
      </x:c>
      <x:c r="F566" s="2" t="n">
        <x:v>2</x:v>
      </x:c>
      <x:c r="G566" s="2" t="str">
        <x:v>observed_post_release</x:v>
      </x:c>
      <x:c r="H566" s="2" t="n">
        <x:f>IF(AND(ISNUMBER(F566),F566&gt;=D566),1,0)</x:f>
        <x:v>1</x:v>
      </x:c>
      <x:c r="I566" s="2" t="n">
        <x:f>IF(AND(ISNUMBER(F566),F566&gt;D566),1,0)</x:f>
        <x:v>0</x:v>
      </x:c>
      <x:c r="J566" s="2" t="n">
        <x:f>IF(H566=1,F566-D566,"")</x:f>
        <x:v>0</x:v>
      </x:c>
      <x:c r="K566" s="2" t="n">
        <x:f>IF(H566=1,F566-E566,"")</x:f>
        <x:v>1</x:v>
      </x:c>
      <x:c r="L566" s="2" t="n">
        <x:v>9</x:v>
      </x:c>
      <x:c r="M566" s="2" t="n">
        <x:v>2</x:v>
      </x:c>
      <x:c r="N566" s="20" t="n">
        <x:v>0.4</x:v>
      </x:c>
      <x:c r="O566" s="20" t="n">
        <x:v>0.8</x:v>
      </x:c>
      <x:c r="P566" s="20" t="n">
        <x:v>0.5</x:v>
      </x:c>
      <x:c r="Q566" s="2" t="n">
        <x:v>51</x:v>
      </x:c>
      <x:c r="R566" s="2" t="str">
        <x:v>INFJ</x:v>
      </x:c>
      <x:c r="S566" s="2" t="str">
        <x:v>西南</x:v>
      </x:c>
      <x:c r="T566" s="2" t="str">
        <x:v>个体经营或自由职业</x:v>
      </x:c>
    </x:row>
    <x:row r="567" ht="24" customHeight="1">
      <x:c r="A567" s="2" t="str">
        <x:v>D040_T02_C080_G050</x:v>
      </x:c>
      <x:c r="B567" s="2" t="str">
        <x:v>A0024</x:v>
      </x:c>
      <x:c r="C567" s="2" t="str">
        <x:v>inside</x:v>
      </x:c>
      <x:c r="D567" s="2" t="n">
        <x:v>2</x:v>
      </x:c>
      <x:c r="E567" s="2" t="n">
        <x:v>1</x:v>
      </x:c>
      <x:c r="F567" s="2" t="n">
        <x:v>4</x:v>
      </x:c>
      <x:c r="G567" s="2" t="str">
        <x:v>observed_post_release</x:v>
      </x:c>
      <x:c r="H567" s="2" t="n">
        <x:f>IF(AND(ISNUMBER(F567),F567&gt;=D567),1,0)</x:f>
        <x:v>1</x:v>
      </x:c>
      <x:c r="I567" s="2" t="n">
        <x:f>IF(AND(ISNUMBER(F567),F567&gt;D567),1,0)</x:f>
        <x:v>1</x:v>
      </x:c>
      <x:c r="J567" s="2" t="n">
        <x:f>IF(H567=1,F567-D567,"")</x:f>
        <x:v>2</x:v>
      </x:c>
      <x:c r="K567" s="2" t="n">
        <x:f>IF(H567=1,F567-E567,"")</x:f>
        <x:v>3</x:v>
      </x:c>
      <x:c r="L567" s="2" t="n">
        <x:v>9</x:v>
      </x:c>
      <x:c r="M567" s="2" t="n">
        <x:v>2</x:v>
      </x:c>
      <x:c r="N567" s="20" t="n">
        <x:v>0.4</x:v>
      </x:c>
      <x:c r="O567" s="20" t="n">
        <x:v>0.8</x:v>
      </x:c>
      <x:c r="P567" s="20" t="n">
        <x:v>0.5</x:v>
      </x:c>
      <x:c r="Q567" s="2" t="n">
        <x:v>31</x:v>
      </x:c>
      <x:c r="R567" s="2" t="str">
        <x:v>ESTP</x:v>
      </x:c>
      <x:c r="S567" s="2" t="str">
        <x:v>华北</x:v>
      </x:c>
      <x:c r="T567" s="2" t="str">
        <x:v>商业服务岗位</x:v>
      </x:c>
    </x:row>
    <x:row r="568" ht="24" customHeight="1">
      <x:c r="A568" s="2" t="str">
        <x:v>D040_T02_C080_G050</x:v>
      </x:c>
      <x:c r="B568" s="2" t="str">
        <x:v>A0025</x:v>
      </x:c>
      <x:c r="C568" s="2" t="str">
        <x:v>inside</x:v>
      </x:c>
      <x:c r="D568" s="2" t="n">
        <x:v>2</x:v>
      </x:c>
      <x:c r="E568" s="2" t="n">
        <x:v>1</x:v>
      </x:c>
      <x:c r="F568" s="2" t="n">
        <x:v>2</x:v>
      </x:c>
      <x:c r="G568" s="2" t="str">
        <x:v>observed_post_release</x:v>
      </x:c>
      <x:c r="H568" s="2" t="n">
        <x:f>IF(AND(ISNUMBER(F568),F568&gt;=D568),1,0)</x:f>
        <x:v>1</x:v>
      </x:c>
      <x:c r="I568" s="2" t="n">
        <x:f>IF(AND(ISNUMBER(F568),F568&gt;D568),1,0)</x:f>
        <x:v>0</x:v>
      </x:c>
      <x:c r="J568" s="2" t="n">
        <x:f>IF(H568=1,F568-D568,"")</x:f>
        <x:v>0</x:v>
      </x:c>
      <x:c r="K568" s="2" t="n">
        <x:f>IF(H568=1,F568-E568,"")</x:f>
        <x:v>1</x:v>
      </x:c>
      <x:c r="L568" s="2" t="n">
        <x:v>9</x:v>
      </x:c>
      <x:c r="M568" s="2" t="n">
        <x:v>2</x:v>
      </x:c>
      <x:c r="N568" s="20" t="n">
        <x:v>0.4</x:v>
      </x:c>
      <x:c r="O568" s="20" t="n">
        <x:v>0.8</x:v>
      </x:c>
      <x:c r="P568" s="20" t="n">
        <x:v>0.5</x:v>
      </x:c>
      <x:c r="Q568" s="2" t="n">
        <x:v>23</x:v>
      </x:c>
      <x:c r="R568" s="2" t="str">
        <x:v>ISTP</x:v>
      </x:c>
      <x:c r="S568" s="2" t="str">
        <x:v>华南</x:v>
      </x:c>
      <x:c r="T568" s="2" t="str">
        <x:v>行政或办公室岗位</x:v>
      </x:c>
    </x:row>
    <x:row r="569" ht="24" customHeight="1">
      <x:c r="A569" s="2" t="str">
        <x:v>D040_T02_C080_G050</x:v>
      </x:c>
      <x:c r="B569" s="2" t="str">
        <x:v>A0026</x:v>
      </x:c>
      <x:c r="C569" s="2" t="str">
        <x:v>inside</x:v>
      </x:c>
      <x:c r="D569" s="2" t="n">
        <x:v>2</x:v>
      </x:c>
      <x:c r="E569" s="2" t="n">
        <x:v>1</x:v>
      </x:c>
      <x:c r="F569" s="2" t="n">
        <x:v>2</x:v>
      </x:c>
      <x:c r="G569" s="2" t="str">
        <x:v>observed_post_release</x:v>
      </x:c>
      <x:c r="H569" s="2" t="n">
        <x:f>IF(AND(ISNUMBER(F569),F569&gt;=D569),1,0)</x:f>
        <x:v>1</x:v>
      </x:c>
      <x:c r="I569" s="2" t="n">
        <x:f>IF(AND(ISNUMBER(F569),F569&gt;D569),1,0)</x:f>
        <x:v>0</x:v>
      </x:c>
      <x:c r="J569" s="2" t="n">
        <x:f>IF(H569=1,F569-D569,"")</x:f>
        <x:v>0</x:v>
      </x:c>
      <x:c r="K569" s="2" t="n">
        <x:f>IF(H569=1,F569-E569,"")</x:f>
        <x:v>1</x:v>
      </x:c>
      <x:c r="L569" s="2" t="n">
        <x:v>9</x:v>
      </x:c>
      <x:c r="M569" s="2" t="n">
        <x:v>2</x:v>
      </x:c>
      <x:c r="N569" s="20" t="n">
        <x:v>0.4</x:v>
      </x:c>
      <x:c r="O569" s="20" t="n">
        <x:v>0.8</x:v>
      </x:c>
      <x:c r="P569" s="20" t="n">
        <x:v>0.5</x:v>
      </x:c>
      <x:c r="Q569" s="2" t="n">
        <x:v>36</x:v>
      </x:c>
      <x:c r="R569" s="2" t="str">
        <x:v>ISFP</x:v>
      </x:c>
      <x:c r="S569" s="2" t="str">
        <x:v>西北</x:v>
      </x:c>
      <x:c r="T569" s="2" t="str">
        <x:v>个体经营或自由职业</x:v>
      </x:c>
    </x:row>
    <x:row r="570" ht="24" customHeight="1">
      <x:c r="A570" s="2" t="str">
        <x:v>D040_T02_C080_G050</x:v>
      </x:c>
      <x:c r="B570" s="2" t="str">
        <x:v>A0027</x:v>
      </x:c>
      <x:c r="C570" s="2" t="str">
        <x:v>inside</x:v>
      </x:c>
      <x:c r="D570" s="2" t="n">
        <x:v>2</x:v>
      </x:c>
      <x:c r="E570" s="2" t="n">
        <x:v>1</x:v>
      </x:c>
      <x:c r="F570" s="2" t="n">
        <x:v>2</x:v>
      </x:c>
      <x:c r="G570" s="2" t="str">
        <x:v>observed_post_release</x:v>
      </x:c>
      <x:c r="H570" s="2" t="n">
        <x:f>IF(AND(ISNUMBER(F570),F570&gt;=D570),1,0)</x:f>
        <x:v>1</x:v>
      </x:c>
      <x:c r="I570" s="2" t="n">
        <x:f>IF(AND(ISNUMBER(F570),F570&gt;D570),1,0)</x:f>
        <x:v>0</x:v>
      </x:c>
      <x:c r="J570" s="2" t="n">
        <x:f>IF(H570=1,F570-D570,"")</x:f>
        <x:v>0</x:v>
      </x:c>
      <x:c r="K570" s="2" t="n">
        <x:f>IF(H570=1,F570-E570,"")</x:f>
        <x:v>1</x:v>
      </x:c>
      <x:c r="L570" s="2" t="n">
        <x:v>9</x:v>
      </x:c>
      <x:c r="M570" s="2" t="n">
        <x:v>2</x:v>
      </x:c>
      <x:c r="N570" s="20" t="n">
        <x:v>0.4</x:v>
      </x:c>
      <x:c r="O570" s="20" t="n">
        <x:v>0.8</x:v>
      </x:c>
      <x:c r="P570" s="20" t="n">
        <x:v>0.5</x:v>
      </x:c>
      <x:c r="Q570" s="2" t="n">
        <x:v>25</x:v>
      </x:c>
      <x:c r="R570" s="2" t="str">
        <x:v>ESFP</x:v>
      </x:c>
      <x:c r="S570" s="2" t="str">
        <x:v>西北</x:v>
      </x:c>
      <x:c r="T570" s="2" t="str">
        <x:v>暂未就业或家庭照料</x:v>
      </x:c>
    </x:row>
    <x:row r="571" ht="24" customHeight="1">
      <x:c r="A571" s="2" t="str">
        <x:v>D040_T02_C080_G050</x:v>
      </x:c>
      <x:c r="B571" s="2" t="str">
        <x:v>A0029</x:v>
      </x:c>
      <x:c r="C571" s="2" t="str">
        <x:v>inside</x:v>
      </x:c>
      <x:c r="D571" s="2" t="n">
        <x:v>2</x:v>
      </x:c>
      <x:c r="E571" s="2" t="n">
        <x:v>1</x:v>
      </x:c>
      <x:c r="F571" s="2" t="n">
        <x:v>2</x:v>
      </x:c>
      <x:c r="G571" s="2" t="str">
        <x:v>observed_post_release</x:v>
      </x:c>
      <x:c r="H571" s="2" t="n">
        <x:f>IF(AND(ISNUMBER(F571),F571&gt;=D571),1,0)</x:f>
        <x:v>1</x:v>
      </x:c>
      <x:c r="I571" s="2" t="n">
        <x:f>IF(AND(ISNUMBER(F571),F571&gt;D571),1,0)</x:f>
        <x:v>0</x:v>
      </x:c>
      <x:c r="J571" s="2" t="n">
        <x:f>IF(H571=1,F571-D571,"")</x:f>
        <x:v>0</x:v>
      </x:c>
      <x:c r="K571" s="2" t="n">
        <x:f>IF(H571=1,F571-E571,"")</x:f>
        <x:v>1</x:v>
      </x:c>
      <x:c r="L571" s="2" t="n">
        <x:v>9</x:v>
      </x:c>
      <x:c r="M571" s="2" t="n">
        <x:v>2</x:v>
      </x:c>
      <x:c r="N571" s="20" t="n">
        <x:v>0.4</x:v>
      </x:c>
      <x:c r="O571" s="20" t="n">
        <x:v>0.8</x:v>
      </x:c>
      <x:c r="P571" s="20" t="n">
        <x:v>0.5</x:v>
      </x:c>
      <x:c r="Q571" s="2" t="n">
        <x:v>69</x:v>
      </x:c>
      <x:c r="R571" s="2" t="str">
        <x:v>ENTP</x:v>
      </x:c>
      <x:c r="S571" s="2" t="str">
        <x:v>华东</x:v>
      </x:c>
      <x:c r="T571" s="2" t="str">
        <x:v>退休人员</x:v>
      </x:c>
    </x:row>
    <x:row r="572" ht="24" customHeight="1">
      <x:c r="A572" s="2" t="str">
        <x:v>D040_T02_C080_G050</x:v>
      </x:c>
      <x:c r="B572" s="2" t="str">
        <x:v>A0030</x:v>
      </x:c>
      <x:c r="C572" s="2" t="str">
        <x:v>inside</x:v>
      </x:c>
      <x:c r="D572" s="2" t="n">
        <x:v>2</x:v>
      </x:c>
      <x:c r="E572" s="2" t="n">
        <x:v>1</x:v>
      </x:c>
      <x:c r="F572" s="2" t="n">
        <x:v>3</x:v>
      </x:c>
      <x:c r="G572" s="2" t="str">
        <x:v>observed_post_release</x:v>
      </x:c>
      <x:c r="H572" s="2" t="n">
        <x:f>IF(AND(ISNUMBER(F572),F572&gt;=D572),1,0)</x:f>
        <x:v>1</x:v>
      </x:c>
      <x:c r="I572" s="2" t="n">
        <x:f>IF(AND(ISNUMBER(F572),F572&gt;D572),1,0)</x:f>
        <x:v>1</x:v>
      </x:c>
      <x:c r="J572" s="2" t="n">
        <x:f>IF(H572=1,F572-D572,"")</x:f>
        <x:v>1</x:v>
      </x:c>
      <x:c r="K572" s="2" t="n">
        <x:f>IF(H572=1,F572-E572,"")</x:f>
        <x:v>2</x:v>
      </x:c>
      <x:c r="L572" s="2" t="n">
        <x:v>9</x:v>
      </x:c>
      <x:c r="M572" s="2" t="n">
        <x:v>2</x:v>
      </x:c>
      <x:c r="N572" s="20" t="n">
        <x:v>0.4</x:v>
      </x:c>
      <x:c r="O572" s="20" t="n">
        <x:v>0.8</x:v>
      </x:c>
      <x:c r="P572" s="20" t="n">
        <x:v>0.5</x:v>
      </x:c>
      <x:c r="Q572" s="2" t="n">
        <x:v>23</x:v>
      </x:c>
      <x:c r="R572" s="2" t="str">
        <x:v>ISFP</x:v>
      </x:c>
      <x:c r="S572" s="2" t="str">
        <x:v>华东</x:v>
      </x:c>
      <x:c r="T572" s="2" t="str">
        <x:v>在校学生</x:v>
      </x:c>
    </x:row>
    <x:row r="573" ht="24" customHeight="1">
      <x:c r="A573" s="2" t="str">
        <x:v>D040_T02_C080_G050</x:v>
      </x:c>
      <x:c r="B573" s="2" t="str">
        <x:v>A0031</x:v>
      </x:c>
      <x:c r="C573" s="2" t="str">
        <x:v>inside</x:v>
      </x:c>
      <x:c r="D573" s="2" t="n">
        <x:v>2</x:v>
      </x:c>
      <x:c r="E573" s="2" t="n">
        <x:v>1</x:v>
      </x:c>
      <x:c r="F573" s="2" t="n">
        <x:v>2</x:v>
      </x:c>
      <x:c r="G573" s="2" t="str">
        <x:v>observed_post_release</x:v>
      </x:c>
      <x:c r="H573" s="2" t="n">
        <x:f>IF(AND(ISNUMBER(F573),F573&gt;=D573),1,0)</x:f>
        <x:v>1</x:v>
      </x:c>
      <x:c r="I573" s="2" t="n">
        <x:f>IF(AND(ISNUMBER(F573),F573&gt;D573),1,0)</x:f>
        <x:v>0</x:v>
      </x:c>
      <x:c r="J573" s="2" t="n">
        <x:f>IF(H573=1,F573-D573,"")</x:f>
        <x:v>0</x:v>
      </x:c>
      <x:c r="K573" s="2" t="n">
        <x:f>IF(H573=1,F573-E573,"")</x:f>
        <x:v>1</x:v>
      </x:c>
      <x:c r="L573" s="2" t="n">
        <x:v>9</x:v>
      </x:c>
      <x:c r="M573" s="2" t="n">
        <x:v>2</x:v>
      </x:c>
      <x:c r="N573" s="20" t="n">
        <x:v>0.4</x:v>
      </x:c>
      <x:c r="O573" s="20" t="n">
        <x:v>0.8</x:v>
      </x:c>
      <x:c r="P573" s="20" t="n">
        <x:v>0.5</x:v>
      </x:c>
      <x:c r="Q573" s="2" t="n">
        <x:v>34</x:v>
      </x:c>
      <x:c r="R573" s="2" t="str">
        <x:v>ENTJ</x:v>
      </x:c>
      <x:c r="S573" s="2" t="str">
        <x:v>西南</x:v>
      </x:c>
      <x:c r="T573" s="2" t="str">
        <x:v>个体经营或自由职业</x:v>
      </x:c>
    </x:row>
    <x:row r="574" ht="24" customHeight="1">
      <x:c r="A574" s="2" t="str">
        <x:v>D040_T02_C080_G050</x:v>
      </x:c>
      <x:c r="B574" s="2" t="str">
        <x:v>A0032</x:v>
      </x:c>
      <x:c r="C574" s="2" t="str">
        <x:v>inside</x:v>
      </x:c>
      <x:c r="D574" s="2" t="n">
        <x:v>2</x:v>
      </x:c>
      <x:c r="E574" s="2" t="n">
        <x:v>1</x:v>
      </x:c>
      <x:c r="F574" s="2" t="n">
        <x:v>2</x:v>
      </x:c>
      <x:c r="G574" s="2" t="str">
        <x:v>observed_post_release</x:v>
      </x:c>
      <x:c r="H574" s="2" t="n">
        <x:f>IF(AND(ISNUMBER(F574),F574&gt;=D574),1,0)</x:f>
        <x:v>1</x:v>
      </x:c>
      <x:c r="I574" s="2" t="n">
        <x:f>IF(AND(ISNUMBER(F574),F574&gt;D574),1,0)</x:f>
        <x:v>0</x:v>
      </x:c>
      <x:c r="J574" s="2" t="n">
        <x:f>IF(H574=1,F574-D574,"")</x:f>
        <x:v>0</x:v>
      </x:c>
      <x:c r="K574" s="2" t="n">
        <x:f>IF(H574=1,F574-E574,"")</x:f>
        <x:v>1</x:v>
      </x:c>
      <x:c r="L574" s="2" t="n">
        <x:v>9</x:v>
      </x:c>
      <x:c r="M574" s="2" t="n">
        <x:v>2</x:v>
      </x:c>
      <x:c r="N574" s="20" t="n">
        <x:v>0.4</x:v>
      </x:c>
      <x:c r="O574" s="20" t="n">
        <x:v>0.8</x:v>
      </x:c>
      <x:c r="P574" s="20" t="n">
        <x:v>0.5</x:v>
      </x:c>
      <x:c r="Q574" s="2" t="n">
        <x:v>53</x:v>
      </x:c>
      <x:c r="R574" s="2" t="str">
        <x:v>INTP</x:v>
      </x:c>
      <x:c r="S574" s="2" t="str">
        <x:v>华北</x:v>
      </x:c>
      <x:c r="T574" s="2" t="str">
        <x:v>个体经营或自由职业</x:v>
      </x:c>
    </x:row>
    <x:row r="575" ht="24" customHeight="1">
      <x:c r="A575" s="2" t="str">
        <x:v>D040_T02_C080_G050</x:v>
      </x:c>
      <x:c r="B575" s="2" t="str">
        <x:v>A0033</x:v>
      </x:c>
      <x:c r="C575" s="2" t="str">
        <x:v>inside</x:v>
      </x:c>
      <x:c r="D575" s="2" t="n">
        <x:v>2</x:v>
      </x:c>
      <x:c r="E575" s="2" t="n">
        <x:v>1</x:v>
      </x:c>
      <x:c r="F575" s="2" t="n">
        <x:v>2</x:v>
      </x:c>
      <x:c r="G575" s="2" t="str">
        <x:v>observed_post_release</x:v>
      </x:c>
      <x:c r="H575" s="2" t="n">
        <x:f>IF(AND(ISNUMBER(F575),F575&gt;=D575),1,0)</x:f>
        <x:v>1</x:v>
      </x:c>
      <x:c r="I575" s="2" t="n">
        <x:f>IF(AND(ISNUMBER(F575),F575&gt;D575),1,0)</x:f>
        <x:v>0</x:v>
      </x:c>
      <x:c r="J575" s="2" t="n">
        <x:f>IF(H575=1,F575-D575,"")</x:f>
        <x:v>0</x:v>
      </x:c>
      <x:c r="K575" s="2" t="n">
        <x:f>IF(H575=1,F575-E575,"")</x:f>
        <x:v>1</x:v>
      </x:c>
      <x:c r="L575" s="2" t="n">
        <x:v>9</x:v>
      </x:c>
      <x:c r="M575" s="2" t="n">
        <x:v>2</x:v>
      </x:c>
      <x:c r="N575" s="20" t="n">
        <x:v>0.4</x:v>
      </x:c>
      <x:c r="O575" s="20" t="n">
        <x:v>0.8</x:v>
      </x:c>
      <x:c r="P575" s="20" t="n">
        <x:v>0.5</x:v>
      </x:c>
      <x:c r="Q575" s="2" t="n">
        <x:v>55</x:v>
      </x:c>
      <x:c r="R575" s="2" t="str">
        <x:v>ENFP</x:v>
      </x:c>
      <x:c r="S575" s="2" t="str">
        <x:v>华南</x:v>
      </x:c>
      <x:c r="T575" s="2" t="str">
        <x:v>个体经营或自由职业</x:v>
      </x:c>
    </x:row>
    <x:row r="576" ht="24" customHeight="1">
      <x:c r="A576" s="2" t="str">
        <x:v>D040_T02_C080_G050</x:v>
      </x:c>
      <x:c r="B576" s="2" t="str">
        <x:v>A0035</x:v>
      </x:c>
      <x:c r="C576" s="2" t="str">
        <x:v>inside</x:v>
      </x:c>
      <x:c r="D576" s="2" t="n">
        <x:v>2</x:v>
      </x:c>
      <x:c r="E576" s="2" t="n">
        <x:v>1</x:v>
      </x:c>
      <x:c r="F576" s="2" t="n">
        <x:v>2</x:v>
      </x:c>
      <x:c r="G576" s="2" t="str">
        <x:v>observed_post_release</x:v>
      </x:c>
      <x:c r="H576" s="2" t="n">
        <x:f>IF(AND(ISNUMBER(F576),F576&gt;=D576),1,0)</x:f>
        <x:v>1</x:v>
      </x:c>
      <x:c r="I576" s="2" t="n">
        <x:f>IF(AND(ISNUMBER(F576),F576&gt;D576),1,0)</x:f>
        <x:v>0</x:v>
      </x:c>
      <x:c r="J576" s="2" t="n">
        <x:f>IF(H576=1,F576-D576,"")</x:f>
        <x:v>0</x:v>
      </x:c>
      <x:c r="K576" s="2" t="n">
        <x:f>IF(H576=1,F576-E576,"")</x:f>
        <x:v>1</x:v>
      </x:c>
      <x:c r="L576" s="2" t="n">
        <x:v>9</x:v>
      </x:c>
      <x:c r="M576" s="2" t="n">
        <x:v>2</x:v>
      </x:c>
      <x:c r="N576" s="20" t="n">
        <x:v>0.4</x:v>
      </x:c>
      <x:c r="O576" s="20" t="n">
        <x:v>0.8</x:v>
      </x:c>
      <x:c r="P576" s="20" t="n">
        <x:v>0.5</x:v>
      </x:c>
      <x:c r="Q576" s="2" t="n">
        <x:v>42</x:v>
      </x:c>
      <x:c r="R576" s="2" t="str">
        <x:v>ISFJ</x:v>
      </x:c>
      <x:c r="S576" s="2" t="str">
        <x:v>华南</x:v>
      </x:c>
      <x:c r="T576" s="2" t="str">
        <x:v>专业技术岗位</x:v>
      </x:c>
    </x:row>
    <x:row r="577" ht="24" customHeight="1">
      <x:c r="A577" s="2" t="str">
        <x:v>D040_T02_C080_G050</x:v>
      </x:c>
      <x:c r="B577" s="2" t="str">
        <x:v>A0036</x:v>
      </x:c>
      <x:c r="C577" s="2" t="str">
        <x:v>inside</x:v>
      </x:c>
      <x:c r="D577" s="2" t="n">
        <x:v>2</x:v>
      </x:c>
      <x:c r="E577" s="2" t="n">
        <x:v>1</x:v>
      </x:c>
      <x:c r="F577" s="2" t="n">
        <x:v>2</x:v>
      </x:c>
      <x:c r="G577" s="2" t="str">
        <x:v>observed_post_release</x:v>
      </x:c>
      <x:c r="H577" s="2" t="n">
        <x:f>IF(AND(ISNUMBER(F577),F577&gt;=D577),1,0)</x:f>
        <x:v>1</x:v>
      </x:c>
      <x:c r="I577" s="2" t="n">
        <x:f>IF(AND(ISNUMBER(F577),F577&gt;D577),1,0)</x:f>
        <x:v>0</x:v>
      </x:c>
      <x:c r="J577" s="2" t="n">
        <x:f>IF(H577=1,F577-D577,"")</x:f>
        <x:v>0</x:v>
      </x:c>
      <x:c r="K577" s="2" t="n">
        <x:f>IF(H577=1,F577-E577,"")</x:f>
        <x:v>1</x:v>
      </x:c>
      <x:c r="L577" s="2" t="n">
        <x:v>9</x:v>
      </x:c>
      <x:c r="M577" s="2" t="n">
        <x:v>2</x:v>
      </x:c>
      <x:c r="N577" s="20" t="n">
        <x:v>0.4</x:v>
      </x:c>
      <x:c r="O577" s="20" t="n">
        <x:v>0.8</x:v>
      </x:c>
      <x:c r="P577" s="20" t="n">
        <x:v>0.5</x:v>
      </x:c>
      <x:c r="Q577" s="2" t="n">
        <x:v>43</x:v>
      </x:c>
      <x:c r="R577" s="2" t="str">
        <x:v>ISFJ</x:v>
      </x:c>
      <x:c r="S577" s="2" t="str">
        <x:v>华东</x:v>
      </x:c>
      <x:c r="T577" s="2" t="str">
        <x:v>生产运输或体力岗位</x:v>
      </x:c>
    </x:row>
    <x:row r="578" ht="24" customHeight="1">
      <x:c r="A578" s="2" t="str">
        <x:v>D040_T02_C080_G050</x:v>
      </x:c>
      <x:c r="B578" s="2" t="str">
        <x:v>A0037</x:v>
      </x:c>
      <x:c r="C578" s="2" t="str">
        <x:v>inside</x:v>
      </x:c>
      <x:c r="D578" s="2" t="n">
        <x:v>2</x:v>
      </x:c>
      <x:c r="E578" s="2" t="n">
        <x:v>1</x:v>
      </x:c>
      <x:c r="F578" s="2" t="n">
        <x:v>2</x:v>
      </x:c>
      <x:c r="G578" s="2" t="str">
        <x:v>observed_post_release</x:v>
      </x:c>
      <x:c r="H578" s="2" t="n">
        <x:f>IF(AND(ISNUMBER(F578),F578&gt;=D578),1,0)</x:f>
        <x:v>1</x:v>
      </x:c>
      <x:c r="I578" s="2" t="n">
        <x:f>IF(AND(ISNUMBER(F578),F578&gt;D578),1,0)</x:f>
        <x:v>0</x:v>
      </x:c>
      <x:c r="J578" s="2" t="n">
        <x:f>IF(H578=1,F578-D578,"")</x:f>
        <x:v>0</x:v>
      </x:c>
      <x:c r="K578" s="2" t="n">
        <x:f>IF(H578=1,F578-E578,"")</x:f>
        <x:v>1</x:v>
      </x:c>
      <x:c r="L578" s="2" t="n">
        <x:v>9</x:v>
      </x:c>
      <x:c r="M578" s="2" t="n">
        <x:v>2</x:v>
      </x:c>
      <x:c r="N578" s="20" t="n">
        <x:v>0.4</x:v>
      </x:c>
      <x:c r="O578" s="20" t="n">
        <x:v>0.8</x:v>
      </x:c>
      <x:c r="P578" s="20" t="n">
        <x:v>0.5</x:v>
      </x:c>
      <x:c r="Q578" s="2" t="n">
        <x:v>24</x:v>
      </x:c>
      <x:c r="R578" s="2" t="str">
        <x:v>ENTP</x:v>
      </x:c>
      <x:c r="S578" s="2" t="str">
        <x:v>华南</x:v>
      </x:c>
      <x:c r="T578" s="2" t="str">
        <x:v>在校学生</x:v>
      </x:c>
    </x:row>
    <x:row r="579" ht="24" customHeight="1">
      <x:c r="A579" s="2" t="str">
        <x:v>D040_T02_C080_G050</x:v>
      </x:c>
      <x:c r="B579" s="2" t="str">
        <x:v>A0038</x:v>
      </x:c>
      <x:c r="C579" s="2" t="str">
        <x:v>inside</x:v>
      </x:c>
      <x:c r="D579" s="2" t="n">
        <x:v>2</x:v>
      </x:c>
      <x:c r="E579" s="2" t="n">
        <x:v>1</x:v>
      </x:c>
      <x:c r="F579" s="2" t="n">
        <x:v>5</x:v>
      </x:c>
      <x:c r="G579" s="2" t="str">
        <x:v>observed_post_release</x:v>
      </x:c>
      <x:c r="H579" s="2" t="n">
        <x:f>IF(AND(ISNUMBER(F579),F579&gt;=D579),1,0)</x:f>
        <x:v>1</x:v>
      </x:c>
      <x:c r="I579" s="2" t="n">
        <x:f>IF(AND(ISNUMBER(F579),F579&gt;D579),1,0)</x:f>
        <x:v>1</x:v>
      </x:c>
      <x:c r="J579" s="2" t="n">
        <x:f>IF(H579=1,F579-D579,"")</x:f>
        <x:v>3</x:v>
      </x:c>
      <x:c r="K579" s="2" t="n">
        <x:f>IF(H579=1,F579-E579,"")</x:f>
        <x:v>4</x:v>
      </x:c>
      <x:c r="L579" s="2" t="n">
        <x:v>9</x:v>
      </x:c>
      <x:c r="M579" s="2" t="n">
        <x:v>2</x:v>
      </x:c>
      <x:c r="N579" s="20" t="n">
        <x:v>0.4</x:v>
      </x:c>
      <x:c r="O579" s="20" t="n">
        <x:v>0.8</x:v>
      </x:c>
      <x:c r="P579" s="20" t="n">
        <x:v>0.5</x:v>
      </x:c>
      <x:c r="Q579" s="2" t="n">
        <x:v>46</x:v>
      </x:c>
      <x:c r="R579" s="2" t="str">
        <x:v>ISTP</x:v>
      </x:c>
      <x:c r="S579" s="2" t="str">
        <x:v>华东</x:v>
      </x:c>
      <x:c r="T579" s="2" t="str">
        <x:v>行政或办公室岗位</x:v>
      </x:c>
    </x:row>
    <x:row r="580" ht="24" customHeight="1">
      <x:c r="A580" s="2" t="str">
        <x:v>D040_T02_C080_G050</x:v>
      </x:c>
      <x:c r="B580" s="2" t="str">
        <x:v>A0040</x:v>
      </x:c>
      <x:c r="C580" s="2" t="str">
        <x:v>inside</x:v>
      </x:c>
      <x:c r="D580" s="2" t="n">
        <x:v>2</x:v>
      </x:c>
      <x:c r="E580" s="2" t="n">
        <x:v>1</x:v>
      </x:c>
      <x:c r="F580" s="2" t="n">
        <x:v>3</x:v>
      </x:c>
      <x:c r="G580" s="2" t="str">
        <x:v>observed_post_release</x:v>
      </x:c>
      <x:c r="H580" s="2" t="n">
        <x:f>IF(AND(ISNUMBER(F580),F580&gt;=D580),1,0)</x:f>
        <x:v>1</x:v>
      </x:c>
      <x:c r="I580" s="2" t="n">
        <x:f>IF(AND(ISNUMBER(F580),F580&gt;D580),1,0)</x:f>
        <x:v>1</x:v>
      </x:c>
      <x:c r="J580" s="2" t="n">
        <x:f>IF(H580=1,F580-D580,"")</x:f>
        <x:v>1</x:v>
      </x:c>
      <x:c r="K580" s="2" t="n">
        <x:f>IF(H580=1,F580-E580,"")</x:f>
        <x:v>2</x:v>
      </x:c>
      <x:c r="L580" s="2" t="n">
        <x:v>9</x:v>
      </x:c>
      <x:c r="M580" s="2" t="n">
        <x:v>2</x:v>
      </x:c>
      <x:c r="N580" s="20" t="n">
        <x:v>0.4</x:v>
      </x:c>
      <x:c r="O580" s="20" t="n">
        <x:v>0.8</x:v>
      </x:c>
      <x:c r="P580" s="20" t="n">
        <x:v>0.5</x:v>
      </x:c>
      <x:c r="Q580" s="2" t="n">
        <x:v>48</x:v>
      </x:c>
      <x:c r="R580" s="2" t="str">
        <x:v>INFP</x:v>
      </x:c>
      <x:c r="S580" s="2" t="str">
        <x:v>西北</x:v>
      </x:c>
      <x:c r="T580" s="2" t="str">
        <x:v>个体经营或自由职业</x:v>
      </x:c>
    </x:row>
    <x:row r="581" ht="24" customHeight="1">
      <x:c r="A581" s="2" t="str">
        <x:v>D040_T02_C080_G050</x:v>
      </x:c>
      <x:c r="B581" s="2" t="str">
        <x:v>A0043</x:v>
      </x:c>
      <x:c r="C581" s="2" t="str">
        <x:v>inside</x:v>
      </x:c>
      <x:c r="D581" s="2" t="n">
        <x:v>2</x:v>
      </x:c>
      <x:c r="E581" s="2" t="n">
        <x:v>1</x:v>
      </x:c>
      <x:c r="F581" s="2" t="n">
        <x:v>2</x:v>
      </x:c>
      <x:c r="G581" s="2" t="str">
        <x:v>observed_post_release</x:v>
      </x:c>
      <x:c r="H581" s="2" t="n">
        <x:f>IF(AND(ISNUMBER(F581),F581&gt;=D581),1,0)</x:f>
        <x:v>1</x:v>
      </x:c>
      <x:c r="I581" s="2" t="n">
        <x:f>IF(AND(ISNUMBER(F581),F581&gt;D581),1,0)</x:f>
        <x:v>0</x:v>
      </x:c>
      <x:c r="J581" s="2" t="n">
        <x:f>IF(H581=1,F581-D581,"")</x:f>
        <x:v>0</x:v>
      </x:c>
      <x:c r="K581" s="2" t="n">
        <x:f>IF(H581=1,F581-E581,"")</x:f>
        <x:v>1</x:v>
      </x:c>
      <x:c r="L581" s="2" t="n">
        <x:v>9</x:v>
      </x:c>
      <x:c r="M581" s="2" t="n">
        <x:v>2</x:v>
      </x:c>
      <x:c r="N581" s="20" t="n">
        <x:v>0.4</x:v>
      </x:c>
      <x:c r="O581" s="20" t="n">
        <x:v>0.8</x:v>
      </x:c>
      <x:c r="P581" s="20" t="n">
        <x:v>0.5</x:v>
      </x:c>
      <x:c r="Q581" s="2" t="n">
        <x:v>35</x:v>
      </x:c>
      <x:c r="R581" s="2" t="str">
        <x:v>ESFJ</x:v>
      </x:c>
      <x:c r="S581" s="2" t="str">
        <x:v>西北</x:v>
      </x:c>
      <x:c r="T581" s="2" t="str">
        <x:v>暂未就业或家庭照料</x:v>
      </x:c>
    </x:row>
    <x:row r="582" ht="24" customHeight="1">
      <x:c r="A582" s="2" t="str">
        <x:v>D040_T02_C080_G050</x:v>
      </x:c>
      <x:c r="B582" s="2" t="str">
        <x:v>A0071</x:v>
      </x:c>
      <x:c r="C582" s="2" t="str">
        <x:v>inside</x:v>
      </x:c>
      <x:c r="D582" s="2" t="n">
        <x:v>2</x:v>
      </x:c>
      <x:c r="E582" s="2" t="n">
        <x:v>1</x:v>
      </x:c>
      <x:c r="F582" s="2" t="n">
        <x:v>3</x:v>
      </x:c>
      <x:c r="G582" s="2" t="str">
        <x:v>observed_post_release</x:v>
      </x:c>
      <x:c r="H582" s="2" t="n">
        <x:f>IF(AND(ISNUMBER(F582),F582&gt;=D582),1,0)</x:f>
        <x:v>1</x:v>
      </x:c>
      <x:c r="I582" s="2" t="n">
        <x:f>IF(AND(ISNUMBER(F582),F582&gt;D582),1,0)</x:f>
        <x:v>1</x:v>
      </x:c>
      <x:c r="J582" s="2" t="n">
        <x:f>IF(H582=1,F582-D582,"")</x:f>
        <x:v>1</x:v>
      </x:c>
      <x:c r="K582" s="2" t="n">
        <x:f>IF(H582=1,F582-E582,"")</x:f>
        <x:v>2</x:v>
      </x:c>
      <x:c r="L582" s="2" t="n">
        <x:v>9</x:v>
      </x:c>
      <x:c r="M582" s="2" t="n">
        <x:v>2</x:v>
      </x:c>
      <x:c r="N582" s="20" t="n">
        <x:v>0.4</x:v>
      </x:c>
      <x:c r="O582" s="20" t="n">
        <x:v>0.8</x:v>
      </x:c>
      <x:c r="P582" s="20" t="n">
        <x:v>0.5</x:v>
      </x:c>
      <x:c r="Q582" s="2" t="n">
        <x:v>33</x:v>
      </x:c>
      <x:c r="R582" s="2" t="str">
        <x:v>ISTJ</x:v>
      </x:c>
      <x:c r="S582" s="2" t="str">
        <x:v>华东</x:v>
      </x:c>
      <x:c r="T582" s="2" t="str">
        <x:v>商业服务岗位</x:v>
      </x:c>
    </x:row>
    <x:row r="583" ht="24" customHeight="1">
      <x:c r="A583" s="2" t="str">
        <x:v>D040_T02_C080_G050</x:v>
      </x:c>
      <x:c r="B583" s="2" t="str">
        <x:v>A0090</x:v>
      </x:c>
      <x:c r="C583" s="2" t="str">
        <x:v>inside</x:v>
      </x:c>
      <x:c r="D583" s="2" t="n">
        <x:v>2</x:v>
      </x:c>
      <x:c r="E583" s="2" t="n">
        <x:v>1</x:v>
      </x:c>
      <x:c r="F583" s="2" t="n">
        <x:v>3</x:v>
      </x:c>
      <x:c r="G583" s="2" t="str">
        <x:v>observed_post_release</x:v>
      </x:c>
      <x:c r="H583" s="2" t="n">
        <x:f>IF(AND(ISNUMBER(F583),F583&gt;=D583),1,0)</x:f>
        <x:v>1</x:v>
      </x:c>
      <x:c r="I583" s="2" t="n">
        <x:f>IF(AND(ISNUMBER(F583),F583&gt;D583),1,0)</x:f>
        <x:v>1</x:v>
      </x:c>
      <x:c r="J583" s="2" t="n">
        <x:f>IF(H583=1,F583-D583,"")</x:f>
        <x:v>1</x:v>
      </x:c>
      <x:c r="K583" s="2" t="n">
        <x:f>IF(H583=1,F583-E583,"")</x:f>
        <x:v>2</x:v>
      </x:c>
      <x:c r="L583" s="2" t="n">
        <x:v>9</x:v>
      </x:c>
      <x:c r="M583" s="2" t="n">
        <x:v>3</x:v>
      </x:c>
      <x:c r="N583" s="20" t="n">
        <x:v>0.4</x:v>
      </x:c>
      <x:c r="O583" s="20" t="n">
        <x:v>0.8</x:v>
      </x:c>
      <x:c r="P583" s="20" t="n">
        <x:v>0.5</x:v>
      </x:c>
      <x:c r="Q583" s="2" t="n">
        <x:v>46</x:v>
      </x:c>
      <x:c r="R583" s="2" t="str">
        <x:v>ENFJ</x:v>
      </x:c>
      <x:c r="S583" s="2" t="str">
        <x:v>西北</x:v>
      </x:c>
      <x:c r="T583" s="2" t="str">
        <x:v>个体经营或自由职业</x:v>
      </x:c>
    </x:row>
    <x:row r="584" ht="24" customHeight="1">
      <x:c r="A584" s="2" t="str">
        <x:v>D040_T02_C080_G050</x:v>
      </x:c>
      <x:c r="B584" s="2" t="str">
        <x:v>A0189</x:v>
      </x:c>
      <x:c r="C584" s="2" t="str">
        <x:v>inside</x:v>
      </x:c>
      <x:c r="D584" s="2" t="n">
        <x:v>2</x:v>
      </x:c>
      <x:c r="E584" s="2" t="n">
        <x:v>1</x:v>
      </x:c>
      <x:c r="F584" s="2" t="n">
        <x:v>6</x:v>
      </x:c>
      <x:c r="G584" s="2" t="str">
        <x:v>observed_post_release</x:v>
      </x:c>
      <x:c r="H584" s="2" t="n">
        <x:f>IF(AND(ISNUMBER(F584),F584&gt;=D584),1,0)</x:f>
        <x:v>1</x:v>
      </x:c>
      <x:c r="I584" s="2" t="n">
        <x:f>IF(AND(ISNUMBER(F584),F584&gt;D584),1,0)</x:f>
        <x:v>1</x:v>
      </x:c>
      <x:c r="J584" s="2" t="n">
        <x:f>IF(H584=1,F584-D584,"")</x:f>
        <x:v>4</x:v>
      </x:c>
      <x:c r="K584" s="2" t="n">
        <x:f>IF(H584=1,F584-E584,"")</x:f>
        <x:v>5</x:v>
      </x:c>
      <x:c r="L584" s="2" t="n">
        <x:v>9</x:v>
      </x:c>
      <x:c r="M584" s="2" t="n">
        <x:v>3</x:v>
      </x:c>
      <x:c r="N584" s="20" t="n">
        <x:v>0.4</x:v>
      </x:c>
      <x:c r="O584" s="20" t="n">
        <x:v>0.8</x:v>
      </x:c>
      <x:c r="P584" s="20" t="n">
        <x:v>0.5</x:v>
      </x:c>
      <x:c r="Q584" s="2" t="n">
        <x:v>45</x:v>
      </x:c>
      <x:c r="R584" s="2" t="str">
        <x:v>ISFJ</x:v>
      </x:c>
      <x:c r="S584" s="2" t="str">
        <x:v>西北</x:v>
      </x:c>
      <x:c r="T584" s="2" t="str">
        <x:v>生产运输或体力岗位</x:v>
      </x:c>
    </x:row>
    <x:row r="585" ht="24" customHeight="1">
      <x:c r="A585" s="2" t="str">
        <x:v>D040_T02_C080_G050</x:v>
      </x:c>
      <x:c r="B585" s="2" t="str">
        <x:v>A0206</x:v>
      </x:c>
      <x:c r="C585" s="2" t="str">
        <x:v>inside</x:v>
      </x:c>
      <x:c r="D585" s="2" t="n">
        <x:v>2</x:v>
      </x:c>
      <x:c r="E585" s="2" t="n">
        <x:v>1</x:v>
      </x:c>
      <x:c r="F585" s="2" t="n">
        <x:v>2</x:v>
      </x:c>
      <x:c r="G585" s="2" t="str">
        <x:v>observed_post_release</x:v>
      </x:c>
      <x:c r="H585" s="2" t="n">
        <x:f>IF(AND(ISNUMBER(F585),F585&gt;=D585),1,0)</x:f>
        <x:v>1</x:v>
      </x:c>
      <x:c r="I585" s="2" t="n">
        <x:f>IF(AND(ISNUMBER(F585),F585&gt;D585),1,0)</x:f>
        <x:v>0</x:v>
      </x:c>
      <x:c r="J585" s="2" t="n">
        <x:f>IF(H585=1,F585-D585,"")</x:f>
        <x:v>0</x:v>
      </x:c>
      <x:c r="K585" s="2" t="n">
        <x:f>IF(H585=1,F585-E585,"")</x:f>
        <x:v>1</x:v>
      </x:c>
      <x:c r="L585" s="2" t="n">
        <x:v>9</x:v>
      </x:c>
      <x:c r="M585" s="2" t="n">
        <x:v>2</x:v>
      </x:c>
      <x:c r="N585" s="20" t="n">
        <x:v>0.4</x:v>
      </x:c>
      <x:c r="O585" s="20" t="n">
        <x:v>0.8</x:v>
      </x:c>
      <x:c r="P585" s="20" t="n">
        <x:v>0.5</x:v>
      </x:c>
      <x:c r="Q585" s="2" t="n">
        <x:v>21</x:v>
      </x:c>
      <x:c r="R585" s="2" t="str">
        <x:v>ESTP</x:v>
      </x:c>
      <x:c r="S585" s="2" t="str">
        <x:v>西北</x:v>
      </x:c>
      <x:c r="T585" s="2" t="str">
        <x:v>暂未就业或家庭照料</x:v>
      </x:c>
    </x:row>
    <x:row r="586" ht="24" customHeight="1">
      <x:c r="A586" s="2" t="str">
        <x:v>D040_T02_C080_G075</x:v>
      </x:c>
      <x:c r="B586" s="2" t="str">
        <x:v>A0001</x:v>
      </x:c>
      <x:c r="C586" s="2" t="str">
        <x:v>inside</x:v>
      </x:c>
      <x:c r="D586" s="2" t="n">
        <x:v>2</x:v>
      </x:c>
      <x:c r="E586" s="2" t="n">
        <x:v>1</x:v>
      </x:c>
      <x:c r="F586" s="2" t="n">
        <x:v>2</x:v>
      </x:c>
      <x:c r="G586" s="2" t="str">
        <x:v>observed_post_release</x:v>
      </x:c>
      <x:c r="H586" s="2" t="n">
        <x:f>IF(AND(ISNUMBER(F586),F586&gt;=D586),1,0)</x:f>
        <x:v>1</x:v>
      </x:c>
      <x:c r="I586" s="2" t="n">
        <x:f>IF(AND(ISNUMBER(F586),F586&gt;D586),1,0)</x:f>
        <x:v>0</x:v>
      </x:c>
      <x:c r="J586" s="2" t="n">
        <x:f>IF(H586=1,F586-D586,"")</x:f>
        <x:v>0</x:v>
      </x:c>
      <x:c r="K586" s="2" t="n">
        <x:f>IF(H586=1,F586-E586,"")</x:f>
        <x:v>1</x:v>
      </x:c>
      <x:c r="L586" s="2" t="n">
        <x:v>9</x:v>
      </x:c>
      <x:c r="M586" s="2" t="n">
        <x:v>2</x:v>
      </x:c>
      <x:c r="N586" s="20" t="n">
        <x:v>0.4</x:v>
      </x:c>
      <x:c r="O586" s="20" t="n">
        <x:v>0.8</x:v>
      </x:c>
      <x:c r="P586" s="20" t="n">
        <x:v>0.75</x:v>
      </x:c>
      <x:c r="Q586" s="2" t="n">
        <x:v>22</x:v>
      </x:c>
      <x:c r="R586" s="2" t="str">
        <x:v>ESTJ</x:v>
      </x:c>
      <x:c r="S586" s="2" t="str">
        <x:v>华南</x:v>
      </x:c>
      <x:c r="T586" s="2" t="str">
        <x:v>在校学生</x:v>
      </x:c>
    </x:row>
    <x:row r="587" ht="24" customHeight="1">
      <x:c r="A587" s="2" t="str">
        <x:v>D040_T02_C080_G075</x:v>
      </x:c>
      <x:c r="B587" s="2" t="str">
        <x:v>A0002</x:v>
      </x:c>
      <x:c r="C587" s="2" t="str">
        <x:v>inside</x:v>
      </x:c>
      <x:c r="D587" s="2" t="n">
        <x:v>2</x:v>
      </x:c>
      <x:c r="E587" s="2" t="n">
        <x:v>1</x:v>
      </x:c>
      <x:c r="F587" s="2" t="n">
        <x:v>4</x:v>
      </x:c>
      <x:c r="G587" s="2" t="str">
        <x:v>observed_post_release</x:v>
      </x:c>
      <x:c r="H587" s="2" t="n">
        <x:f>IF(AND(ISNUMBER(F587),F587&gt;=D587),1,0)</x:f>
        <x:v>1</x:v>
      </x:c>
      <x:c r="I587" s="2" t="n">
        <x:f>IF(AND(ISNUMBER(F587),F587&gt;D587),1,0)</x:f>
        <x:v>1</x:v>
      </x:c>
      <x:c r="J587" s="2" t="n">
        <x:f>IF(H587=1,F587-D587,"")</x:f>
        <x:v>2</x:v>
      </x:c>
      <x:c r="K587" s="2" t="n">
        <x:f>IF(H587=1,F587-E587,"")</x:f>
        <x:v>3</x:v>
      </x:c>
      <x:c r="L587" s="2" t="n">
        <x:v>9</x:v>
      </x:c>
      <x:c r="M587" s="2" t="n">
        <x:v>3</x:v>
      </x:c>
      <x:c r="N587" s="20" t="n">
        <x:v>0.4</x:v>
      </x:c>
      <x:c r="O587" s="20" t="n">
        <x:v>0.8</x:v>
      </x:c>
      <x:c r="P587" s="20" t="n">
        <x:v>0.75</x:v>
      </x:c>
      <x:c r="Q587" s="2" t="n">
        <x:v>19</x:v>
      </x:c>
      <x:c r="R587" s="2" t="str">
        <x:v>ESTP</x:v>
      </x:c>
      <x:c r="S587" s="2" t="str">
        <x:v>华南</x:v>
      </x:c>
      <x:c r="T587" s="2" t="str">
        <x:v>商业服务岗位</x:v>
      </x:c>
    </x:row>
    <x:row r="588" ht="24" customHeight="1">
      <x:c r="A588" s="2" t="str">
        <x:v>D040_T02_C080_G075</x:v>
      </x:c>
      <x:c r="B588" s="2" t="str">
        <x:v>A0003</x:v>
      </x:c>
      <x:c r="C588" s="2" t="str">
        <x:v>inside</x:v>
      </x:c>
      <x:c r="D588" s="2" t="n">
        <x:v>2</x:v>
      </x:c>
      <x:c r="E588" s="2" t="n">
        <x:v>1</x:v>
      </x:c>
      <x:c r="F588" s="2" t="n">
        <x:v>2</x:v>
      </x:c>
      <x:c r="G588" s="2" t="str">
        <x:v>observed_post_release</x:v>
      </x:c>
      <x:c r="H588" s="2" t="n">
        <x:f>IF(AND(ISNUMBER(F588),F588&gt;=D588),1,0)</x:f>
        <x:v>1</x:v>
      </x:c>
      <x:c r="I588" s="2" t="n">
        <x:f>IF(AND(ISNUMBER(F588),F588&gt;D588),1,0)</x:f>
        <x:v>0</x:v>
      </x:c>
      <x:c r="J588" s="2" t="n">
        <x:f>IF(H588=1,F588-D588,"")</x:f>
        <x:v>0</x:v>
      </x:c>
      <x:c r="K588" s="2" t="n">
        <x:f>IF(H588=1,F588-E588,"")</x:f>
        <x:v>1</x:v>
      </x:c>
      <x:c r="L588" s="2" t="n">
        <x:v>9</x:v>
      </x:c>
      <x:c r="M588" s="2" t="n">
        <x:v>2</x:v>
      </x:c>
      <x:c r="N588" s="20" t="n">
        <x:v>0.4</x:v>
      </x:c>
      <x:c r="O588" s="20" t="n">
        <x:v>0.8</x:v>
      </x:c>
      <x:c r="P588" s="20" t="n">
        <x:v>0.75</x:v>
      </x:c>
      <x:c r="Q588" s="2" t="n">
        <x:v>20</x:v>
      </x:c>
      <x:c r="R588" s="2" t="str">
        <x:v>ENFP</x:v>
      </x:c>
      <x:c r="S588" s="2" t="str">
        <x:v>华北</x:v>
      </x:c>
      <x:c r="T588" s="2" t="str">
        <x:v>行政或办公室岗位</x:v>
      </x:c>
    </x:row>
    <x:row r="589" ht="24" customHeight="1">
      <x:c r="A589" s="2" t="str">
        <x:v>D040_T02_C080_G075</x:v>
      </x:c>
      <x:c r="B589" s="2" t="str">
        <x:v>A0005</x:v>
      </x:c>
      <x:c r="C589" s="2" t="str">
        <x:v>inside</x:v>
      </x:c>
      <x:c r="D589" s="2" t="n">
        <x:v>2</x:v>
      </x:c>
      <x:c r="E589" s="2" t="n">
        <x:v>1</x:v>
      </x:c>
      <x:c r="F589" s="2" t="n">
        <x:v>2</x:v>
      </x:c>
      <x:c r="G589" s="2" t="str">
        <x:v>observed_post_release</x:v>
      </x:c>
      <x:c r="H589" s="2" t="n">
        <x:f>IF(AND(ISNUMBER(F589),F589&gt;=D589),1,0)</x:f>
        <x:v>1</x:v>
      </x:c>
      <x:c r="I589" s="2" t="n">
        <x:f>IF(AND(ISNUMBER(F589),F589&gt;D589),1,0)</x:f>
        <x:v>0</x:v>
      </x:c>
      <x:c r="J589" s="2" t="n">
        <x:f>IF(H589=1,F589-D589,"")</x:f>
        <x:v>0</x:v>
      </x:c>
      <x:c r="K589" s="2" t="n">
        <x:f>IF(H589=1,F589-E589,"")</x:f>
        <x:v>1</x:v>
      </x:c>
      <x:c r="L589" s="2" t="n">
        <x:v>9</x:v>
      </x:c>
      <x:c r="M589" s="2" t="n">
        <x:v>2</x:v>
      </x:c>
      <x:c r="N589" s="20" t="n">
        <x:v>0.4</x:v>
      </x:c>
      <x:c r="O589" s="20" t="n">
        <x:v>0.8</x:v>
      </x:c>
      <x:c r="P589" s="20" t="n">
        <x:v>0.75</x:v>
      </x:c>
      <x:c r="Q589" s="2" t="n">
        <x:v>51</x:v>
      </x:c>
      <x:c r="R589" s="2" t="str">
        <x:v>ISTP</x:v>
      </x:c>
      <x:c r="S589" s="2" t="str">
        <x:v>华南</x:v>
      </x:c>
      <x:c r="T589" s="2" t="str">
        <x:v>生产运输或体力岗位</x:v>
      </x:c>
    </x:row>
    <x:row r="590" ht="24" customHeight="1">
      <x:c r="A590" s="2" t="str">
        <x:v>D040_T02_C080_G075</x:v>
      </x:c>
      <x:c r="B590" s="2" t="str">
        <x:v>A0011</x:v>
      </x:c>
      <x:c r="C590" s="2" t="str">
        <x:v>inside</x:v>
      </x:c>
      <x:c r="D590" s="2" t="n">
        <x:v>2</x:v>
      </x:c>
      <x:c r="E590" s="2" t="n">
        <x:v>1</x:v>
      </x:c>
      <x:c r="F590" s="2" t="n">
        <x:v>3</x:v>
      </x:c>
      <x:c r="G590" s="2" t="str">
        <x:v>observed_post_release</x:v>
      </x:c>
      <x:c r="H590" s="2" t="n">
        <x:f>IF(AND(ISNUMBER(F590),F590&gt;=D590),1,0)</x:f>
        <x:v>1</x:v>
      </x:c>
      <x:c r="I590" s="2" t="n">
        <x:f>IF(AND(ISNUMBER(F590),F590&gt;D590),1,0)</x:f>
        <x:v>1</x:v>
      </x:c>
      <x:c r="J590" s="2" t="n">
        <x:f>IF(H590=1,F590-D590,"")</x:f>
        <x:v>1</x:v>
      </x:c>
      <x:c r="K590" s="2" t="n">
        <x:f>IF(H590=1,F590-E590,"")</x:f>
        <x:v>2</x:v>
      </x:c>
      <x:c r="L590" s="2" t="n">
        <x:v>9</x:v>
      </x:c>
      <x:c r="M590" s="2" t="n">
        <x:v>3</x:v>
      </x:c>
      <x:c r="N590" s="20" t="n">
        <x:v>0.4</x:v>
      </x:c>
      <x:c r="O590" s="20" t="n">
        <x:v>0.8</x:v>
      </x:c>
      <x:c r="P590" s="20" t="n">
        <x:v>0.75</x:v>
      </x:c>
      <x:c r="Q590" s="2" t="n">
        <x:v>42</x:v>
      </x:c>
      <x:c r="R590" s="2" t="str">
        <x:v>ENFJ</x:v>
      </x:c>
      <x:c r="S590" s="2" t="str">
        <x:v>西南</x:v>
      </x:c>
      <x:c r="T590" s="2" t="str">
        <x:v>行政或办公室岗位</x:v>
      </x:c>
    </x:row>
    <x:row r="591" ht="24" customHeight="1">
      <x:c r="A591" s="2" t="str">
        <x:v>D040_T02_C080_G075</x:v>
      </x:c>
      <x:c r="B591" s="2" t="str">
        <x:v>A0012</x:v>
      </x:c>
      <x:c r="C591" s="2" t="str">
        <x:v>inside</x:v>
      </x:c>
      <x:c r="D591" s="2" t="n">
        <x:v>2</x:v>
      </x:c>
      <x:c r="E591" s="2" t="n">
        <x:v>1</x:v>
      </x:c>
      <x:c r="F591" s="2" t="n">
        <x:v>2</x:v>
      </x:c>
      <x:c r="G591" s="2" t="str">
        <x:v>observed_post_release</x:v>
      </x:c>
      <x:c r="H591" s="2" t="n">
        <x:f>IF(AND(ISNUMBER(F591),F591&gt;=D591),1,0)</x:f>
        <x:v>1</x:v>
      </x:c>
      <x:c r="I591" s="2" t="n">
        <x:f>IF(AND(ISNUMBER(F591),F591&gt;D591),1,0)</x:f>
        <x:v>0</x:v>
      </x:c>
      <x:c r="J591" s="2" t="n">
        <x:f>IF(H591=1,F591-D591,"")</x:f>
        <x:v>0</x:v>
      </x:c>
      <x:c r="K591" s="2" t="n">
        <x:f>IF(H591=1,F591-E591,"")</x:f>
        <x:v>1</x:v>
      </x:c>
      <x:c r="L591" s="2" t="n">
        <x:v>9</x:v>
      </x:c>
      <x:c r="M591" s="2" t="n">
        <x:v>2</x:v>
      </x:c>
      <x:c r="N591" s="20" t="n">
        <x:v>0.4</x:v>
      </x:c>
      <x:c r="O591" s="20" t="n">
        <x:v>0.8</x:v>
      </x:c>
      <x:c r="P591" s="20" t="n">
        <x:v>0.75</x:v>
      </x:c>
      <x:c r="Q591" s="2" t="n">
        <x:v>38</x:v>
      </x:c>
      <x:c r="R591" s="2" t="str">
        <x:v>ESFP</x:v>
      </x:c>
      <x:c r="S591" s="2" t="str">
        <x:v>华中</x:v>
      </x:c>
      <x:c r="T591" s="2" t="str">
        <x:v>行政或办公室岗位</x:v>
      </x:c>
    </x:row>
    <x:row r="592" ht="24" customHeight="1">
      <x:c r="A592" s="2" t="str">
        <x:v>D040_T02_C080_G075</x:v>
      </x:c>
      <x:c r="B592" s="2" t="str">
        <x:v>A0013</x:v>
      </x:c>
      <x:c r="C592" s="2" t="str">
        <x:v>inside</x:v>
      </x:c>
      <x:c r="D592" s="2" t="n">
        <x:v>2</x:v>
      </x:c>
      <x:c r="E592" s="2" t="n">
        <x:v>1</x:v>
      </x:c>
      <x:c r="F592" s="2" t="n">
        <x:v>2</x:v>
      </x:c>
      <x:c r="G592" s="2" t="str">
        <x:v>observed_post_release</x:v>
      </x:c>
      <x:c r="H592" s="2" t="n">
        <x:f>IF(AND(ISNUMBER(F592),F592&gt;=D592),1,0)</x:f>
        <x:v>1</x:v>
      </x:c>
      <x:c r="I592" s="2" t="n">
        <x:f>IF(AND(ISNUMBER(F592),F592&gt;D592),1,0)</x:f>
        <x:v>0</x:v>
      </x:c>
      <x:c r="J592" s="2" t="n">
        <x:f>IF(H592=1,F592-D592,"")</x:f>
        <x:v>0</x:v>
      </x:c>
      <x:c r="K592" s="2" t="n">
        <x:f>IF(H592=1,F592-E592,"")</x:f>
        <x:v>1</x:v>
      </x:c>
      <x:c r="L592" s="2" t="n">
        <x:v>9</x:v>
      </x:c>
      <x:c r="M592" s="2" t="n">
        <x:v>2</x:v>
      </x:c>
      <x:c r="N592" s="20" t="n">
        <x:v>0.4</x:v>
      </x:c>
      <x:c r="O592" s="20" t="n">
        <x:v>0.8</x:v>
      </x:c>
      <x:c r="P592" s="20" t="n">
        <x:v>0.75</x:v>
      </x:c>
      <x:c r="Q592" s="2" t="n">
        <x:v>53</x:v>
      </x:c>
      <x:c r="R592" s="2" t="str">
        <x:v>ISTJ</x:v>
      </x:c>
      <x:c r="S592" s="2" t="str">
        <x:v>华东</x:v>
      </x:c>
      <x:c r="T592" s="2" t="str">
        <x:v>专业技术岗位</x:v>
      </x:c>
    </x:row>
    <x:row r="593" ht="24" customHeight="1">
      <x:c r="A593" s="2" t="str">
        <x:v>D040_T02_C080_G075</x:v>
      </x:c>
      <x:c r="B593" s="2" t="str">
        <x:v>A0017</x:v>
      </x:c>
      <x:c r="C593" s="2" t="str">
        <x:v>inside</x:v>
      </x:c>
      <x:c r="D593" s="2" t="n">
        <x:v>2</x:v>
      </x:c>
      <x:c r="E593" s="2" t="n">
        <x:v>1</x:v>
      </x:c>
      <x:c r="F593" s="2"/>
      <x:c r="G593" s="2" t="str">
        <x:v>right_censored</x:v>
      </x:c>
      <x:c r="H593" s="2" t="n">
        <x:f>IF(AND(ISNUMBER(F593),F593&gt;=D593),1,0)</x:f>
        <x:v>0</x:v>
      </x:c>
      <x:c r="I593" s="2" t="n">
        <x:f>IF(AND(ISNUMBER(F593),F593&gt;D593),1,0)</x:f>
        <x:v>0</x:v>
      </x:c>
      <x:c r="J593" s="2" t="str">
        <x:f>IF(H593=1,F593-D593,"")</x:f>
      </x:c>
      <x:c r="K593" s="2" t="str">
        <x:f>IF(H593=1,F593-E593,"")</x:f>
      </x:c>
      <x:c r="L593" s="2" t="n">
        <x:v>9</x:v>
      </x:c>
      <x:c r="M593" s="2"/>
      <x:c r="N593" s="20" t="n">
        <x:v>0.4</x:v>
      </x:c>
      <x:c r="O593" s="20" t="n">
        <x:v>0.8</x:v>
      </x:c>
      <x:c r="P593" s="20" t="n">
        <x:v>0.75</x:v>
      </x:c>
      <x:c r="Q593" s="2" t="n">
        <x:v>30</x:v>
      </x:c>
      <x:c r="R593" s="2" t="str">
        <x:v>ISTJ</x:v>
      </x:c>
      <x:c r="S593" s="2" t="str">
        <x:v>华东</x:v>
      </x:c>
      <x:c r="T593" s="2" t="str">
        <x:v>商业服务岗位</x:v>
      </x:c>
    </x:row>
    <x:row r="594" ht="24" customHeight="1">
      <x:c r="A594" s="2" t="str">
        <x:v>D040_T02_C080_G075</x:v>
      </x:c>
      <x:c r="B594" s="2" t="str">
        <x:v>A0018</x:v>
      </x:c>
      <x:c r="C594" s="2" t="str">
        <x:v>inside</x:v>
      </x:c>
      <x:c r="D594" s="2" t="n">
        <x:v>2</x:v>
      </x:c>
      <x:c r="E594" s="2" t="n">
        <x:v>1</x:v>
      </x:c>
      <x:c r="F594" s="2" t="n">
        <x:v>2</x:v>
      </x:c>
      <x:c r="G594" s="2" t="str">
        <x:v>observed_post_release</x:v>
      </x:c>
      <x:c r="H594" s="2" t="n">
        <x:f>IF(AND(ISNUMBER(F594),F594&gt;=D594),1,0)</x:f>
        <x:v>1</x:v>
      </x:c>
      <x:c r="I594" s="2" t="n">
        <x:f>IF(AND(ISNUMBER(F594),F594&gt;D594),1,0)</x:f>
        <x:v>0</x:v>
      </x:c>
      <x:c r="J594" s="2" t="n">
        <x:f>IF(H594=1,F594-D594,"")</x:f>
        <x:v>0</x:v>
      </x:c>
      <x:c r="K594" s="2" t="n">
        <x:f>IF(H594=1,F594-E594,"")</x:f>
        <x:v>1</x:v>
      </x:c>
      <x:c r="L594" s="2" t="n">
        <x:v>9</x:v>
      </x:c>
      <x:c r="M594" s="2" t="n">
        <x:v>2</x:v>
      </x:c>
      <x:c r="N594" s="20" t="n">
        <x:v>0.4</x:v>
      </x:c>
      <x:c r="O594" s="20" t="n">
        <x:v>0.8</x:v>
      </x:c>
      <x:c r="P594" s="20" t="n">
        <x:v>0.75</x:v>
      </x:c>
      <x:c r="Q594" s="2" t="n">
        <x:v>60</x:v>
      </x:c>
      <x:c r="R594" s="2" t="str">
        <x:v>INTJ</x:v>
      </x:c>
      <x:c r="S594" s="2" t="str">
        <x:v>华南</x:v>
      </x:c>
      <x:c r="T594" s="2" t="str">
        <x:v>专业技术岗位</x:v>
      </x:c>
    </x:row>
    <x:row r="595" ht="24" customHeight="1">
      <x:c r="A595" s="2" t="str">
        <x:v>D040_T02_C080_G075</x:v>
      </x:c>
      <x:c r="B595" s="2" t="str">
        <x:v>A0019</x:v>
      </x:c>
      <x:c r="C595" s="2" t="str">
        <x:v>inside</x:v>
      </x:c>
      <x:c r="D595" s="2" t="n">
        <x:v>2</x:v>
      </x:c>
      <x:c r="E595" s="2" t="n">
        <x:v>1</x:v>
      </x:c>
      <x:c r="F595" s="2" t="n">
        <x:v>2</x:v>
      </x:c>
      <x:c r="G595" s="2" t="str">
        <x:v>observed_post_release</x:v>
      </x:c>
      <x:c r="H595" s="2" t="n">
        <x:f>IF(AND(ISNUMBER(F595),F595&gt;=D595),1,0)</x:f>
        <x:v>1</x:v>
      </x:c>
      <x:c r="I595" s="2" t="n">
        <x:f>IF(AND(ISNUMBER(F595),F595&gt;D595),1,0)</x:f>
        <x:v>0</x:v>
      </x:c>
      <x:c r="J595" s="2" t="n">
        <x:f>IF(H595=1,F595-D595,"")</x:f>
        <x:v>0</x:v>
      </x:c>
      <x:c r="K595" s="2" t="n">
        <x:f>IF(H595=1,F595-E595,"")</x:f>
        <x:v>1</x:v>
      </x:c>
      <x:c r="L595" s="2" t="n">
        <x:v>9</x:v>
      </x:c>
      <x:c r="M595" s="2" t="n">
        <x:v>2</x:v>
      </x:c>
      <x:c r="N595" s="20" t="n">
        <x:v>0.4</x:v>
      </x:c>
      <x:c r="O595" s="20" t="n">
        <x:v>0.8</x:v>
      </x:c>
      <x:c r="P595" s="20" t="n">
        <x:v>0.75</x:v>
      </x:c>
      <x:c r="Q595" s="2" t="n">
        <x:v>19</x:v>
      </x:c>
      <x:c r="R595" s="2" t="str">
        <x:v>INTJ</x:v>
      </x:c>
      <x:c r="S595" s="2" t="str">
        <x:v>西南</x:v>
      </x:c>
      <x:c r="T595" s="2" t="str">
        <x:v>行政或办公室岗位</x:v>
      </x:c>
    </x:row>
    <x:row r="596" ht="24" customHeight="1">
      <x:c r="A596" s="2" t="str">
        <x:v>D040_T02_C080_G075</x:v>
      </x:c>
      <x:c r="B596" s="2" t="str">
        <x:v>A0020</x:v>
      </x:c>
      <x:c r="C596" s="2" t="str">
        <x:v>inside</x:v>
      </x:c>
      <x:c r="D596" s="2" t="n">
        <x:v>2</x:v>
      </x:c>
      <x:c r="E596" s="2" t="n">
        <x:v>1</x:v>
      </x:c>
      <x:c r="F596" s="2" t="n">
        <x:v>2</x:v>
      </x:c>
      <x:c r="G596" s="2" t="str">
        <x:v>observed_post_release</x:v>
      </x:c>
      <x:c r="H596" s="2" t="n">
        <x:f>IF(AND(ISNUMBER(F596),F596&gt;=D596),1,0)</x:f>
        <x:v>1</x:v>
      </x:c>
      <x:c r="I596" s="2" t="n">
        <x:f>IF(AND(ISNUMBER(F596),F596&gt;D596),1,0)</x:f>
        <x:v>0</x:v>
      </x:c>
      <x:c r="J596" s="2" t="n">
        <x:f>IF(H596=1,F596-D596,"")</x:f>
        <x:v>0</x:v>
      </x:c>
      <x:c r="K596" s="2" t="n">
        <x:f>IF(H596=1,F596-E596,"")</x:f>
        <x:v>1</x:v>
      </x:c>
      <x:c r="L596" s="2" t="n">
        <x:v>9</x:v>
      </x:c>
      <x:c r="M596" s="2" t="n">
        <x:v>2</x:v>
      </x:c>
      <x:c r="N596" s="20" t="n">
        <x:v>0.4</x:v>
      </x:c>
      <x:c r="O596" s="20" t="n">
        <x:v>0.8</x:v>
      </x:c>
      <x:c r="P596" s="20" t="n">
        <x:v>0.75</x:v>
      </x:c>
      <x:c r="Q596" s="2" t="n">
        <x:v>42</x:v>
      </x:c>
      <x:c r="R596" s="2" t="str">
        <x:v>ENTJ</x:v>
      </x:c>
      <x:c r="S596" s="2" t="str">
        <x:v>西南</x:v>
      </x:c>
      <x:c r="T596" s="2" t="str">
        <x:v>行政或办公室岗位</x:v>
      </x:c>
    </x:row>
    <x:row r="597" ht="24" customHeight="1">
      <x:c r="A597" s="2" t="str">
        <x:v>D040_T02_C080_G075</x:v>
      </x:c>
      <x:c r="B597" s="2" t="str">
        <x:v>A0024</x:v>
      </x:c>
      <x:c r="C597" s="2" t="str">
        <x:v>inside</x:v>
      </x:c>
      <x:c r="D597" s="2" t="n">
        <x:v>2</x:v>
      </x:c>
      <x:c r="E597" s="2" t="n">
        <x:v>1</x:v>
      </x:c>
      <x:c r="F597" s="2" t="n">
        <x:v>2</x:v>
      </x:c>
      <x:c r="G597" s="2" t="str">
        <x:v>observed_post_release</x:v>
      </x:c>
      <x:c r="H597" s="2" t="n">
        <x:f>IF(AND(ISNUMBER(F597),F597&gt;=D597),1,0)</x:f>
        <x:v>1</x:v>
      </x:c>
      <x:c r="I597" s="2" t="n">
        <x:f>IF(AND(ISNUMBER(F597),F597&gt;D597),1,0)</x:f>
        <x:v>0</x:v>
      </x:c>
      <x:c r="J597" s="2" t="n">
        <x:f>IF(H597=1,F597-D597,"")</x:f>
        <x:v>0</x:v>
      </x:c>
      <x:c r="K597" s="2" t="n">
        <x:f>IF(H597=1,F597-E597,"")</x:f>
        <x:v>1</x:v>
      </x:c>
      <x:c r="L597" s="2" t="n">
        <x:v>9</x:v>
      </x:c>
      <x:c r="M597" s="2" t="n">
        <x:v>2</x:v>
      </x:c>
      <x:c r="N597" s="20" t="n">
        <x:v>0.4</x:v>
      </x:c>
      <x:c r="O597" s="20" t="n">
        <x:v>0.8</x:v>
      </x:c>
      <x:c r="P597" s="20" t="n">
        <x:v>0.75</x:v>
      </x:c>
      <x:c r="Q597" s="2" t="n">
        <x:v>31</x:v>
      </x:c>
      <x:c r="R597" s="2" t="str">
        <x:v>ESTP</x:v>
      </x:c>
      <x:c r="S597" s="2" t="str">
        <x:v>华北</x:v>
      </x:c>
      <x:c r="T597" s="2" t="str">
        <x:v>商业服务岗位</x:v>
      </x:c>
    </x:row>
    <x:row r="598" ht="24" customHeight="1">
      <x:c r="A598" s="2" t="str">
        <x:v>D040_T02_C080_G075</x:v>
      </x:c>
      <x:c r="B598" s="2" t="str">
        <x:v>A0025</x:v>
      </x:c>
      <x:c r="C598" s="2" t="str">
        <x:v>inside</x:v>
      </x:c>
      <x:c r="D598" s="2" t="n">
        <x:v>2</x:v>
      </x:c>
      <x:c r="E598" s="2" t="n">
        <x:v>1</x:v>
      </x:c>
      <x:c r="F598" s="2" t="n">
        <x:v>2</x:v>
      </x:c>
      <x:c r="G598" s="2" t="str">
        <x:v>observed_post_release</x:v>
      </x:c>
      <x:c r="H598" s="2" t="n">
        <x:f>IF(AND(ISNUMBER(F598),F598&gt;=D598),1,0)</x:f>
        <x:v>1</x:v>
      </x:c>
      <x:c r="I598" s="2" t="n">
        <x:f>IF(AND(ISNUMBER(F598),F598&gt;D598),1,0)</x:f>
        <x:v>0</x:v>
      </x:c>
      <x:c r="J598" s="2" t="n">
        <x:f>IF(H598=1,F598-D598,"")</x:f>
        <x:v>0</x:v>
      </x:c>
      <x:c r="K598" s="2" t="n">
        <x:f>IF(H598=1,F598-E598,"")</x:f>
        <x:v>1</x:v>
      </x:c>
      <x:c r="L598" s="2" t="n">
        <x:v>9</x:v>
      </x:c>
      <x:c r="M598" s="2" t="n">
        <x:v>2</x:v>
      </x:c>
      <x:c r="N598" s="20" t="n">
        <x:v>0.4</x:v>
      </x:c>
      <x:c r="O598" s="20" t="n">
        <x:v>0.8</x:v>
      </x:c>
      <x:c r="P598" s="20" t="n">
        <x:v>0.75</x:v>
      </x:c>
      <x:c r="Q598" s="2" t="n">
        <x:v>23</x:v>
      </x:c>
      <x:c r="R598" s="2" t="str">
        <x:v>ISTP</x:v>
      </x:c>
      <x:c r="S598" s="2" t="str">
        <x:v>华南</x:v>
      </x:c>
      <x:c r="T598" s="2" t="str">
        <x:v>行政或办公室岗位</x:v>
      </x:c>
    </x:row>
    <x:row r="599" ht="24" customHeight="1">
      <x:c r="A599" s="2" t="str">
        <x:v>D040_T02_C080_G075</x:v>
      </x:c>
      <x:c r="B599" s="2" t="str">
        <x:v>A0026</x:v>
      </x:c>
      <x:c r="C599" s="2" t="str">
        <x:v>inside</x:v>
      </x:c>
      <x:c r="D599" s="2" t="n">
        <x:v>2</x:v>
      </x:c>
      <x:c r="E599" s="2" t="n">
        <x:v>1</x:v>
      </x:c>
      <x:c r="F599" s="2" t="n">
        <x:v>2</x:v>
      </x:c>
      <x:c r="G599" s="2" t="str">
        <x:v>observed_post_release</x:v>
      </x:c>
      <x:c r="H599" s="2" t="n">
        <x:f>IF(AND(ISNUMBER(F599),F599&gt;=D599),1,0)</x:f>
        <x:v>1</x:v>
      </x:c>
      <x:c r="I599" s="2" t="n">
        <x:f>IF(AND(ISNUMBER(F599),F599&gt;D599),1,0)</x:f>
        <x:v>0</x:v>
      </x:c>
      <x:c r="J599" s="2" t="n">
        <x:f>IF(H599=1,F599-D599,"")</x:f>
        <x:v>0</x:v>
      </x:c>
      <x:c r="K599" s="2" t="n">
        <x:f>IF(H599=1,F599-E599,"")</x:f>
        <x:v>1</x:v>
      </x:c>
      <x:c r="L599" s="2" t="n">
        <x:v>9</x:v>
      </x:c>
      <x:c r="M599" s="2" t="n">
        <x:v>2</x:v>
      </x:c>
      <x:c r="N599" s="20" t="n">
        <x:v>0.4</x:v>
      </x:c>
      <x:c r="O599" s="20" t="n">
        <x:v>0.8</x:v>
      </x:c>
      <x:c r="P599" s="20" t="n">
        <x:v>0.75</x:v>
      </x:c>
      <x:c r="Q599" s="2" t="n">
        <x:v>36</x:v>
      </x:c>
      <x:c r="R599" s="2" t="str">
        <x:v>ISFP</x:v>
      </x:c>
      <x:c r="S599" s="2" t="str">
        <x:v>西北</x:v>
      </x:c>
      <x:c r="T599" s="2" t="str">
        <x:v>个体经营或自由职业</x:v>
      </x:c>
    </x:row>
    <x:row r="600" ht="24" customHeight="1">
      <x:c r="A600" s="2" t="str">
        <x:v>D040_T02_C080_G075</x:v>
      </x:c>
      <x:c r="B600" s="2" t="str">
        <x:v>A0027</x:v>
      </x:c>
      <x:c r="C600" s="2" t="str">
        <x:v>inside</x:v>
      </x:c>
      <x:c r="D600" s="2" t="n">
        <x:v>2</x:v>
      </x:c>
      <x:c r="E600" s="2" t="n">
        <x:v>1</x:v>
      </x:c>
      <x:c r="F600" s="2" t="n">
        <x:v>2</x:v>
      </x:c>
      <x:c r="G600" s="2" t="str">
        <x:v>observed_post_release</x:v>
      </x:c>
      <x:c r="H600" s="2" t="n">
        <x:f>IF(AND(ISNUMBER(F600),F600&gt;=D600),1,0)</x:f>
        <x:v>1</x:v>
      </x:c>
      <x:c r="I600" s="2" t="n">
        <x:f>IF(AND(ISNUMBER(F600),F600&gt;D600),1,0)</x:f>
        <x:v>0</x:v>
      </x:c>
      <x:c r="J600" s="2" t="n">
        <x:f>IF(H600=1,F600-D600,"")</x:f>
        <x:v>0</x:v>
      </x:c>
      <x:c r="K600" s="2" t="n">
        <x:f>IF(H600=1,F600-E600,"")</x:f>
        <x:v>1</x:v>
      </x:c>
      <x:c r="L600" s="2" t="n">
        <x:v>9</x:v>
      </x:c>
      <x:c r="M600" s="2" t="n">
        <x:v>2</x:v>
      </x:c>
      <x:c r="N600" s="20" t="n">
        <x:v>0.4</x:v>
      </x:c>
      <x:c r="O600" s="20" t="n">
        <x:v>0.8</x:v>
      </x:c>
      <x:c r="P600" s="20" t="n">
        <x:v>0.75</x:v>
      </x:c>
      <x:c r="Q600" s="2" t="n">
        <x:v>25</x:v>
      </x:c>
      <x:c r="R600" s="2" t="str">
        <x:v>ESFP</x:v>
      </x:c>
      <x:c r="S600" s="2" t="str">
        <x:v>西北</x:v>
      </x:c>
      <x:c r="T600" s="2" t="str">
        <x:v>暂未就业或家庭照料</x:v>
      </x:c>
    </x:row>
    <x:row r="601" ht="24" customHeight="1">
      <x:c r="A601" s="2" t="str">
        <x:v>D040_T02_C080_G075</x:v>
      </x:c>
      <x:c r="B601" s="2" t="str">
        <x:v>A0029</x:v>
      </x:c>
      <x:c r="C601" s="2" t="str">
        <x:v>inside</x:v>
      </x:c>
      <x:c r="D601" s="2" t="n">
        <x:v>2</x:v>
      </x:c>
      <x:c r="E601" s="2" t="n">
        <x:v>1</x:v>
      </x:c>
      <x:c r="F601" s="2" t="n">
        <x:v>2</x:v>
      </x:c>
      <x:c r="G601" s="2" t="str">
        <x:v>observed_post_release</x:v>
      </x:c>
      <x:c r="H601" s="2" t="n">
        <x:f>IF(AND(ISNUMBER(F601),F601&gt;=D601),1,0)</x:f>
        <x:v>1</x:v>
      </x:c>
      <x:c r="I601" s="2" t="n">
        <x:f>IF(AND(ISNUMBER(F601),F601&gt;D601),1,0)</x:f>
        <x:v>0</x:v>
      </x:c>
      <x:c r="J601" s="2" t="n">
        <x:f>IF(H601=1,F601-D601,"")</x:f>
        <x:v>0</x:v>
      </x:c>
      <x:c r="K601" s="2" t="n">
        <x:f>IF(H601=1,F601-E601,"")</x:f>
        <x:v>1</x:v>
      </x:c>
      <x:c r="L601" s="2" t="n">
        <x:v>9</x:v>
      </x:c>
      <x:c r="M601" s="2" t="n">
        <x:v>2</x:v>
      </x:c>
      <x:c r="N601" s="20" t="n">
        <x:v>0.4</x:v>
      </x:c>
      <x:c r="O601" s="20" t="n">
        <x:v>0.8</x:v>
      </x:c>
      <x:c r="P601" s="20" t="n">
        <x:v>0.75</x:v>
      </x:c>
      <x:c r="Q601" s="2" t="n">
        <x:v>69</x:v>
      </x:c>
      <x:c r="R601" s="2" t="str">
        <x:v>ENTP</x:v>
      </x:c>
      <x:c r="S601" s="2" t="str">
        <x:v>华东</x:v>
      </x:c>
      <x:c r="T601" s="2" t="str">
        <x:v>退休人员</x:v>
      </x:c>
    </x:row>
    <x:row r="602" ht="24" customHeight="1">
      <x:c r="A602" s="2" t="str">
        <x:v>D040_T02_C080_G075</x:v>
      </x:c>
      <x:c r="B602" s="2" t="str">
        <x:v>A0030</x:v>
      </x:c>
      <x:c r="C602" s="2" t="str">
        <x:v>inside</x:v>
      </x:c>
      <x:c r="D602" s="2" t="n">
        <x:v>2</x:v>
      </x:c>
      <x:c r="E602" s="2" t="n">
        <x:v>1</x:v>
      </x:c>
      <x:c r="F602" s="2" t="n">
        <x:v>2</x:v>
      </x:c>
      <x:c r="G602" s="2" t="str">
        <x:v>observed_post_release</x:v>
      </x:c>
      <x:c r="H602" s="2" t="n">
        <x:f>IF(AND(ISNUMBER(F602),F602&gt;=D602),1,0)</x:f>
        <x:v>1</x:v>
      </x:c>
      <x:c r="I602" s="2" t="n">
        <x:f>IF(AND(ISNUMBER(F602),F602&gt;D602),1,0)</x:f>
        <x:v>0</x:v>
      </x:c>
      <x:c r="J602" s="2" t="n">
        <x:f>IF(H602=1,F602-D602,"")</x:f>
        <x:v>0</x:v>
      </x:c>
      <x:c r="K602" s="2" t="n">
        <x:f>IF(H602=1,F602-E602,"")</x:f>
        <x:v>1</x:v>
      </x:c>
      <x:c r="L602" s="2" t="n">
        <x:v>9</x:v>
      </x:c>
      <x:c r="M602" s="2" t="n">
        <x:v>2</x:v>
      </x:c>
      <x:c r="N602" s="20" t="n">
        <x:v>0.4</x:v>
      </x:c>
      <x:c r="O602" s="20" t="n">
        <x:v>0.8</x:v>
      </x:c>
      <x:c r="P602" s="20" t="n">
        <x:v>0.75</x:v>
      </x:c>
      <x:c r="Q602" s="2" t="n">
        <x:v>23</x:v>
      </x:c>
      <x:c r="R602" s="2" t="str">
        <x:v>ISFP</x:v>
      </x:c>
      <x:c r="S602" s="2" t="str">
        <x:v>华东</x:v>
      </x:c>
      <x:c r="T602" s="2" t="str">
        <x:v>在校学生</x:v>
      </x:c>
    </x:row>
    <x:row r="603" ht="24" customHeight="1">
      <x:c r="A603" s="2" t="str">
        <x:v>D040_T02_C080_G075</x:v>
      </x:c>
      <x:c r="B603" s="2" t="str">
        <x:v>A0032</x:v>
      </x:c>
      <x:c r="C603" s="2" t="str">
        <x:v>inside</x:v>
      </x:c>
      <x:c r="D603" s="2" t="n">
        <x:v>2</x:v>
      </x:c>
      <x:c r="E603" s="2" t="n">
        <x:v>1</x:v>
      </x:c>
      <x:c r="F603" s="2" t="n">
        <x:v>2</x:v>
      </x:c>
      <x:c r="G603" s="2" t="str">
        <x:v>observed_post_release</x:v>
      </x:c>
      <x:c r="H603" s="2" t="n">
        <x:f>IF(AND(ISNUMBER(F603),F603&gt;=D603),1,0)</x:f>
        <x:v>1</x:v>
      </x:c>
      <x:c r="I603" s="2" t="n">
        <x:f>IF(AND(ISNUMBER(F603),F603&gt;D603),1,0)</x:f>
        <x:v>0</x:v>
      </x:c>
      <x:c r="J603" s="2" t="n">
        <x:f>IF(H603=1,F603-D603,"")</x:f>
        <x:v>0</x:v>
      </x:c>
      <x:c r="K603" s="2" t="n">
        <x:f>IF(H603=1,F603-E603,"")</x:f>
        <x:v>1</x:v>
      </x:c>
      <x:c r="L603" s="2" t="n">
        <x:v>9</x:v>
      </x:c>
      <x:c r="M603" s="2" t="n">
        <x:v>2</x:v>
      </x:c>
      <x:c r="N603" s="20" t="n">
        <x:v>0.4</x:v>
      </x:c>
      <x:c r="O603" s="20" t="n">
        <x:v>0.8</x:v>
      </x:c>
      <x:c r="P603" s="20" t="n">
        <x:v>0.75</x:v>
      </x:c>
      <x:c r="Q603" s="2" t="n">
        <x:v>53</x:v>
      </x:c>
      <x:c r="R603" s="2" t="str">
        <x:v>INTP</x:v>
      </x:c>
      <x:c r="S603" s="2" t="str">
        <x:v>华北</x:v>
      </x:c>
      <x:c r="T603" s="2" t="str">
        <x:v>个体经营或自由职业</x:v>
      </x:c>
    </x:row>
    <x:row r="604" ht="24" customHeight="1">
      <x:c r="A604" s="2" t="str">
        <x:v>D040_T02_C080_G075</x:v>
      </x:c>
      <x:c r="B604" s="2" t="str">
        <x:v>A0033</x:v>
      </x:c>
      <x:c r="C604" s="2" t="str">
        <x:v>inside</x:v>
      </x:c>
      <x:c r="D604" s="2" t="n">
        <x:v>2</x:v>
      </x:c>
      <x:c r="E604" s="2" t="n">
        <x:v>1</x:v>
      </x:c>
      <x:c r="F604" s="2" t="n">
        <x:v>2</x:v>
      </x:c>
      <x:c r="G604" s="2" t="str">
        <x:v>observed_post_release</x:v>
      </x:c>
      <x:c r="H604" s="2" t="n">
        <x:f>IF(AND(ISNUMBER(F604),F604&gt;=D604),1,0)</x:f>
        <x:v>1</x:v>
      </x:c>
      <x:c r="I604" s="2" t="n">
        <x:f>IF(AND(ISNUMBER(F604),F604&gt;D604),1,0)</x:f>
        <x:v>0</x:v>
      </x:c>
      <x:c r="J604" s="2" t="n">
        <x:f>IF(H604=1,F604-D604,"")</x:f>
        <x:v>0</x:v>
      </x:c>
      <x:c r="K604" s="2" t="n">
        <x:f>IF(H604=1,F604-E604,"")</x:f>
        <x:v>1</x:v>
      </x:c>
      <x:c r="L604" s="2" t="n">
        <x:v>9</x:v>
      </x:c>
      <x:c r="M604" s="2" t="n">
        <x:v>2</x:v>
      </x:c>
      <x:c r="N604" s="20" t="n">
        <x:v>0.4</x:v>
      </x:c>
      <x:c r="O604" s="20" t="n">
        <x:v>0.8</x:v>
      </x:c>
      <x:c r="P604" s="20" t="n">
        <x:v>0.75</x:v>
      </x:c>
      <x:c r="Q604" s="2" t="n">
        <x:v>55</x:v>
      </x:c>
      <x:c r="R604" s="2" t="str">
        <x:v>ENFP</x:v>
      </x:c>
      <x:c r="S604" s="2" t="str">
        <x:v>华南</x:v>
      </x:c>
      <x:c r="T604" s="2" t="str">
        <x:v>个体经营或自由职业</x:v>
      </x:c>
    </x:row>
    <x:row r="605" ht="24" customHeight="1">
      <x:c r="A605" s="2" t="str">
        <x:v>D040_T02_C080_G075</x:v>
      </x:c>
      <x:c r="B605" s="2" t="str">
        <x:v>A0034</x:v>
      </x:c>
      <x:c r="C605" s="2" t="str">
        <x:v>inside</x:v>
      </x:c>
      <x:c r="D605" s="2" t="n">
        <x:v>2</x:v>
      </x:c>
      <x:c r="E605" s="2" t="n">
        <x:v>1</x:v>
      </x:c>
      <x:c r="F605" s="2" t="n">
        <x:v>3</x:v>
      </x:c>
      <x:c r="G605" s="2" t="str">
        <x:v>observed_post_release</x:v>
      </x:c>
      <x:c r="H605" s="2" t="n">
        <x:f>IF(AND(ISNUMBER(F605),F605&gt;=D605),1,0)</x:f>
        <x:v>1</x:v>
      </x:c>
      <x:c r="I605" s="2" t="n">
        <x:f>IF(AND(ISNUMBER(F605),F605&gt;D605),1,0)</x:f>
        <x:v>1</x:v>
      </x:c>
      <x:c r="J605" s="2" t="n">
        <x:f>IF(H605=1,F605-D605,"")</x:f>
        <x:v>1</x:v>
      </x:c>
      <x:c r="K605" s="2" t="n">
        <x:f>IF(H605=1,F605-E605,"")</x:f>
        <x:v>2</x:v>
      </x:c>
      <x:c r="L605" s="2" t="n">
        <x:v>9</x:v>
      </x:c>
      <x:c r="M605" s="2" t="n">
        <x:v>2</x:v>
      </x:c>
      <x:c r="N605" s="20" t="n">
        <x:v>0.4</x:v>
      </x:c>
      <x:c r="O605" s="20" t="n">
        <x:v>0.8</x:v>
      </x:c>
      <x:c r="P605" s="20" t="n">
        <x:v>0.75</x:v>
      </x:c>
      <x:c r="Q605" s="2" t="n">
        <x:v>36</x:v>
      </x:c>
      <x:c r="R605" s="2" t="str">
        <x:v>INTP</x:v>
      </x:c>
      <x:c r="S605" s="2" t="str">
        <x:v>华南</x:v>
      </x:c>
      <x:c r="T605" s="2" t="str">
        <x:v>专业技术岗位</x:v>
      </x:c>
    </x:row>
    <x:row r="606" ht="24" customHeight="1">
      <x:c r="A606" s="2" t="str">
        <x:v>D040_T02_C080_G075</x:v>
      </x:c>
      <x:c r="B606" s="2" t="str">
        <x:v>A0035</x:v>
      </x:c>
      <x:c r="C606" s="2" t="str">
        <x:v>inside</x:v>
      </x:c>
      <x:c r="D606" s="2" t="n">
        <x:v>2</x:v>
      </x:c>
      <x:c r="E606" s="2" t="n">
        <x:v>1</x:v>
      </x:c>
      <x:c r="F606" s="2" t="n">
        <x:v>2</x:v>
      </x:c>
      <x:c r="G606" s="2" t="str">
        <x:v>observed_post_release</x:v>
      </x:c>
      <x:c r="H606" s="2" t="n">
        <x:f>IF(AND(ISNUMBER(F606),F606&gt;=D606),1,0)</x:f>
        <x:v>1</x:v>
      </x:c>
      <x:c r="I606" s="2" t="n">
        <x:f>IF(AND(ISNUMBER(F606),F606&gt;D606),1,0)</x:f>
        <x:v>0</x:v>
      </x:c>
      <x:c r="J606" s="2" t="n">
        <x:f>IF(H606=1,F606-D606,"")</x:f>
        <x:v>0</x:v>
      </x:c>
      <x:c r="K606" s="2" t="n">
        <x:f>IF(H606=1,F606-E606,"")</x:f>
        <x:v>1</x:v>
      </x:c>
      <x:c r="L606" s="2" t="n">
        <x:v>9</x:v>
      </x:c>
      <x:c r="M606" s="2" t="n">
        <x:v>2</x:v>
      </x:c>
      <x:c r="N606" s="20" t="n">
        <x:v>0.4</x:v>
      </x:c>
      <x:c r="O606" s="20" t="n">
        <x:v>0.8</x:v>
      </x:c>
      <x:c r="P606" s="20" t="n">
        <x:v>0.75</x:v>
      </x:c>
      <x:c r="Q606" s="2" t="n">
        <x:v>42</x:v>
      </x:c>
      <x:c r="R606" s="2" t="str">
        <x:v>ISFJ</x:v>
      </x:c>
      <x:c r="S606" s="2" t="str">
        <x:v>华南</x:v>
      </x:c>
      <x:c r="T606" s="2" t="str">
        <x:v>专业技术岗位</x:v>
      </x:c>
    </x:row>
    <x:row r="607" ht="24" customHeight="1">
      <x:c r="A607" s="2" t="str">
        <x:v>D040_T02_C080_G075</x:v>
      </x:c>
      <x:c r="B607" s="2" t="str">
        <x:v>A0036</x:v>
      </x:c>
      <x:c r="C607" s="2" t="str">
        <x:v>inside</x:v>
      </x:c>
      <x:c r="D607" s="2" t="n">
        <x:v>2</x:v>
      </x:c>
      <x:c r="E607" s="2" t="n">
        <x:v>1</x:v>
      </x:c>
      <x:c r="F607" s="2" t="n">
        <x:v>2</x:v>
      </x:c>
      <x:c r="G607" s="2" t="str">
        <x:v>observed_post_release</x:v>
      </x:c>
      <x:c r="H607" s="2" t="n">
        <x:f>IF(AND(ISNUMBER(F607),F607&gt;=D607),1,0)</x:f>
        <x:v>1</x:v>
      </x:c>
      <x:c r="I607" s="2" t="n">
        <x:f>IF(AND(ISNUMBER(F607),F607&gt;D607),1,0)</x:f>
        <x:v>0</x:v>
      </x:c>
      <x:c r="J607" s="2" t="n">
        <x:f>IF(H607=1,F607-D607,"")</x:f>
        <x:v>0</x:v>
      </x:c>
      <x:c r="K607" s="2" t="n">
        <x:f>IF(H607=1,F607-E607,"")</x:f>
        <x:v>1</x:v>
      </x:c>
      <x:c r="L607" s="2" t="n">
        <x:v>9</x:v>
      </x:c>
      <x:c r="M607" s="2" t="n">
        <x:v>2</x:v>
      </x:c>
      <x:c r="N607" s="20" t="n">
        <x:v>0.4</x:v>
      </x:c>
      <x:c r="O607" s="20" t="n">
        <x:v>0.8</x:v>
      </x:c>
      <x:c r="P607" s="20" t="n">
        <x:v>0.75</x:v>
      </x:c>
      <x:c r="Q607" s="2" t="n">
        <x:v>43</x:v>
      </x:c>
      <x:c r="R607" s="2" t="str">
        <x:v>ISFJ</x:v>
      </x:c>
      <x:c r="S607" s="2" t="str">
        <x:v>华东</x:v>
      </x:c>
      <x:c r="T607" s="2" t="str">
        <x:v>生产运输或体力岗位</x:v>
      </x:c>
    </x:row>
    <x:row r="608" ht="24" customHeight="1">
      <x:c r="A608" s="2" t="str">
        <x:v>D040_T02_C080_G075</x:v>
      </x:c>
      <x:c r="B608" s="2" t="str">
        <x:v>A0037</x:v>
      </x:c>
      <x:c r="C608" s="2" t="str">
        <x:v>inside</x:v>
      </x:c>
      <x:c r="D608" s="2" t="n">
        <x:v>2</x:v>
      </x:c>
      <x:c r="E608" s="2" t="n">
        <x:v>1</x:v>
      </x:c>
      <x:c r="F608" s="2" t="n">
        <x:v>2</x:v>
      </x:c>
      <x:c r="G608" s="2" t="str">
        <x:v>observed_post_release</x:v>
      </x:c>
      <x:c r="H608" s="2" t="n">
        <x:f>IF(AND(ISNUMBER(F608),F608&gt;=D608),1,0)</x:f>
        <x:v>1</x:v>
      </x:c>
      <x:c r="I608" s="2" t="n">
        <x:f>IF(AND(ISNUMBER(F608),F608&gt;D608),1,0)</x:f>
        <x:v>0</x:v>
      </x:c>
      <x:c r="J608" s="2" t="n">
        <x:f>IF(H608=1,F608-D608,"")</x:f>
        <x:v>0</x:v>
      </x:c>
      <x:c r="K608" s="2" t="n">
        <x:f>IF(H608=1,F608-E608,"")</x:f>
        <x:v>1</x:v>
      </x:c>
      <x:c r="L608" s="2" t="n">
        <x:v>9</x:v>
      </x:c>
      <x:c r="M608" s="2" t="n">
        <x:v>2</x:v>
      </x:c>
      <x:c r="N608" s="20" t="n">
        <x:v>0.4</x:v>
      </x:c>
      <x:c r="O608" s="20" t="n">
        <x:v>0.8</x:v>
      </x:c>
      <x:c r="P608" s="20" t="n">
        <x:v>0.75</x:v>
      </x:c>
      <x:c r="Q608" s="2" t="n">
        <x:v>24</x:v>
      </x:c>
      <x:c r="R608" s="2" t="str">
        <x:v>ENTP</x:v>
      </x:c>
      <x:c r="S608" s="2" t="str">
        <x:v>华南</x:v>
      </x:c>
      <x:c r="T608" s="2" t="str">
        <x:v>在校学生</x:v>
      </x:c>
    </x:row>
    <x:row r="609" ht="24" customHeight="1">
      <x:c r="A609" s="2" t="str">
        <x:v>D040_T02_C080_G075</x:v>
      </x:c>
      <x:c r="B609" s="2" t="str">
        <x:v>A0038</x:v>
      </x:c>
      <x:c r="C609" s="2" t="str">
        <x:v>inside</x:v>
      </x:c>
      <x:c r="D609" s="2" t="n">
        <x:v>2</x:v>
      </x:c>
      <x:c r="E609" s="2" t="n">
        <x:v>1</x:v>
      </x:c>
      <x:c r="F609" s="2" t="n">
        <x:v>3</x:v>
      </x:c>
      <x:c r="G609" s="2" t="str">
        <x:v>observed_post_release</x:v>
      </x:c>
      <x:c r="H609" s="2" t="n">
        <x:f>IF(AND(ISNUMBER(F609),F609&gt;=D609),1,0)</x:f>
        <x:v>1</x:v>
      </x:c>
      <x:c r="I609" s="2" t="n">
        <x:f>IF(AND(ISNUMBER(F609),F609&gt;D609),1,0)</x:f>
        <x:v>1</x:v>
      </x:c>
      <x:c r="J609" s="2" t="n">
        <x:f>IF(H609=1,F609-D609,"")</x:f>
        <x:v>1</x:v>
      </x:c>
      <x:c r="K609" s="2" t="n">
        <x:f>IF(H609=1,F609-E609,"")</x:f>
        <x:v>2</x:v>
      </x:c>
      <x:c r="L609" s="2" t="n">
        <x:v>9</x:v>
      </x:c>
      <x:c r="M609" s="2" t="n">
        <x:v>2</x:v>
      </x:c>
      <x:c r="N609" s="20" t="n">
        <x:v>0.4</x:v>
      </x:c>
      <x:c r="O609" s="20" t="n">
        <x:v>0.8</x:v>
      </x:c>
      <x:c r="P609" s="20" t="n">
        <x:v>0.75</x:v>
      </x:c>
      <x:c r="Q609" s="2" t="n">
        <x:v>46</x:v>
      </x:c>
      <x:c r="R609" s="2" t="str">
        <x:v>ISTP</x:v>
      </x:c>
      <x:c r="S609" s="2" t="str">
        <x:v>华东</x:v>
      </x:c>
      <x:c r="T609" s="2" t="str">
        <x:v>行政或办公室岗位</x:v>
      </x:c>
    </x:row>
    <x:row r="610" ht="24" customHeight="1">
      <x:c r="A610" s="2" t="str">
        <x:v>D040_T02_C080_G075</x:v>
      </x:c>
      <x:c r="B610" s="2" t="str">
        <x:v>A0040</x:v>
      </x:c>
      <x:c r="C610" s="2" t="str">
        <x:v>inside</x:v>
      </x:c>
      <x:c r="D610" s="2" t="n">
        <x:v>2</x:v>
      </x:c>
      <x:c r="E610" s="2" t="n">
        <x:v>1</x:v>
      </x:c>
      <x:c r="F610" s="2" t="n">
        <x:v>2</x:v>
      </x:c>
      <x:c r="G610" s="2" t="str">
        <x:v>observed_post_release</x:v>
      </x:c>
      <x:c r="H610" s="2" t="n">
        <x:f>IF(AND(ISNUMBER(F610),F610&gt;=D610),1,0)</x:f>
        <x:v>1</x:v>
      </x:c>
      <x:c r="I610" s="2" t="n">
        <x:f>IF(AND(ISNUMBER(F610),F610&gt;D610),1,0)</x:f>
        <x:v>0</x:v>
      </x:c>
      <x:c r="J610" s="2" t="n">
        <x:f>IF(H610=1,F610-D610,"")</x:f>
        <x:v>0</x:v>
      </x:c>
      <x:c r="K610" s="2" t="n">
        <x:f>IF(H610=1,F610-E610,"")</x:f>
        <x:v>1</x:v>
      </x:c>
      <x:c r="L610" s="2" t="n">
        <x:v>9</x:v>
      </x:c>
      <x:c r="M610" s="2" t="n">
        <x:v>2</x:v>
      </x:c>
      <x:c r="N610" s="20" t="n">
        <x:v>0.4</x:v>
      </x:c>
      <x:c r="O610" s="20" t="n">
        <x:v>0.8</x:v>
      </x:c>
      <x:c r="P610" s="20" t="n">
        <x:v>0.75</x:v>
      </x:c>
      <x:c r="Q610" s="2" t="n">
        <x:v>48</x:v>
      </x:c>
      <x:c r="R610" s="2" t="str">
        <x:v>INFP</x:v>
      </x:c>
      <x:c r="S610" s="2" t="str">
        <x:v>西北</x:v>
      </x:c>
      <x:c r="T610" s="2" t="str">
        <x:v>个体经营或自由职业</x:v>
      </x:c>
    </x:row>
    <x:row r="611" ht="24" customHeight="1">
      <x:c r="A611" s="2" t="str">
        <x:v>D040_T02_C080_G075</x:v>
      </x:c>
      <x:c r="B611" s="2" t="str">
        <x:v>A0041</x:v>
      </x:c>
      <x:c r="C611" s="2" t="str">
        <x:v>inside</x:v>
      </x:c>
      <x:c r="D611" s="2" t="n">
        <x:v>2</x:v>
      </x:c>
      <x:c r="E611" s="2" t="n">
        <x:v>1</x:v>
      </x:c>
      <x:c r="F611" s="2" t="n">
        <x:v>2</x:v>
      </x:c>
      <x:c r="G611" s="2" t="str">
        <x:v>observed_post_release</x:v>
      </x:c>
      <x:c r="H611" s="2" t="n">
        <x:f>IF(AND(ISNUMBER(F611),F611&gt;=D611),1,0)</x:f>
        <x:v>1</x:v>
      </x:c>
      <x:c r="I611" s="2" t="n">
        <x:f>IF(AND(ISNUMBER(F611),F611&gt;D611),1,0)</x:f>
        <x:v>0</x:v>
      </x:c>
      <x:c r="J611" s="2" t="n">
        <x:f>IF(H611=1,F611-D611,"")</x:f>
        <x:v>0</x:v>
      </x:c>
      <x:c r="K611" s="2" t="n">
        <x:f>IF(H611=1,F611-E611,"")</x:f>
        <x:v>1</x:v>
      </x:c>
      <x:c r="L611" s="2" t="n">
        <x:v>9</x:v>
      </x:c>
      <x:c r="M611" s="2" t="n">
        <x:v>2</x:v>
      </x:c>
      <x:c r="N611" s="20" t="n">
        <x:v>0.4</x:v>
      </x:c>
      <x:c r="O611" s="20" t="n">
        <x:v>0.8</x:v>
      </x:c>
      <x:c r="P611" s="20" t="n">
        <x:v>0.75</x:v>
      </x:c>
      <x:c r="Q611" s="2" t="n">
        <x:v>62</x:v>
      </x:c>
      <x:c r="R611" s="2" t="str">
        <x:v>ISFJ</x:v>
      </x:c>
      <x:c r="S611" s="2" t="str">
        <x:v>西北</x:v>
      </x:c>
      <x:c r="T611" s="2" t="str">
        <x:v>个体经营或自由职业</x:v>
      </x:c>
    </x:row>
    <x:row r="612" ht="24" customHeight="1">
      <x:c r="A612" s="2" t="str">
        <x:v>D040_T02_C080_G075</x:v>
      </x:c>
      <x:c r="B612" s="2" t="str">
        <x:v>A0043</x:v>
      </x:c>
      <x:c r="C612" s="2" t="str">
        <x:v>inside</x:v>
      </x:c>
      <x:c r="D612" s="2" t="n">
        <x:v>2</x:v>
      </x:c>
      <x:c r="E612" s="2" t="n">
        <x:v>1</x:v>
      </x:c>
      <x:c r="F612" s="2" t="n">
        <x:v>2</x:v>
      </x:c>
      <x:c r="G612" s="2" t="str">
        <x:v>observed_post_release</x:v>
      </x:c>
      <x:c r="H612" s="2" t="n">
        <x:f>IF(AND(ISNUMBER(F612),F612&gt;=D612),1,0)</x:f>
        <x:v>1</x:v>
      </x:c>
      <x:c r="I612" s="2" t="n">
        <x:f>IF(AND(ISNUMBER(F612),F612&gt;D612),1,0)</x:f>
        <x:v>0</x:v>
      </x:c>
      <x:c r="J612" s="2" t="n">
        <x:f>IF(H612=1,F612-D612,"")</x:f>
        <x:v>0</x:v>
      </x:c>
      <x:c r="K612" s="2" t="n">
        <x:f>IF(H612=1,F612-E612,"")</x:f>
        <x:v>1</x:v>
      </x:c>
      <x:c r="L612" s="2" t="n">
        <x:v>9</x:v>
      </x:c>
      <x:c r="M612" s="2" t="n">
        <x:v>2</x:v>
      </x:c>
      <x:c r="N612" s="20" t="n">
        <x:v>0.4</x:v>
      </x:c>
      <x:c r="O612" s="20" t="n">
        <x:v>0.8</x:v>
      </x:c>
      <x:c r="P612" s="20" t="n">
        <x:v>0.75</x:v>
      </x:c>
      <x:c r="Q612" s="2" t="n">
        <x:v>35</x:v>
      </x:c>
      <x:c r="R612" s="2" t="str">
        <x:v>ESFJ</x:v>
      </x:c>
      <x:c r="S612" s="2" t="str">
        <x:v>西北</x:v>
      </x:c>
      <x:c r="T612" s="2" t="str">
        <x:v>暂未就业或家庭照料</x:v>
      </x:c>
    </x:row>
    <x:row r="613" ht="24" customHeight="1">
      <x:c r="A613" s="2" t="str">
        <x:v>D040_T02_C080_G075</x:v>
      </x:c>
      <x:c r="B613" s="2" t="str">
        <x:v>A0071</x:v>
      </x:c>
      <x:c r="C613" s="2" t="str">
        <x:v>inside</x:v>
      </x:c>
      <x:c r="D613" s="2" t="n">
        <x:v>2</x:v>
      </x:c>
      <x:c r="E613" s="2" t="n">
        <x:v>1</x:v>
      </x:c>
      <x:c r="F613" s="2" t="n">
        <x:v>3</x:v>
      </x:c>
      <x:c r="G613" s="2" t="str">
        <x:v>observed_post_release</x:v>
      </x:c>
      <x:c r="H613" s="2" t="n">
        <x:f>IF(AND(ISNUMBER(F613),F613&gt;=D613),1,0)</x:f>
        <x:v>1</x:v>
      </x:c>
      <x:c r="I613" s="2" t="n">
        <x:f>IF(AND(ISNUMBER(F613),F613&gt;D613),1,0)</x:f>
        <x:v>1</x:v>
      </x:c>
      <x:c r="J613" s="2" t="n">
        <x:f>IF(H613=1,F613-D613,"")</x:f>
        <x:v>1</x:v>
      </x:c>
      <x:c r="K613" s="2" t="n">
        <x:f>IF(H613=1,F613-E613,"")</x:f>
        <x:v>2</x:v>
      </x:c>
      <x:c r="L613" s="2" t="n">
        <x:v>9</x:v>
      </x:c>
      <x:c r="M613" s="2" t="n">
        <x:v>2</x:v>
      </x:c>
      <x:c r="N613" s="20" t="n">
        <x:v>0.4</x:v>
      </x:c>
      <x:c r="O613" s="20" t="n">
        <x:v>0.8</x:v>
      </x:c>
      <x:c r="P613" s="20" t="n">
        <x:v>0.75</x:v>
      </x:c>
      <x:c r="Q613" s="2" t="n">
        <x:v>33</x:v>
      </x:c>
      <x:c r="R613" s="2" t="str">
        <x:v>ISTJ</x:v>
      </x:c>
      <x:c r="S613" s="2" t="str">
        <x:v>华东</x:v>
      </x:c>
      <x:c r="T613" s="2" t="str">
        <x:v>商业服务岗位</x:v>
      </x:c>
    </x:row>
    <x:row r="614" ht="24" customHeight="1">
      <x:c r="A614" s="2" t="str">
        <x:v>D040_T02_C080_G075</x:v>
      </x:c>
      <x:c r="B614" s="2" t="str">
        <x:v>A0189</x:v>
      </x:c>
      <x:c r="C614" s="2" t="str">
        <x:v>inside</x:v>
      </x:c>
      <x:c r="D614" s="2" t="n">
        <x:v>2</x:v>
      </x:c>
      <x:c r="E614" s="2" t="n">
        <x:v>1</x:v>
      </x:c>
      <x:c r="F614" s="2" t="n">
        <x:v>3</x:v>
      </x:c>
      <x:c r="G614" s="2" t="str">
        <x:v>observed_post_release</x:v>
      </x:c>
      <x:c r="H614" s="2" t="n">
        <x:f>IF(AND(ISNUMBER(F614),F614&gt;=D614),1,0)</x:f>
        <x:v>1</x:v>
      </x:c>
      <x:c r="I614" s="2" t="n">
        <x:f>IF(AND(ISNUMBER(F614),F614&gt;D614),1,0)</x:f>
        <x:v>1</x:v>
      </x:c>
      <x:c r="J614" s="2" t="n">
        <x:f>IF(H614=1,F614-D614,"")</x:f>
        <x:v>1</x:v>
      </x:c>
      <x:c r="K614" s="2" t="n">
        <x:f>IF(H614=1,F614-E614,"")</x:f>
        <x:v>2</x:v>
      </x:c>
      <x:c r="L614" s="2" t="n">
        <x:v>9</x:v>
      </x:c>
      <x:c r="M614" s="2" t="n">
        <x:v>3</x:v>
      </x:c>
      <x:c r="N614" s="20" t="n">
        <x:v>0.4</x:v>
      </x:c>
      <x:c r="O614" s="20" t="n">
        <x:v>0.8</x:v>
      </x:c>
      <x:c r="P614" s="20" t="n">
        <x:v>0.75</x:v>
      </x:c>
      <x:c r="Q614" s="2" t="n">
        <x:v>45</x:v>
      </x:c>
      <x:c r="R614" s="2" t="str">
        <x:v>ISFJ</x:v>
      </x:c>
      <x:c r="S614" s="2" t="str">
        <x:v>西北</x:v>
      </x:c>
      <x:c r="T614" s="2" t="str">
        <x:v>生产运输或体力岗位</x:v>
      </x:c>
    </x:row>
    <x:row r="615" ht="24" customHeight="1">
      <x:c r="A615" s="2" t="str">
        <x:v>D040_T02_C080_G075</x:v>
      </x:c>
      <x:c r="B615" s="2" t="str">
        <x:v>A0206</x:v>
      </x:c>
      <x:c r="C615" s="2" t="str">
        <x:v>inside</x:v>
      </x:c>
      <x:c r="D615" s="2" t="n">
        <x:v>2</x:v>
      </x:c>
      <x:c r="E615" s="2" t="n">
        <x:v>1</x:v>
      </x:c>
      <x:c r="F615" s="2" t="n">
        <x:v>2</x:v>
      </x:c>
      <x:c r="G615" s="2" t="str">
        <x:v>observed_post_release</x:v>
      </x:c>
      <x:c r="H615" s="2" t="n">
        <x:f>IF(AND(ISNUMBER(F615),F615&gt;=D615),1,0)</x:f>
        <x:v>1</x:v>
      </x:c>
      <x:c r="I615" s="2" t="n">
        <x:f>IF(AND(ISNUMBER(F615),F615&gt;D615),1,0)</x:f>
        <x:v>0</x:v>
      </x:c>
      <x:c r="J615" s="2" t="n">
        <x:f>IF(H615=1,F615-D615,"")</x:f>
        <x:v>0</x:v>
      </x:c>
      <x:c r="K615" s="2" t="n">
        <x:f>IF(H615=1,F615-E615,"")</x:f>
        <x:v>1</x:v>
      </x:c>
      <x:c r="L615" s="2" t="n">
        <x:v>9</x:v>
      </x:c>
      <x:c r="M615" s="2" t="n">
        <x:v>2</x:v>
      </x:c>
      <x:c r="N615" s="20" t="n">
        <x:v>0.4</x:v>
      </x:c>
      <x:c r="O615" s="20" t="n">
        <x:v>0.8</x:v>
      </x:c>
      <x:c r="P615" s="20" t="n">
        <x:v>0.75</x:v>
      </x:c>
      <x:c r="Q615" s="2" t="n">
        <x:v>21</x:v>
      </x:c>
      <x:c r="R615" s="2" t="str">
        <x:v>ESTP</x:v>
      </x:c>
      <x:c r="S615" s="2" t="str">
        <x:v>西北</x:v>
      </x:c>
      <x:c r="T615" s="2" t="str">
        <x:v>暂未就业或家庭照料</x:v>
      </x:c>
    </x:row>
    <x:row r="616" ht="24" customHeight="1">
      <x:c r="A616" s="2" t="str">
        <x:v>D040_T04_C020_G025</x:v>
      </x:c>
      <x:c r="B616" s="2" t="str">
        <x:v>A0001</x:v>
      </x:c>
      <x:c r="C616" s="2" t="str">
        <x:v>inside</x:v>
      </x:c>
      <x:c r="D616" s="2" t="n">
        <x:v>4</x:v>
      </x:c>
      <x:c r="E616" s="2" t="n">
        <x:v>1</x:v>
      </x:c>
      <x:c r="F616" s="2" t="n">
        <x:v>6</x:v>
      </x:c>
      <x:c r="G616" s="2" t="str">
        <x:v>observed_post_release</x:v>
      </x:c>
      <x:c r="H616" s="2" t="n">
        <x:f>IF(AND(ISNUMBER(F616),F616&gt;=D616),1,0)</x:f>
        <x:v>1</x:v>
      </x:c>
      <x:c r="I616" s="2" t="n">
        <x:f>IF(AND(ISNUMBER(F616),F616&gt;D616),1,0)</x:f>
        <x:v>1</x:v>
      </x:c>
      <x:c r="J616" s="2" t="n">
        <x:f>IF(H616=1,F616-D616,"")</x:f>
        <x:v>2</x:v>
      </x:c>
      <x:c r="K616" s="2" t="n">
        <x:f>IF(H616=1,F616-E616,"")</x:f>
        <x:v>5</x:v>
      </x:c>
      <x:c r="L616" s="2" t="n">
        <x:v>9</x:v>
      </x:c>
      <x:c r="M616" s="2" t="n">
        <x:v>5</x:v>
      </x:c>
      <x:c r="N616" s="20" t="n">
        <x:v>0.4</x:v>
      </x:c>
      <x:c r="O616" s="20" t="n">
        <x:v>0.2</x:v>
      </x:c>
      <x:c r="P616" s="20" t="n">
        <x:v>0.25</x:v>
      </x:c>
      <x:c r="Q616" s="2" t="n">
        <x:v>22</x:v>
      </x:c>
      <x:c r="R616" s="2" t="str">
        <x:v>ESTJ</x:v>
      </x:c>
      <x:c r="S616" s="2" t="str">
        <x:v>华南</x:v>
      </x:c>
      <x:c r="T616" s="2" t="str">
        <x:v>在校学生</x:v>
      </x:c>
    </x:row>
    <x:row r="617" ht="24" customHeight="1">
      <x:c r="A617" s="2" t="str">
        <x:v>D040_T04_C020_G025</x:v>
      </x:c>
      <x:c r="B617" s="2" t="str">
        <x:v>A0002</x:v>
      </x:c>
      <x:c r="C617" s="2" t="str">
        <x:v>inside</x:v>
      </x:c>
      <x:c r="D617" s="2" t="n">
        <x:v>4</x:v>
      </x:c>
      <x:c r="E617" s="2" t="n">
        <x:v>4</x:v>
      </x:c>
      <x:c r="F617" s="2" t="n">
        <x:v>6</x:v>
      </x:c>
      <x:c r="G617" s="2" t="str">
        <x:v>observed_post_release</x:v>
      </x:c>
      <x:c r="H617" s="2" t="n">
        <x:f>IF(AND(ISNUMBER(F617),F617&gt;=D617),1,0)</x:f>
        <x:v>1</x:v>
      </x:c>
      <x:c r="I617" s="2" t="n">
        <x:f>IF(AND(ISNUMBER(F617),F617&gt;D617),1,0)</x:f>
        <x:v>1</x:v>
      </x:c>
      <x:c r="J617" s="2" t="n">
        <x:f>IF(H617=1,F617-D617,"")</x:f>
        <x:v>2</x:v>
      </x:c>
      <x:c r="K617" s="2" t="n">
        <x:f>IF(H617=1,F617-E617,"")</x:f>
        <x:v>2</x:v>
      </x:c>
      <x:c r="L617" s="2" t="n">
        <x:v>6</x:v>
      </x:c>
      <x:c r="M617" s="2" t="n">
        <x:v>6</x:v>
      </x:c>
      <x:c r="N617" s="20" t="n">
        <x:v>0.4</x:v>
      </x:c>
      <x:c r="O617" s="20" t="n">
        <x:v>0.2</x:v>
      </x:c>
      <x:c r="P617" s="20" t="n">
        <x:v>0.25</x:v>
      </x:c>
      <x:c r="Q617" s="2" t="n">
        <x:v>19</x:v>
      </x:c>
      <x:c r="R617" s="2" t="str">
        <x:v>ESTP</x:v>
      </x:c>
      <x:c r="S617" s="2" t="str">
        <x:v>华南</x:v>
      </x:c>
      <x:c r="T617" s="2" t="str">
        <x:v>商业服务岗位</x:v>
      </x:c>
    </x:row>
    <x:row r="618" ht="24" customHeight="1">
      <x:c r="A618" s="2" t="str">
        <x:v>D040_T04_C020_G025</x:v>
      </x:c>
      <x:c r="B618" s="2" t="str">
        <x:v>A0004</x:v>
      </x:c>
      <x:c r="C618" s="2" t="str">
        <x:v>inside</x:v>
      </x:c>
      <x:c r="D618" s="2" t="n">
        <x:v>4</x:v>
      </x:c>
      <x:c r="E618" s="2" t="n">
        <x:v>6</x:v>
      </x:c>
      <x:c r="F618" s="2"/>
      <x:c r="G618" s="2" t="str">
        <x:v>right_censored</x:v>
      </x:c>
      <x:c r="H618" s="2" t="n">
        <x:f>IF(AND(ISNUMBER(F618),F618&gt;=D618),1,0)</x:f>
        <x:v>0</x:v>
      </x:c>
      <x:c r="I618" s="2" t="n">
        <x:f>IF(AND(ISNUMBER(F618),F618&gt;D618),1,0)</x:f>
        <x:v>0</x:v>
      </x:c>
      <x:c r="J618" s="2" t="str">
        <x:f>IF(H618=1,F618-D618,"")</x:f>
      </x:c>
      <x:c r="K618" s="2" t="str">
        <x:f>IF(H618=1,F618-E618,"")</x:f>
      </x:c>
      <x:c r="L618" s="2" t="n">
        <x:v>4</x:v>
      </x:c>
      <x:c r="M618" s="2"/>
      <x:c r="N618" s="20" t="n">
        <x:v>0.4</x:v>
      </x:c>
      <x:c r="O618" s="20" t="n">
        <x:v>0.2</x:v>
      </x:c>
      <x:c r="P618" s="20" t="n">
        <x:v>0.25</x:v>
      </x:c>
      <x:c r="Q618" s="2" t="n">
        <x:v>40</x:v>
      </x:c>
      <x:c r="R618" s="2" t="str">
        <x:v>INTP</x:v>
      </x:c>
      <x:c r="S618" s="2" t="str">
        <x:v>华中</x:v>
      </x:c>
      <x:c r="T618" s="2" t="str">
        <x:v>行政或办公室岗位</x:v>
      </x:c>
    </x:row>
    <x:row r="619" ht="24" customHeight="1">
      <x:c r="A619" s="2" t="str">
        <x:v>D040_T04_C020_G025</x:v>
      </x:c>
      <x:c r="B619" s="2" t="str">
        <x:v>A0005</x:v>
      </x:c>
      <x:c r="C619" s="2" t="str">
        <x:v>inside</x:v>
      </x:c>
      <x:c r="D619" s="2" t="n">
        <x:v>4</x:v>
      </x:c>
      <x:c r="E619" s="2" t="n">
        <x:v>1</x:v>
      </x:c>
      <x:c r="F619" s="2"/>
      <x:c r="G619" s="2" t="str">
        <x:v>right_censored</x:v>
      </x:c>
      <x:c r="H619" s="2" t="n">
        <x:f>IF(AND(ISNUMBER(F619),F619&gt;=D619),1,0)</x:f>
        <x:v>0</x:v>
      </x:c>
      <x:c r="I619" s="2" t="n">
        <x:f>IF(AND(ISNUMBER(F619),F619&gt;D619),1,0)</x:f>
        <x:v>0</x:v>
      </x:c>
      <x:c r="J619" s="2" t="str">
        <x:f>IF(H619=1,F619-D619,"")</x:f>
      </x:c>
      <x:c r="K619" s="2" t="str">
        <x:f>IF(H619=1,F619-E619,"")</x:f>
      </x:c>
      <x:c r="L619" s="2" t="n">
        <x:v>9</x:v>
      </x:c>
      <x:c r="M619" s="2"/>
      <x:c r="N619" s="20" t="n">
        <x:v>0.4</x:v>
      </x:c>
      <x:c r="O619" s="20" t="n">
        <x:v>0.2</x:v>
      </x:c>
      <x:c r="P619" s="20" t="n">
        <x:v>0.25</x:v>
      </x:c>
      <x:c r="Q619" s="2" t="n">
        <x:v>51</x:v>
      </x:c>
      <x:c r="R619" s="2" t="str">
        <x:v>ISTP</x:v>
      </x:c>
      <x:c r="S619" s="2" t="str">
        <x:v>华南</x:v>
      </x:c>
      <x:c r="T619" s="2" t="str">
        <x:v>生产运输或体力岗位</x:v>
      </x:c>
    </x:row>
    <x:row r="620" ht="24" customHeight="1">
      <x:c r="A620" s="2" t="str">
        <x:v>D040_T04_C020_G025</x:v>
      </x:c>
      <x:c r="B620" s="2" t="str">
        <x:v>A0006</x:v>
      </x:c>
      <x:c r="C620" s="2" t="str">
        <x:v>inside</x:v>
      </x:c>
      <x:c r="D620" s="2" t="n">
        <x:v>4</x:v>
      </x:c>
      <x:c r="E620" s="2" t="n">
        <x:v>1</x:v>
      </x:c>
      <x:c r="F620" s="2" t="n">
        <x:v>7</x:v>
      </x:c>
      <x:c r="G620" s="2" t="str">
        <x:v>observed_post_release</x:v>
      </x:c>
      <x:c r="H620" s="2" t="n">
        <x:f>IF(AND(ISNUMBER(F620),F620&gt;=D620),1,0)</x:f>
        <x:v>1</x:v>
      </x:c>
      <x:c r="I620" s="2" t="n">
        <x:f>IF(AND(ISNUMBER(F620),F620&gt;D620),1,0)</x:f>
        <x:v>1</x:v>
      </x:c>
      <x:c r="J620" s="2" t="n">
        <x:f>IF(H620=1,F620-D620,"")</x:f>
        <x:v>3</x:v>
      </x:c>
      <x:c r="K620" s="2" t="n">
        <x:f>IF(H620=1,F620-E620,"")</x:f>
        <x:v>6</x:v>
      </x:c>
      <x:c r="L620" s="2" t="n">
        <x:v>9</x:v>
      </x:c>
      <x:c r="M620" s="2" t="n">
        <x:v>6</x:v>
      </x:c>
      <x:c r="N620" s="20" t="n">
        <x:v>0.4</x:v>
      </x:c>
      <x:c r="O620" s="20" t="n">
        <x:v>0.2</x:v>
      </x:c>
      <x:c r="P620" s="20" t="n">
        <x:v>0.25</x:v>
      </x:c>
      <x:c r="Q620" s="2" t="n">
        <x:v>60</x:v>
      </x:c>
      <x:c r="R620" s="2" t="str">
        <x:v>ENFP</x:v>
      </x:c>
      <x:c r="S620" s="2" t="str">
        <x:v>华中</x:v>
      </x:c>
      <x:c r="T620" s="2" t="str">
        <x:v>行政或办公室岗位</x:v>
      </x:c>
    </x:row>
    <x:row r="621" ht="24" customHeight="1">
      <x:c r="A621" s="2" t="str">
        <x:v>D040_T04_C020_G025</x:v>
      </x:c>
      <x:c r="B621" s="2" t="str">
        <x:v>A0007</x:v>
      </x:c>
      <x:c r="C621" s="2" t="str">
        <x:v>inside</x:v>
      </x:c>
      <x:c r="D621" s="2" t="n">
        <x:v>4</x:v>
      </x:c>
      <x:c r="E621" s="2" t="n">
        <x:v>1</x:v>
      </x:c>
      <x:c r="F621" s="2" t="n">
        <x:v>9</x:v>
      </x:c>
      <x:c r="G621" s="2" t="str">
        <x:v>observed_post_release</x:v>
      </x:c>
      <x:c r="H621" s="2" t="n">
        <x:f>IF(AND(ISNUMBER(F621),F621&gt;=D621),1,0)</x:f>
        <x:v>1</x:v>
      </x:c>
      <x:c r="I621" s="2" t="n">
        <x:f>IF(AND(ISNUMBER(F621),F621&gt;D621),1,0)</x:f>
        <x:v>1</x:v>
      </x:c>
      <x:c r="J621" s="2" t="n">
        <x:f>IF(H621=1,F621-D621,"")</x:f>
        <x:v>5</x:v>
      </x:c>
      <x:c r="K621" s="2" t="n">
        <x:f>IF(H621=1,F621-E621,"")</x:f>
        <x:v>8</x:v>
      </x:c>
      <x:c r="L621" s="2" t="n">
        <x:v>9</x:v>
      </x:c>
      <x:c r="M621" s="2" t="n">
        <x:v>4</x:v>
      </x:c>
      <x:c r="N621" s="20" t="n">
        <x:v>0.4</x:v>
      </x:c>
      <x:c r="O621" s="20" t="n">
        <x:v>0.2</x:v>
      </x:c>
      <x:c r="P621" s="20" t="n">
        <x:v>0.25</x:v>
      </x:c>
      <x:c r="Q621" s="2" t="n">
        <x:v>36</x:v>
      </x:c>
      <x:c r="R621" s="2" t="str">
        <x:v>INFJ</x:v>
      </x:c>
      <x:c r="S621" s="2" t="str">
        <x:v>华东</x:v>
      </x:c>
      <x:c r="T621" s="2" t="str">
        <x:v>行政或办公室岗位</x:v>
      </x:c>
    </x:row>
    <x:row r="622" ht="24" customHeight="1">
      <x:c r="A622" s="2" t="str">
        <x:v>D040_T04_C020_G025</x:v>
      </x:c>
      <x:c r="B622" s="2" t="str">
        <x:v>A0008</x:v>
      </x:c>
      <x:c r="C622" s="2" t="str">
        <x:v>inside</x:v>
      </x:c>
      <x:c r="D622" s="2" t="n">
        <x:v>4</x:v>
      </x:c>
      <x:c r="E622" s="2" t="n">
        <x:v>1</x:v>
      </x:c>
      <x:c r="F622" s="2"/>
      <x:c r="G622" s="2" t="str">
        <x:v>right_censored</x:v>
      </x:c>
      <x:c r="H622" s="2" t="n">
        <x:f>IF(AND(ISNUMBER(F622),F622&gt;=D622),1,0)</x:f>
        <x:v>0</x:v>
      </x:c>
      <x:c r="I622" s="2" t="n">
        <x:f>IF(AND(ISNUMBER(F622),F622&gt;D622),1,0)</x:f>
        <x:v>0</x:v>
      </x:c>
      <x:c r="J622" s="2" t="str">
        <x:f>IF(H622=1,F622-D622,"")</x:f>
      </x:c>
      <x:c r="K622" s="2" t="str">
        <x:f>IF(H622=1,F622-E622,"")</x:f>
      </x:c>
      <x:c r="L622" s="2" t="n">
        <x:v>9</x:v>
      </x:c>
      <x:c r="M622" s="2" t="n">
        <x:v>6</x:v>
      </x:c>
      <x:c r="N622" s="20" t="n">
        <x:v>0.4</x:v>
      </x:c>
      <x:c r="O622" s="20" t="n">
        <x:v>0.2</x:v>
      </x:c>
      <x:c r="P622" s="20" t="n">
        <x:v>0.25</x:v>
      </x:c>
      <x:c r="Q622" s="2" t="n">
        <x:v>36</x:v>
      </x:c>
      <x:c r="R622" s="2" t="str">
        <x:v>ISFP</x:v>
      </x:c>
      <x:c r="S622" s="2" t="str">
        <x:v>华南</x:v>
      </x:c>
      <x:c r="T622" s="2" t="str">
        <x:v>生产运输或体力岗位</x:v>
      </x:c>
    </x:row>
    <x:row r="623" ht="24" customHeight="1">
      <x:c r="A623" s="2" t="str">
        <x:v>D040_T04_C020_G025</x:v>
      </x:c>
      <x:c r="B623" s="2" t="str">
        <x:v>A0009</x:v>
      </x:c>
      <x:c r="C623" s="2" t="str">
        <x:v>inside</x:v>
      </x:c>
      <x:c r="D623" s="2" t="n">
        <x:v>4</x:v>
      </x:c>
      <x:c r="E623" s="2" t="n">
        <x:v>1</x:v>
      </x:c>
      <x:c r="F623" s="2" t="n">
        <x:v>8</x:v>
      </x:c>
      <x:c r="G623" s="2" t="str">
        <x:v>observed_post_release</x:v>
      </x:c>
      <x:c r="H623" s="2" t="n">
        <x:f>IF(AND(ISNUMBER(F623),F623&gt;=D623),1,0)</x:f>
        <x:v>1</x:v>
      </x:c>
      <x:c r="I623" s="2" t="n">
        <x:f>IF(AND(ISNUMBER(F623),F623&gt;D623),1,0)</x:f>
        <x:v>1</x:v>
      </x:c>
      <x:c r="J623" s="2" t="n">
        <x:f>IF(H623=1,F623-D623,"")</x:f>
        <x:v>4</x:v>
      </x:c>
      <x:c r="K623" s="2" t="n">
        <x:f>IF(H623=1,F623-E623,"")</x:f>
        <x:v>7</x:v>
      </x:c>
      <x:c r="L623" s="2" t="n">
        <x:v>9</x:v>
      </x:c>
      <x:c r="M623" s="2" t="n">
        <x:v>5</x:v>
      </x:c>
      <x:c r="N623" s="20" t="n">
        <x:v>0.4</x:v>
      </x:c>
      <x:c r="O623" s="20" t="n">
        <x:v>0.2</x:v>
      </x:c>
      <x:c r="P623" s="20" t="n">
        <x:v>0.25</x:v>
      </x:c>
      <x:c r="Q623" s="2" t="n">
        <x:v>32</x:v>
      </x:c>
      <x:c r="R623" s="2" t="str">
        <x:v>ENFJ</x:v>
      </x:c>
      <x:c r="S623" s="2" t="str">
        <x:v>华东</x:v>
      </x:c>
      <x:c r="T623" s="2" t="str">
        <x:v>商业服务岗位</x:v>
      </x:c>
    </x:row>
    <x:row r="624" ht="24" customHeight="1">
      <x:c r="A624" s="2" t="str">
        <x:v>D040_T04_C020_G025</x:v>
      </x:c>
      <x:c r="B624" s="2" t="str">
        <x:v>A0011</x:v>
      </x:c>
      <x:c r="C624" s="2" t="str">
        <x:v>inside</x:v>
      </x:c>
      <x:c r="D624" s="2" t="n">
        <x:v>4</x:v>
      </x:c>
      <x:c r="E624" s="2" t="n">
        <x:v>1</x:v>
      </x:c>
      <x:c r="F624" s="2" t="n">
        <x:v>7</x:v>
      </x:c>
      <x:c r="G624" s="2" t="str">
        <x:v>observed_post_release</x:v>
      </x:c>
      <x:c r="H624" s="2" t="n">
        <x:f>IF(AND(ISNUMBER(F624),F624&gt;=D624),1,0)</x:f>
        <x:v>1</x:v>
      </x:c>
      <x:c r="I624" s="2" t="n">
        <x:f>IF(AND(ISNUMBER(F624),F624&gt;D624),1,0)</x:f>
        <x:v>1</x:v>
      </x:c>
      <x:c r="J624" s="2" t="n">
        <x:f>IF(H624=1,F624-D624,"")</x:f>
        <x:v>3</x:v>
      </x:c>
      <x:c r="K624" s="2" t="n">
        <x:f>IF(H624=1,F624-E624,"")</x:f>
        <x:v>6</x:v>
      </x:c>
      <x:c r="L624" s="2" t="n">
        <x:v>9</x:v>
      </x:c>
      <x:c r="M624" s="2" t="n">
        <x:v>4</x:v>
      </x:c>
      <x:c r="N624" s="20" t="n">
        <x:v>0.4</x:v>
      </x:c>
      <x:c r="O624" s="20" t="n">
        <x:v>0.2</x:v>
      </x:c>
      <x:c r="P624" s="20" t="n">
        <x:v>0.25</x:v>
      </x:c>
      <x:c r="Q624" s="2" t="n">
        <x:v>42</x:v>
      </x:c>
      <x:c r="R624" s="2" t="str">
        <x:v>ENFJ</x:v>
      </x:c>
      <x:c r="S624" s="2" t="str">
        <x:v>西南</x:v>
      </x:c>
      <x:c r="T624" s="2" t="str">
        <x:v>行政或办公室岗位</x:v>
      </x:c>
    </x:row>
    <x:row r="625" ht="24" customHeight="1">
      <x:c r="A625" s="2" t="str">
        <x:v>D040_T04_C020_G025</x:v>
      </x:c>
      <x:c r="B625" s="2" t="str">
        <x:v>A0012</x:v>
      </x:c>
      <x:c r="C625" s="2" t="str">
        <x:v>inside</x:v>
      </x:c>
      <x:c r="D625" s="2" t="n">
        <x:v>4</x:v>
      </x:c>
      <x:c r="E625" s="2" t="n">
        <x:v>1</x:v>
      </x:c>
      <x:c r="F625" s="2"/>
      <x:c r="G625" s="2" t="str">
        <x:v>right_censored</x:v>
      </x:c>
      <x:c r="H625" s="2" t="n">
        <x:f>IF(AND(ISNUMBER(F625),F625&gt;=D625),1,0)</x:f>
        <x:v>0</x:v>
      </x:c>
      <x:c r="I625" s="2" t="n">
        <x:f>IF(AND(ISNUMBER(F625),F625&gt;D625),1,0)</x:f>
        <x:v>0</x:v>
      </x:c>
      <x:c r="J625" s="2" t="str">
        <x:f>IF(H625=1,F625-D625,"")</x:f>
      </x:c>
      <x:c r="K625" s="2" t="str">
        <x:f>IF(H625=1,F625-E625,"")</x:f>
      </x:c>
      <x:c r="L625" s="2" t="n">
        <x:v>9</x:v>
      </x:c>
      <x:c r="M625" s="2" t="n">
        <x:v>5</x:v>
      </x:c>
      <x:c r="N625" s="20" t="n">
        <x:v>0.4</x:v>
      </x:c>
      <x:c r="O625" s="20" t="n">
        <x:v>0.2</x:v>
      </x:c>
      <x:c r="P625" s="20" t="n">
        <x:v>0.25</x:v>
      </x:c>
      <x:c r="Q625" s="2" t="n">
        <x:v>38</x:v>
      </x:c>
      <x:c r="R625" s="2" t="str">
        <x:v>ESFP</x:v>
      </x:c>
      <x:c r="S625" s="2" t="str">
        <x:v>华中</x:v>
      </x:c>
      <x:c r="T625" s="2" t="str">
        <x:v>行政或办公室岗位</x:v>
      </x:c>
    </x:row>
    <x:row r="626" ht="24" customHeight="1">
      <x:c r="A626" s="2" t="str">
        <x:v>D040_T04_C020_G025</x:v>
      </x:c>
      <x:c r="B626" s="2" t="str">
        <x:v>A0014</x:v>
      </x:c>
      <x:c r="C626" s="2" t="str">
        <x:v>inside</x:v>
      </x:c>
      <x:c r="D626" s="2" t="n">
        <x:v>4</x:v>
      </x:c>
      <x:c r="E626" s="2" t="n">
        <x:v>1</x:v>
      </x:c>
      <x:c r="F626" s="2" t="n">
        <x:v>4</x:v>
      </x:c>
      <x:c r="G626" s="2" t="str">
        <x:v>observed_post_release</x:v>
      </x:c>
      <x:c r="H626" s="2" t="n">
        <x:f>IF(AND(ISNUMBER(F626),F626&gt;=D626),1,0)</x:f>
        <x:v>1</x:v>
      </x:c>
      <x:c r="I626" s="2" t="n">
        <x:f>IF(AND(ISNUMBER(F626),F626&gt;D626),1,0)</x:f>
        <x:v>0</x:v>
      </x:c>
      <x:c r="J626" s="2" t="n">
        <x:f>IF(H626=1,F626-D626,"")</x:f>
        <x:v>0</x:v>
      </x:c>
      <x:c r="K626" s="2" t="n">
        <x:f>IF(H626=1,F626-E626,"")</x:f>
        <x:v>3</x:v>
      </x:c>
      <x:c r="L626" s="2" t="n">
        <x:v>9</x:v>
      </x:c>
      <x:c r="M626" s="2" t="n">
        <x:v>4</x:v>
      </x:c>
      <x:c r="N626" s="20" t="n">
        <x:v>0.4</x:v>
      </x:c>
      <x:c r="O626" s="20" t="n">
        <x:v>0.2</x:v>
      </x:c>
      <x:c r="P626" s="20" t="n">
        <x:v>0.25</x:v>
      </x:c>
      <x:c r="Q626" s="2" t="n">
        <x:v>52</x:v>
      </x:c>
      <x:c r="R626" s="2" t="str">
        <x:v>INFJ</x:v>
      </x:c>
      <x:c r="S626" s="2" t="str">
        <x:v>华东</x:v>
      </x:c>
      <x:c r="T626" s="2" t="str">
        <x:v>生产运输或体力岗位</x:v>
      </x:c>
    </x:row>
    <x:row r="627" ht="24" customHeight="1">
      <x:c r="A627" s="2" t="str">
        <x:v>D040_T04_C020_G025</x:v>
      </x:c>
      <x:c r="B627" s="2" t="str">
        <x:v>A0016</x:v>
      </x:c>
      <x:c r="C627" s="2" t="str">
        <x:v>inside</x:v>
      </x:c>
      <x:c r="D627" s="2" t="n">
        <x:v>4</x:v>
      </x:c>
      <x:c r="E627" s="2" t="n">
        <x:v>1</x:v>
      </x:c>
      <x:c r="F627" s="2"/>
      <x:c r="G627" s="2" t="str">
        <x:v>right_censored</x:v>
      </x:c>
      <x:c r="H627" s="2" t="n">
        <x:f>IF(AND(ISNUMBER(F627),F627&gt;=D627),1,0)</x:f>
        <x:v>0</x:v>
      </x:c>
      <x:c r="I627" s="2" t="n">
        <x:f>IF(AND(ISNUMBER(F627),F627&gt;D627),1,0)</x:f>
        <x:v>0</x:v>
      </x:c>
      <x:c r="J627" s="2" t="str">
        <x:f>IF(H627=1,F627-D627,"")</x:f>
      </x:c>
      <x:c r="K627" s="2" t="str">
        <x:f>IF(H627=1,F627-E627,"")</x:f>
      </x:c>
      <x:c r="L627" s="2" t="n">
        <x:v>9</x:v>
      </x:c>
      <x:c r="M627" s="2" t="n">
        <x:v>6</x:v>
      </x:c>
      <x:c r="N627" s="20" t="n">
        <x:v>0.4</x:v>
      </x:c>
      <x:c r="O627" s="20" t="n">
        <x:v>0.2</x:v>
      </x:c>
      <x:c r="P627" s="20" t="n">
        <x:v>0.25</x:v>
      </x:c>
      <x:c r="Q627" s="2" t="n">
        <x:v>60</x:v>
      </x:c>
      <x:c r="R627" s="2" t="str">
        <x:v>ESFJ</x:v>
      </x:c>
      <x:c r="S627" s="2" t="str">
        <x:v>华北</x:v>
      </x:c>
      <x:c r="T627" s="2" t="str">
        <x:v>个体经营或自由职业</x:v>
      </x:c>
    </x:row>
    <x:row r="628" ht="24" customHeight="1">
      <x:c r="A628" s="2" t="str">
        <x:v>D040_T04_C020_G025</x:v>
      </x:c>
      <x:c r="B628" s="2" t="str">
        <x:v>A0017</x:v>
      </x:c>
      <x:c r="C628" s="2" t="str">
        <x:v>inside</x:v>
      </x:c>
      <x:c r="D628" s="2" t="n">
        <x:v>4</x:v>
      </x:c>
      <x:c r="E628" s="2" t="n">
        <x:v>1</x:v>
      </x:c>
      <x:c r="F628" s="2"/>
      <x:c r="G628" s="2" t="str">
        <x:v>right_censored</x:v>
      </x:c>
      <x:c r="H628" s="2" t="n">
        <x:f>IF(AND(ISNUMBER(F628),F628&gt;=D628),1,0)</x:f>
        <x:v>0</x:v>
      </x:c>
      <x:c r="I628" s="2" t="n">
        <x:f>IF(AND(ISNUMBER(F628),F628&gt;D628),1,0)</x:f>
        <x:v>0</x:v>
      </x:c>
      <x:c r="J628" s="2" t="str">
        <x:f>IF(H628=1,F628-D628,"")</x:f>
      </x:c>
      <x:c r="K628" s="2" t="str">
        <x:f>IF(H628=1,F628-E628,"")</x:f>
      </x:c>
      <x:c r="L628" s="2" t="n">
        <x:v>9</x:v>
      </x:c>
      <x:c r="M628" s="2"/>
      <x:c r="N628" s="20" t="n">
        <x:v>0.4</x:v>
      </x:c>
      <x:c r="O628" s="20" t="n">
        <x:v>0.2</x:v>
      </x:c>
      <x:c r="P628" s="20" t="n">
        <x:v>0.25</x:v>
      </x:c>
      <x:c r="Q628" s="2" t="n">
        <x:v>30</x:v>
      </x:c>
      <x:c r="R628" s="2" t="str">
        <x:v>ISTJ</x:v>
      </x:c>
      <x:c r="S628" s="2" t="str">
        <x:v>华东</x:v>
      </x:c>
      <x:c r="T628" s="2" t="str">
        <x:v>商业服务岗位</x:v>
      </x:c>
    </x:row>
    <x:row r="629" ht="24" customHeight="1">
      <x:c r="A629" s="2" t="str">
        <x:v>D040_T04_C020_G025</x:v>
      </x:c>
      <x:c r="B629" s="2" t="str">
        <x:v>A0018</x:v>
      </x:c>
      <x:c r="C629" s="2" t="str">
        <x:v>inside</x:v>
      </x:c>
      <x:c r="D629" s="2" t="n">
        <x:v>4</x:v>
      </x:c>
      <x:c r="E629" s="2" t="n">
        <x:v>1</x:v>
      </x:c>
      <x:c r="F629" s="2"/>
      <x:c r="G629" s="2" t="str">
        <x:v>right_censored</x:v>
      </x:c>
      <x:c r="H629" s="2" t="n">
        <x:f>IF(AND(ISNUMBER(F629),F629&gt;=D629),1,0)</x:f>
        <x:v>0</x:v>
      </x:c>
      <x:c r="I629" s="2" t="n">
        <x:f>IF(AND(ISNUMBER(F629),F629&gt;D629),1,0)</x:f>
        <x:v>0</x:v>
      </x:c>
      <x:c r="J629" s="2" t="str">
        <x:f>IF(H629=1,F629-D629,"")</x:f>
      </x:c>
      <x:c r="K629" s="2" t="str">
        <x:f>IF(H629=1,F629-E629,"")</x:f>
      </x:c>
      <x:c r="L629" s="2" t="n">
        <x:v>9</x:v>
      </x:c>
      <x:c r="M629" s="2"/>
      <x:c r="N629" s="20" t="n">
        <x:v>0.4</x:v>
      </x:c>
      <x:c r="O629" s="20" t="n">
        <x:v>0.2</x:v>
      </x:c>
      <x:c r="P629" s="20" t="n">
        <x:v>0.25</x:v>
      </x:c>
      <x:c r="Q629" s="2" t="n">
        <x:v>60</x:v>
      </x:c>
      <x:c r="R629" s="2" t="str">
        <x:v>INTJ</x:v>
      </x:c>
      <x:c r="S629" s="2" t="str">
        <x:v>华南</x:v>
      </x:c>
      <x:c r="T629" s="2" t="str">
        <x:v>专业技术岗位</x:v>
      </x:c>
    </x:row>
    <x:row r="630" ht="24" customHeight="1">
      <x:c r="A630" s="2" t="str">
        <x:v>D040_T04_C020_G025</x:v>
      </x:c>
      <x:c r="B630" s="2" t="str">
        <x:v>A0019</x:v>
      </x:c>
      <x:c r="C630" s="2" t="str">
        <x:v>inside</x:v>
      </x:c>
      <x:c r="D630" s="2" t="n">
        <x:v>4</x:v>
      </x:c>
      <x:c r="E630" s="2" t="n">
        <x:v>1</x:v>
      </x:c>
      <x:c r="F630" s="2"/>
      <x:c r="G630" s="2" t="str">
        <x:v>right_censored</x:v>
      </x:c>
      <x:c r="H630" s="2" t="n">
        <x:f>IF(AND(ISNUMBER(F630),F630&gt;=D630),1,0)</x:f>
        <x:v>0</x:v>
      </x:c>
      <x:c r="I630" s="2" t="n">
        <x:f>IF(AND(ISNUMBER(F630),F630&gt;D630),1,0)</x:f>
        <x:v>0</x:v>
      </x:c>
      <x:c r="J630" s="2" t="str">
        <x:f>IF(H630=1,F630-D630,"")</x:f>
      </x:c>
      <x:c r="K630" s="2" t="str">
        <x:f>IF(H630=1,F630-E630,"")</x:f>
      </x:c>
      <x:c r="L630" s="2" t="n">
        <x:v>9</x:v>
      </x:c>
      <x:c r="M630" s="2"/>
      <x:c r="N630" s="20" t="n">
        <x:v>0.4</x:v>
      </x:c>
      <x:c r="O630" s="20" t="n">
        <x:v>0.2</x:v>
      </x:c>
      <x:c r="P630" s="20" t="n">
        <x:v>0.25</x:v>
      </x:c>
      <x:c r="Q630" s="2" t="n">
        <x:v>19</x:v>
      </x:c>
      <x:c r="R630" s="2" t="str">
        <x:v>INTJ</x:v>
      </x:c>
      <x:c r="S630" s="2" t="str">
        <x:v>西南</x:v>
      </x:c>
      <x:c r="T630" s="2" t="str">
        <x:v>行政或办公室岗位</x:v>
      </x:c>
    </x:row>
    <x:row r="631" ht="24" customHeight="1">
      <x:c r="A631" s="2" t="str">
        <x:v>D040_T04_C020_G025</x:v>
      </x:c>
      <x:c r="B631" s="2" t="str">
        <x:v>A0020</x:v>
      </x:c>
      <x:c r="C631" s="2" t="str">
        <x:v>inside</x:v>
      </x:c>
      <x:c r="D631" s="2" t="n">
        <x:v>4</x:v>
      </x:c>
      <x:c r="E631" s="2" t="n">
        <x:v>1</x:v>
      </x:c>
      <x:c r="F631" s="2" t="n">
        <x:v>9</x:v>
      </x:c>
      <x:c r="G631" s="2" t="str">
        <x:v>observed_post_release</x:v>
      </x:c>
      <x:c r="H631" s="2" t="n">
        <x:f>IF(AND(ISNUMBER(F631),F631&gt;=D631),1,0)</x:f>
        <x:v>1</x:v>
      </x:c>
      <x:c r="I631" s="2" t="n">
        <x:f>IF(AND(ISNUMBER(F631),F631&gt;D631),1,0)</x:f>
        <x:v>1</x:v>
      </x:c>
      <x:c r="J631" s="2" t="n">
        <x:f>IF(H631=1,F631-D631,"")</x:f>
        <x:v>5</x:v>
      </x:c>
      <x:c r="K631" s="2" t="n">
        <x:f>IF(H631=1,F631-E631,"")</x:f>
        <x:v>8</x:v>
      </x:c>
      <x:c r="L631" s="2" t="n">
        <x:v>9</x:v>
      </x:c>
      <x:c r="M631" s="2" t="n">
        <x:v>4</x:v>
      </x:c>
      <x:c r="N631" s="20" t="n">
        <x:v>0.4</x:v>
      </x:c>
      <x:c r="O631" s="20" t="n">
        <x:v>0.2</x:v>
      </x:c>
      <x:c r="P631" s="20" t="n">
        <x:v>0.25</x:v>
      </x:c>
      <x:c r="Q631" s="2" t="n">
        <x:v>42</x:v>
      </x:c>
      <x:c r="R631" s="2" t="str">
        <x:v>ENTJ</x:v>
      </x:c>
      <x:c r="S631" s="2" t="str">
        <x:v>西南</x:v>
      </x:c>
      <x:c r="T631" s="2" t="str">
        <x:v>行政或办公室岗位</x:v>
      </x:c>
    </x:row>
    <x:row r="632" ht="24" customHeight="1">
      <x:c r="A632" s="2" t="str">
        <x:v>D040_T04_C020_G025</x:v>
      </x:c>
      <x:c r="B632" s="2" t="str">
        <x:v>A0022</x:v>
      </x:c>
      <x:c r="C632" s="2" t="str">
        <x:v>inside</x:v>
      </x:c>
      <x:c r="D632" s="2" t="n">
        <x:v>4</x:v>
      </x:c>
      <x:c r="E632" s="2" t="n">
        <x:v>1</x:v>
      </x:c>
      <x:c r="F632" s="2" t="n">
        <x:v>10</x:v>
      </x:c>
      <x:c r="G632" s="2" t="str">
        <x:v>observed_post_release</x:v>
      </x:c>
      <x:c r="H632" s="2" t="n">
        <x:f>IF(AND(ISNUMBER(F632),F632&gt;=D632),1,0)</x:f>
        <x:v>1</x:v>
      </x:c>
      <x:c r="I632" s="2" t="n">
        <x:f>IF(AND(ISNUMBER(F632),F632&gt;D632),1,0)</x:f>
        <x:v>1</x:v>
      </x:c>
      <x:c r="J632" s="2" t="n">
        <x:f>IF(H632=1,F632-D632,"")</x:f>
        <x:v>6</x:v>
      </x:c>
      <x:c r="K632" s="2" t="n">
        <x:f>IF(H632=1,F632-E632,"")</x:f>
        <x:v>9</x:v>
      </x:c>
      <x:c r="L632" s="2" t="n">
        <x:v>9</x:v>
      </x:c>
      <x:c r="M632" s="2" t="n">
        <x:v>6</x:v>
      </x:c>
      <x:c r="N632" s="20" t="n">
        <x:v>0.4</x:v>
      </x:c>
      <x:c r="O632" s="20" t="n">
        <x:v>0.2</x:v>
      </x:c>
      <x:c r="P632" s="20" t="n">
        <x:v>0.25</x:v>
      </x:c>
      <x:c r="Q632" s="2" t="n">
        <x:v>51</x:v>
      </x:c>
      <x:c r="R632" s="2" t="str">
        <x:v>INFJ</x:v>
      </x:c>
      <x:c r="S632" s="2" t="str">
        <x:v>西南</x:v>
      </x:c>
      <x:c r="T632" s="2" t="str">
        <x:v>个体经营或自由职业</x:v>
      </x:c>
    </x:row>
    <x:row r="633" ht="24" customHeight="1">
      <x:c r="A633" s="2" t="str">
        <x:v>D040_T04_C020_G025</x:v>
      </x:c>
      <x:c r="B633" s="2" t="str">
        <x:v>A0024</x:v>
      </x:c>
      <x:c r="C633" s="2" t="str">
        <x:v>inside</x:v>
      </x:c>
      <x:c r="D633" s="2" t="n">
        <x:v>4</x:v>
      </x:c>
      <x:c r="E633" s="2" t="n">
        <x:v>1</x:v>
      </x:c>
      <x:c r="F633" s="2"/>
      <x:c r="G633" s="2" t="str">
        <x:v>right_censored</x:v>
      </x:c>
      <x:c r="H633" s="2" t="n">
        <x:f>IF(AND(ISNUMBER(F633),F633&gt;=D633),1,0)</x:f>
        <x:v>0</x:v>
      </x:c>
      <x:c r="I633" s="2" t="n">
        <x:f>IF(AND(ISNUMBER(F633),F633&gt;D633),1,0)</x:f>
        <x:v>0</x:v>
      </x:c>
      <x:c r="J633" s="2" t="str">
        <x:f>IF(H633=1,F633-D633,"")</x:f>
      </x:c>
      <x:c r="K633" s="2" t="str">
        <x:f>IF(H633=1,F633-E633,"")</x:f>
      </x:c>
      <x:c r="L633" s="2" t="n">
        <x:v>9</x:v>
      </x:c>
      <x:c r="M633" s="2" t="n">
        <x:v>5</x:v>
      </x:c>
      <x:c r="N633" s="20" t="n">
        <x:v>0.4</x:v>
      </x:c>
      <x:c r="O633" s="20" t="n">
        <x:v>0.2</x:v>
      </x:c>
      <x:c r="P633" s="20" t="n">
        <x:v>0.25</x:v>
      </x:c>
      <x:c r="Q633" s="2" t="n">
        <x:v>31</x:v>
      </x:c>
      <x:c r="R633" s="2" t="str">
        <x:v>ESTP</x:v>
      </x:c>
      <x:c r="S633" s="2" t="str">
        <x:v>华北</x:v>
      </x:c>
      <x:c r="T633" s="2" t="str">
        <x:v>商业服务岗位</x:v>
      </x:c>
    </x:row>
    <x:row r="634" ht="24" customHeight="1">
      <x:c r="A634" s="2" t="str">
        <x:v>D040_T04_C020_G025</x:v>
      </x:c>
      <x:c r="B634" s="2" t="str">
        <x:v>A0025</x:v>
      </x:c>
      <x:c r="C634" s="2" t="str">
        <x:v>inside</x:v>
      </x:c>
      <x:c r="D634" s="2" t="n">
        <x:v>4</x:v>
      </x:c>
      <x:c r="E634" s="2" t="n">
        <x:v>1</x:v>
      </x:c>
      <x:c r="F634" s="2"/>
      <x:c r="G634" s="2" t="str">
        <x:v>right_censored</x:v>
      </x:c>
      <x:c r="H634" s="2" t="n">
        <x:f>IF(AND(ISNUMBER(F634),F634&gt;=D634),1,0)</x:f>
        <x:v>0</x:v>
      </x:c>
      <x:c r="I634" s="2" t="n">
        <x:f>IF(AND(ISNUMBER(F634),F634&gt;D634),1,0)</x:f>
        <x:v>0</x:v>
      </x:c>
      <x:c r="J634" s="2" t="str">
        <x:f>IF(H634=1,F634-D634,"")</x:f>
      </x:c>
      <x:c r="K634" s="2" t="str">
        <x:f>IF(H634=1,F634-E634,"")</x:f>
      </x:c>
      <x:c r="L634" s="2" t="n">
        <x:v>9</x:v>
      </x:c>
      <x:c r="M634" s="2" t="n">
        <x:v>4</x:v>
      </x:c>
      <x:c r="N634" s="20" t="n">
        <x:v>0.4</x:v>
      </x:c>
      <x:c r="O634" s="20" t="n">
        <x:v>0.2</x:v>
      </x:c>
      <x:c r="P634" s="20" t="n">
        <x:v>0.25</x:v>
      </x:c>
      <x:c r="Q634" s="2" t="n">
        <x:v>23</x:v>
      </x:c>
      <x:c r="R634" s="2" t="str">
        <x:v>ISTP</x:v>
      </x:c>
      <x:c r="S634" s="2" t="str">
        <x:v>华南</x:v>
      </x:c>
      <x:c r="T634" s="2" t="str">
        <x:v>行政或办公室岗位</x:v>
      </x:c>
    </x:row>
    <x:row r="635" ht="24" customHeight="1">
      <x:c r="A635" s="2" t="str">
        <x:v>D040_T04_C020_G025</x:v>
      </x:c>
      <x:c r="B635" s="2" t="str">
        <x:v>A0026</x:v>
      </x:c>
      <x:c r="C635" s="2" t="str">
        <x:v>inside</x:v>
      </x:c>
      <x:c r="D635" s="2" t="n">
        <x:v>4</x:v>
      </x:c>
      <x:c r="E635" s="2" t="n">
        <x:v>1</x:v>
      </x:c>
      <x:c r="F635" s="2"/>
      <x:c r="G635" s="2" t="str">
        <x:v>right_censored</x:v>
      </x:c>
      <x:c r="H635" s="2" t="n">
        <x:f>IF(AND(ISNUMBER(F635),F635&gt;=D635),1,0)</x:f>
        <x:v>0</x:v>
      </x:c>
      <x:c r="I635" s="2" t="n">
        <x:f>IF(AND(ISNUMBER(F635),F635&gt;D635),1,0)</x:f>
        <x:v>0</x:v>
      </x:c>
      <x:c r="J635" s="2" t="str">
        <x:f>IF(H635=1,F635-D635,"")</x:f>
      </x:c>
      <x:c r="K635" s="2" t="str">
        <x:f>IF(H635=1,F635-E635,"")</x:f>
      </x:c>
      <x:c r="L635" s="2" t="n">
        <x:v>9</x:v>
      </x:c>
      <x:c r="M635" s="2" t="n">
        <x:v>4</x:v>
      </x:c>
      <x:c r="N635" s="20" t="n">
        <x:v>0.4</x:v>
      </x:c>
      <x:c r="O635" s="20" t="n">
        <x:v>0.2</x:v>
      </x:c>
      <x:c r="P635" s="20" t="n">
        <x:v>0.25</x:v>
      </x:c>
      <x:c r="Q635" s="2" t="n">
        <x:v>36</x:v>
      </x:c>
      <x:c r="R635" s="2" t="str">
        <x:v>ISFP</x:v>
      </x:c>
      <x:c r="S635" s="2" t="str">
        <x:v>西北</x:v>
      </x:c>
      <x:c r="T635" s="2" t="str">
        <x:v>个体经营或自由职业</x:v>
      </x:c>
    </x:row>
    <x:row r="636" ht="24" customHeight="1">
      <x:c r="A636" s="2" t="str">
        <x:v>D040_T04_C020_G025</x:v>
      </x:c>
      <x:c r="B636" s="2" t="str">
        <x:v>A0027</x:v>
      </x:c>
      <x:c r="C636" s="2" t="str">
        <x:v>inside</x:v>
      </x:c>
      <x:c r="D636" s="2" t="n">
        <x:v>4</x:v>
      </x:c>
      <x:c r="E636" s="2" t="n">
        <x:v>1</x:v>
      </x:c>
      <x:c r="F636" s="2"/>
      <x:c r="G636" s="2" t="str">
        <x:v>right_censored</x:v>
      </x:c>
      <x:c r="H636" s="2" t="n">
        <x:f>IF(AND(ISNUMBER(F636),F636&gt;=D636),1,0)</x:f>
        <x:v>0</x:v>
      </x:c>
      <x:c r="I636" s="2" t="n">
        <x:f>IF(AND(ISNUMBER(F636),F636&gt;D636),1,0)</x:f>
        <x:v>0</x:v>
      </x:c>
      <x:c r="J636" s="2" t="str">
        <x:f>IF(H636=1,F636-D636,"")</x:f>
      </x:c>
      <x:c r="K636" s="2" t="str">
        <x:f>IF(H636=1,F636-E636,"")</x:f>
      </x:c>
      <x:c r="L636" s="2" t="n">
        <x:v>9</x:v>
      </x:c>
      <x:c r="M636" s="2" t="n">
        <x:v>5</x:v>
      </x:c>
      <x:c r="N636" s="20" t="n">
        <x:v>0.4</x:v>
      </x:c>
      <x:c r="O636" s="20" t="n">
        <x:v>0.2</x:v>
      </x:c>
      <x:c r="P636" s="20" t="n">
        <x:v>0.25</x:v>
      </x:c>
      <x:c r="Q636" s="2" t="n">
        <x:v>25</x:v>
      </x:c>
      <x:c r="R636" s="2" t="str">
        <x:v>ESFP</x:v>
      </x:c>
      <x:c r="S636" s="2" t="str">
        <x:v>西北</x:v>
      </x:c>
      <x:c r="T636" s="2" t="str">
        <x:v>暂未就业或家庭照料</x:v>
      </x:c>
    </x:row>
    <x:row r="637" ht="24" customHeight="1">
      <x:c r="A637" s="2" t="str">
        <x:v>D040_T04_C020_G025</x:v>
      </x:c>
      <x:c r="B637" s="2" t="str">
        <x:v>A0030</x:v>
      </x:c>
      <x:c r="C637" s="2" t="str">
        <x:v>inside</x:v>
      </x:c>
      <x:c r="D637" s="2" t="n">
        <x:v>4</x:v>
      </x:c>
      <x:c r="E637" s="2" t="n">
        <x:v>1</x:v>
      </x:c>
      <x:c r="F637" s="2"/>
      <x:c r="G637" s="2" t="str">
        <x:v>right_censored</x:v>
      </x:c>
      <x:c r="H637" s="2" t="n">
        <x:f>IF(AND(ISNUMBER(F637),F637&gt;=D637),1,0)</x:f>
        <x:v>0</x:v>
      </x:c>
      <x:c r="I637" s="2" t="n">
        <x:f>IF(AND(ISNUMBER(F637),F637&gt;D637),1,0)</x:f>
        <x:v>0</x:v>
      </x:c>
      <x:c r="J637" s="2" t="str">
        <x:f>IF(H637=1,F637-D637,"")</x:f>
      </x:c>
      <x:c r="K637" s="2" t="str">
        <x:f>IF(H637=1,F637-E637,"")</x:f>
      </x:c>
      <x:c r="L637" s="2" t="n">
        <x:v>9</x:v>
      </x:c>
      <x:c r="M637" s="2"/>
      <x:c r="N637" s="20" t="n">
        <x:v>0.4</x:v>
      </x:c>
      <x:c r="O637" s="20" t="n">
        <x:v>0.2</x:v>
      </x:c>
      <x:c r="P637" s="20" t="n">
        <x:v>0.25</x:v>
      </x:c>
      <x:c r="Q637" s="2" t="n">
        <x:v>23</x:v>
      </x:c>
      <x:c r="R637" s="2" t="str">
        <x:v>ISFP</x:v>
      </x:c>
      <x:c r="S637" s="2" t="str">
        <x:v>华东</x:v>
      </x:c>
      <x:c r="T637" s="2" t="str">
        <x:v>在校学生</x:v>
      </x:c>
    </x:row>
    <x:row r="638" ht="24" customHeight="1">
      <x:c r="A638" s="2" t="str">
        <x:v>D040_T04_C020_G025</x:v>
      </x:c>
      <x:c r="B638" s="2" t="str">
        <x:v>A0031</x:v>
      </x:c>
      <x:c r="C638" s="2" t="str">
        <x:v>inside</x:v>
      </x:c>
      <x:c r="D638" s="2" t="n">
        <x:v>4</x:v>
      </x:c>
      <x:c r="E638" s="2" t="n">
        <x:v>1</x:v>
      </x:c>
      <x:c r="F638" s="2" t="n">
        <x:v>5</x:v>
      </x:c>
      <x:c r="G638" s="2" t="str">
        <x:v>observed_post_release</x:v>
      </x:c>
      <x:c r="H638" s="2" t="n">
        <x:f>IF(AND(ISNUMBER(F638),F638&gt;=D638),1,0)</x:f>
        <x:v>1</x:v>
      </x:c>
      <x:c r="I638" s="2" t="n">
        <x:f>IF(AND(ISNUMBER(F638),F638&gt;D638),1,0)</x:f>
        <x:v>1</x:v>
      </x:c>
      <x:c r="J638" s="2" t="n">
        <x:f>IF(H638=1,F638-D638,"")</x:f>
        <x:v>1</x:v>
      </x:c>
      <x:c r="K638" s="2" t="n">
        <x:f>IF(H638=1,F638-E638,"")</x:f>
        <x:v>4</x:v>
      </x:c>
      <x:c r="L638" s="2" t="n">
        <x:v>9</x:v>
      </x:c>
      <x:c r="M638" s="2" t="n">
        <x:v>5</x:v>
      </x:c>
      <x:c r="N638" s="20" t="n">
        <x:v>0.4</x:v>
      </x:c>
      <x:c r="O638" s="20" t="n">
        <x:v>0.2</x:v>
      </x:c>
      <x:c r="P638" s="20" t="n">
        <x:v>0.25</x:v>
      </x:c>
      <x:c r="Q638" s="2" t="n">
        <x:v>34</x:v>
      </x:c>
      <x:c r="R638" s="2" t="str">
        <x:v>ENTJ</x:v>
      </x:c>
      <x:c r="S638" s="2" t="str">
        <x:v>西南</x:v>
      </x:c>
      <x:c r="T638" s="2" t="str">
        <x:v>个体经营或自由职业</x:v>
      </x:c>
    </x:row>
    <x:row r="639" ht="24" customHeight="1">
      <x:c r="A639" s="2" t="str">
        <x:v>D040_T04_C020_G025</x:v>
      </x:c>
      <x:c r="B639" s="2" t="str">
        <x:v>A0032</x:v>
      </x:c>
      <x:c r="C639" s="2" t="str">
        <x:v>inside</x:v>
      </x:c>
      <x:c r="D639" s="2" t="n">
        <x:v>4</x:v>
      </x:c>
      <x:c r="E639" s="2" t="n">
        <x:v>1</x:v>
      </x:c>
      <x:c r="F639" s="2"/>
      <x:c r="G639" s="2" t="str">
        <x:v>right_censored</x:v>
      </x:c>
      <x:c r="H639" s="2" t="n">
        <x:f>IF(AND(ISNUMBER(F639),F639&gt;=D639),1,0)</x:f>
        <x:v>0</x:v>
      </x:c>
      <x:c r="I639" s="2" t="n">
        <x:f>IF(AND(ISNUMBER(F639),F639&gt;D639),1,0)</x:f>
        <x:v>0</x:v>
      </x:c>
      <x:c r="J639" s="2" t="str">
        <x:f>IF(H639=1,F639-D639,"")</x:f>
      </x:c>
      <x:c r="K639" s="2" t="str">
        <x:f>IF(H639=1,F639-E639,"")</x:f>
      </x:c>
      <x:c r="L639" s="2" t="n">
        <x:v>9</x:v>
      </x:c>
      <x:c r="M639" s="2" t="n">
        <x:v>4</x:v>
      </x:c>
      <x:c r="N639" s="20" t="n">
        <x:v>0.4</x:v>
      </x:c>
      <x:c r="O639" s="20" t="n">
        <x:v>0.2</x:v>
      </x:c>
      <x:c r="P639" s="20" t="n">
        <x:v>0.25</x:v>
      </x:c>
      <x:c r="Q639" s="2" t="n">
        <x:v>53</x:v>
      </x:c>
      <x:c r="R639" s="2" t="str">
        <x:v>INTP</x:v>
      </x:c>
      <x:c r="S639" s="2" t="str">
        <x:v>华北</x:v>
      </x:c>
      <x:c r="T639" s="2" t="str">
        <x:v>个体经营或自由职业</x:v>
      </x:c>
    </x:row>
    <x:row r="640" ht="24" customHeight="1">
      <x:c r="A640" s="2" t="str">
        <x:v>D040_T04_C020_G025</x:v>
      </x:c>
      <x:c r="B640" s="2" t="str">
        <x:v>A0033</x:v>
      </x:c>
      <x:c r="C640" s="2" t="str">
        <x:v>inside</x:v>
      </x:c>
      <x:c r="D640" s="2" t="n">
        <x:v>4</x:v>
      </x:c>
      <x:c r="E640" s="2" t="n">
        <x:v>1</x:v>
      </x:c>
      <x:c r="F640" s="2" t="n">
        <x:v>8</x:v>
      </x:c>
      <x:c r="G640" s="2" t="str">
        <x:v>observed_post_release</x:v>
      </x:c>
      <x:c r="H640" s="2" t="n">
        <x:f>IF(AND(ISNUMBER(F640),F640&gt;=D640),1,0)</x:f>
        <x:v>1</x:v>
      </x:c>
      <x:c r="I640" s="2" t="n">
        <x:f>IF(AND(ISNUMBER(F640),F640&gt;D640),1,0)</x:f>
        <x:v>1</x:v>
      </x:c>
      <x:c r="J640" s="2" t="n">
        <x:f>IF(H640=1,F640-D640,"")</x:f>
        <x:v>4</x:v>
      </x:c>
      <x:c r="K640" s="2" t="n">
        <x:f>IF(H640=1,F640-E640,"")</x:f>
        <x:v>7</x:v>
      </x:c>
      <x:c r="L640" s="2" t="n">
        <x:v>9</x:v>
      </x:c>
      <x:c r="M640" s="2" t="n">
        <x:v>5</x:v>
      </x:c>
      <x:c r="N640" s="20" t="n">
        <x:v>0.4</x:v>
      </x:c>
      <x:c r="O640" s="20" t="n">
        <x:v>0.2</x:v>
      </x:c>
      <x:c r="P640" s="20" t="n">
        <x:v>0.25</x:v>
      </x:c>
      <x:c r="Q640" s="2" t="n">
        <x:v>55</x:v>
      </x:c>
      <x:c r="R640" s="2" t="str">
        <x:v>ENFP</x:v>
      </x:c>
      <x:c r="S640" s="2" t="str">
        <x:v>华南</x:v>
      </x:c>
      <x:c r="T640" s="2" t="str">
        <x:v>个体经营或自由职业</x:v>
      </x:c>
    </x:row>
    <x:row r="641" ht="24" customHeight="1">
      <x:c r="A641" s="2" t="str">
        <x:v>D040_T04_C020_G025</x:v>
      </x:c>
      <x:c r="B641" s="2" t="str">
        <x:v>A0035</x:v>
      </x:c>
      <x:c r="C641" s="2" t="str">
        <x:v>inside</x:v>
      </x:c>
      <x:c r="D641" s="2" t="n">
        <x:v>4</x:v>
      </x:c>
      <x:c r="E641" s="2" t="n">
        <x:v>1</x:v>
      </x:c>
      <x:c r="F641" s="2"/>
      <x:c r="G641" s="2" t="str">
        <x:v>right_censored</x:v>
      </x:c>
      <x:c r="H641" s="2" t="n">
        <x:f>IF(AND(ISNUMBER(F641),F641&gt;=D641),1,0)</x:f>
        <x:v>0</x:v>
      </x:c>
      <x:c r="I641" s="2" t="n">
        <x:f>IF(AND(ISNUMBER(F641),F641&gt;D641),1,0)</x:f>
        <x:v>0</x:v>
      </x:c>
      <x:c r="J641" s="2" t="str">
        <x:f>IF(H641=1,F641-D641,"")</x:f>
      </x:c>
      <x:c r="K641" s="2" t="str">
        <x:f>IF(H641=1,F641-E641,"")</x:f>
      </x:c>
      <x:c r="L641" s="2" t="n">
        <x:v>9</x:v>
      </x:c>
      <x:c r="M641" s="2" t="n">
        <x:v>5</x:v>
      </x:c>
      <x:c r="N641" s="20" t="n">
        <x:v>0.4</x:v>
      </x:c>
      <x:c r="O641" s="20" t="n">
        <x:v>0.2</x:v>
      </x:c>
      <x:c r="P641" s="20" t="n">
        <x:v>0.25</x:v>
      </x:c>
      <x:c r="Q641" s="2" t="n">
        <x:v>42</x:v>
      </x:c>
      <x:c r="R641" s="2" t="str">
        <x:v>ISFJ</x:v>
      </x:c>
      <x:c r="S641" s="2" t="str">
        <x:v>华南</x:v>
      </x:c>
      <x:c r="T641" s="2" t="str">
        <x:v>专业技术岗位</x:v>
      </x:c>
    </x:row>
    <x:row r="642" ht="24" customHeight="1">
      <x:c r="A642" s="2" t="str">
        <x:v>D040_T04_C020_G025</x:v>
      </x:c>
      <x:c r="B642" s="2" t="str">
        <x:v>A0036</x:v>
      </x:c>
      <x:c r="C642" s="2" t="str">
        <x:v>inside</x:v>
      </x:c>
      <x:c r="D642" s="2" t="n">
        <x:v>4</x:v>
      </x:c>
      <x:c r="E642" s="2" t="n">
        <x:v>1</x:v>
      </x:c>
      <x:c r="F642" s="2"/>
      <x:c r="G642" s="2" t="str">
        <x:v>right_censored</x:v>
      </x:c>
      <x:c r="H642" s="2" t="n">
        <x:f>IF(AND(ISNUMBER(F642),F642&gt;=D642),1,0)</x:f>
        <x:v>0</x:v>
      </x:c>
      <x:c r="I642" s="2" t="n">
        <x:f>IF(AND(ISNUMBER(F642),F642&gt;D642),1,0)</x:f>
        <x:v>0</x:v>
      </x:c>
      <x:c r="J642" s="2" t="str">
        <x:f>IF(H642=1,F642-D642,"")</x:f>
      </x:c>
      <x:c r="K642" s="2" t="str">
        <x:f>IF(H642=1,F642-E642,"")</x:f>
      </x:c>
      <x:c r="L642" s="2" t="n">
        <x:v>9</x:v>
      </x:c>
      <x:c r="M642" s="2" t="n">
        <x:v>10</x:v>
      </x:c>
      <x:c r="N642" s="20" t="n">
        <x:v>0.4</x:v>
      </x:c>
      <x:c r="O642" s="20" t="n">
        <x:v>0.2</x:v>
      </x:c>
      <x:c r="P642" s="20" t="n">
        <x:v>0.25</x:v>
      </x:c>
      <x:c r="Q642" s="2" t="n">
        <x:v>43</x:v>
      </x:c>
      <x:c r="R642" s="2" t="str">
        <x:v>ISFJ</x:v>
      </x:c>
      <x:c r="S642" s="2" t="str">
        <x:v>华东</x:v>
      </x:c>
      <x:c r="T642" s="2" t="str">
        <x:v>生产运输或体力岗位</x:v>
      </x:c>
    </x:row>
    <x:row r="643" ht="24" customHeight="1">
      <x:c r="A643" s="2" t="str">
        <x:v>D040_T04_C020_G025</x:v>
      </x:c>
      <x:c r="B643" s="2" t="str">
        <x:v>A0037</x:v>
      </x:c>
      <x:c r="C643" s="2" t="str">
        <x:v>inside</x:v>
      </x:c>
      <x:c r="D643" s="2" t="n">
        <x:v>4</x:v>
      </x:c>
      <x:c r="E643" s="2" t="n">
        <x:v>1</x:v>
      </x:c>
      <x:c r="F643" s="2"/>
      <x:c r="G643" s="2" t="str">
        <x:v>right_censored</x:v>
      </x:c>
      <x:c r="H643" s="2" t="n">
        <x:f>IF(AND(ISNUMBER(F643),F643&gt;=D643),1,0)</x:f>
        <x:v>0</x:v>
      </x:c>
      <x:c r="I643" s="2" t="n">
        <x:f>IF(AND(ISNUMBER(F643),F643&gt;D643),1,0)</x:f>
        <x:v>0</x:v>
      </x:c>
      <x:c r="J643" s="2" t="str">
        <x:f>IF(H643=1,F643-D643,"")</x:f>
      </x:c>
      <x:c r="K643" s="2" t="str">
        <x:f>IF(H643=1,F643-E643,"")</x:f>
      </x:c>
      <x:c r="L643" s="2" t="n">
        <x:v>9</x:v>
      </x:c>
      <x:c r="M643" s="2" t="n">
        <x:v>5</x:v>
      </x:c>
      <x:c r="N643" s="20" t="n">
        <x:v>0.4</x:v>
      </x:c>
      <x:c r="O643" s="20" t="n">
        <x:v>0.2</x:v>
      </x:c>
      <x:c r="P643" s="20" t="n">
        <x:v>0.25</x:v>
      </x:c>
      <x:c r="Q643" s="2" t="n">
        <x:v>24</x:v>
      </x:c>
      <x:c r="R643" s="2" t="str">
        <x:v>ENTP</x:v>
      </x:c>
      <x:c r="S643" s="2" t="str">
        <x:v>华南</x:v>
      </x:c>
      <x:c r="T643" s="2" t="str">
        <x:v>在校学生</x:v>
      </x:c>
    </x:row>
    <x:row r="644" ht="24" customHeight="1">
      <x:c r="A644" s="2" t="str">
        <x:v>D040_T04_C020_G025</x:v>
      </x:c>
      <x:c r="B644" s="2" t="str">
        <x:v>A0038</x:v>
      </x:c>
      <x:c r="C644" s="2" t="str">
        <x:v>inside</x:v>
      </x:c>
      <x:c r="D644" s="2" t="n">
        <x:v>4</x:v>
      </x:c>
      <x:c r="E644" s="2" t="n">
        <x:v>1</x:v>
      </x:c>
      <x:c r="F644" s="2" t="n">
        <x:v>10</x:v>
      </x:c>
      <x:c r="G644" s="2" t="str">
        <x:v>observed_post_release</x:v>
      </x:c>
      <x:c r="H644" s="2" t="n">
        <x:f>IF(AND(ISNUMBER(F644),F644&gt;=D644),1,0)</x:f>
        <x:v>1</x:v>
      </x:c>
      <x:c r="I644" s="2" t="n">
        <x:f>IF(AND(ISNUMBER(F644),F644&gt;D644),1,0)</x:f>
        <x:v>1</x:v>
      </x:c>
      <x:c r="J644" s="2" t="n">
        <x:f>IF(H644=1,F644-D644,"")</x:f>
        <x:v>6</x:v>
      </x:c>
      <x:c r="K644" s="2" t="n">
        <x:f>IF(H644=1,F644-E644,"")</x:f>
        <x:v>9</x:v>
      </x:c>
      <x:c r="L644" s="2" t="n">
        <x:v>9</x:v>
      </x:c>
      <x:c r="M644" s="2" t="n">
        <x:v>6</x:v>
      </x:c>
      <x:c r="N644" s="20" t="n">
        <x:v>0.4</x:v>
      </x:c>
      <x:c r="O644" s="20" t="n">
        <x:v>0.2</x:v>
      </x:c>
      <x:c r="P644" s="20" t="n">
        <x:v>0.25</x:v>
      </x:c>
      <x:c r="Q644" s="2" t="n">
        <x:v>46</x:v>
      </x:c>
      <x:c r="R644" s="2" t="str">
        <x:v>ISTP</x:v>
      </x:c>
      <x:c r="S644" s="2" t="str">
        <x:v>华东</x:v>
      </x:c>
      <x:c r="T644" s="2" t="str">
        <x:v>行政或办公室岗位</x:v>
      </x:c>
    </x:row>
    <x:row r="645" ht="24" customHeight="1">
      <x:c r="A645" s="2" t="str">
        <x:v>D040_T04_C020_G025</x:v>
      </x:c>
      <x:c r="B645" s="2" t="str">
        <x:v>A0040</x:v>
      </x:c>
      <x:c r="C645" s="2" t="str">
        <x:v>inside</x:v>
      </x:c>
      <x:c r="D645" s="2" t="n">
        <x:v>4</x:v>
      </x:c>
      <x:c r="E645" s="2" t="n">
        <x:v>1</x:v>
      </x:c>
      <x:c r="F645" s="2"/>
      <x:c r="G645" s="2" t="str">
        <x:v>right_censored</x:v>
      </x:c>
      <x:c r="H645" s="2" t="n">
        <x:f>IF(AND(ISNUMBER(F645),F645&gt;=D645),1,0)</x:f>
        <x:v>0</x:v>
      </x:c>
      <x:c r="I645" s="2" t="n">
        <x:f>IF(AND(ISNUMBER(F645),F645&gt;D645),1,0)</x:f>
        <x:v>0</x:v>
      </x:c>
      <x:c r="J645" s="2" t="str">
        <x:f>IF(H645=1,F645-D645,"")</x:f>
      </x:c>
      <x:c r="K645" s="2" t="str">
        <x:f>IF(H645=1,F645-E645,"")</x:f>
      </x:c>
      <x:c r="L645" s="2" t="n">
        <x:v>9</x:v>
      </x:c>
      <x:c r="M645" s="2" t="n">
        <x:v>6</x:v>
      </x:c>
      <x:c r="N645" s="20" t="n">
        <x:v>0.4</x:v>
      </x:c>
      <x:c r="O645" s="20" t="n">
        <x:v>0.2</x:v>
      </x:c>
      <x:c r="P645" s="20" t="n">
        <x:v>0.25</x:v>
      </x:c>
      <x:c r="Q645" s="2" t="n">
        <x:v>48</x:v>
      </x:c>
      <x:c r="R645" s="2" t="str">
        <x:v>INFP</x:v>
      </x:c>
      <x:c r="S645" s="2" t="str">
        <x:v>西北</x:v>
      </x:c>
      <x:c r="T645" s="2" t="str">
        <x:v>个体经营或自由职业</x:v>
      </x:c>
    </x:row>
    <x:row r="646" ht="24" customHeight="1">
      <x:c r="A646" s="2" t="str">
        <x:v>D040_T04_C020_G025</x:v>
      </x:c>
      <x:c r="B646" s="2" t="str">
        <x:v>A0041</x:v>
      </x:c>
      <x:c r="C646" s="2" t="str">
        <x:v>inside</x:v>
      </x:c>
      <x:c r="D646" s="2" t="n">
        <x:v>4</x:v>
      </x:c>
      <x:c r="E646" s="2" t="n">
        <x:v>1</x:v>
      </x:c>
      <x:c r="F646" s="2"/>
      <x:c r="G646" s="2" t="str">
        <x:v>right_censored</x:v>
      </x:c>
      <x:c r="H646" s="2" t="n">
        <x:f>IF(AND(ISNUMBER(F646),F646&gt;=D646),1,0)</x:f>
        <x:v>0</x:v>
      </x:c>
      <x:c r="I646" s="2" t="n">
        <x:f>IF(AND(ISNUMBER(F646),F646&gt;D646),1,0)</x:f>
        <x:v>0</x:v>
      </x:c>
      <x:c r="J646" s="2" t="str">
        <x:f>IF(H646=1,F646-D646,"")</x:f>
      </x:c>
      <x:c r="K646" s="2" t="str">
        <x:f>IF(H646=1,F646-E646,"")</x:f>
      </x:c>
      <x:c r="L646" s="2" t="n">
        <x:v>9</x:v>
      </x:c>
      <x:c r="M646" s="2"/>
      <x:c r="N646" s="20" t="n">
        <x:v>0.4</x:v>
      </x:c>
      <x:c r="O646" s="20" t="n">
        <x:v>0.2</x:v>
      </x:c>
      <x:c r="P646" s="20" t="n">
        <x:v>0.25</x:v>
      </x:c>
      <x:c r="Q646" s="2" t="n">
        <x:v>62</x:v>
      </x:c>
      <x:c r="R646" s="2" t="str">
        <x:v>ISFJ</x:v>
      </x:c>
      <x:c r="S646" s="2" t="str">
        <x:v>西北</x:v>
      </x:c>
      <x:c r="T646" s="2" t="str">
        <x:v>个体经营或自由职业</x:v>
      </x:c>
    </x:row>
    <x:row r="647" ht="24" customHeight="1">
      <x:c r="A647" s="2" t="str">
        <x:v>D040_T04_C020_G025</x:v>
      </x:c>
      <x:c r="B647" s="2" t="str">
        <x:v>A0071</x:v>
      </x:c>
      <x:c r="C647" s="2" t="str">
        <x:v>inside</x:v>
      </x:c>
      <x:c r="D647" s="2" t="n">
        <x:v>4</x:v>
      </x:c>
      <x:c r="E647" s="2" t="n">
        <x:v>1</x:v>
      </x:c>
      <x:c r="F647" s="2"/>
      <x:c r="G647" s="2" t="str">
        <x:v>right_censored</x:v>
      </x:c>
      <x:c r="H647" s="2" t="n">
        <x:f>IF(AND(ISNUMBER(F647),F647&gt;=D647),1,0)</x:f>
        <x:v>0</x:v>
      </x:c>
      <x:c r="I647" s="2" t="n">
        <x:f>IF(AND(ISNUMBER(F647),F647&gt;D647),1,0)</x:f>
        <x:v>0</x:v>
      </x:c>
      <x:c r="J647" s="2" t="str">
        <x:f>IF(H647=1,F647-D647,"")</x:f>
      </x:c>
      <x:c r="K647" s="2" t="str">
        <x:f>IF(H647=1,F647-E647,"")</x:f>
      </x:c>
      <x:c r="L647" s="2" t="n">
        <x:v>9</x:v>
      </x:c>
      <x:c r="M647" s="2" t="n">
        <x:v>5</x:v>
      </x:c>
      <x:c r="N647" s="20" t="n">
        <x:v>0.4</x:v>
      </x:c>
      <x:c r="O647" s="20" t="n">
        <x:v>0.2</x:v>
      </x:c>
      <x:c r="P647" s="20" t="n">
        <x:v>0.25</x:v>
      </x:c>
      <x:c r="Q647" s="2" t="n">
        <x:v>33</x:v>
      </x:c>
      <x:c r="R647" s="2" t="str">
        <x:v>ISTJ</x:v>
      </x:c>
      <x:c r="S647" s="2" t="str">
        <x:v>华东</x:v>
      </x:c>
      <x:c r="T647" s="2" t="str">
        <x:v>商业服务岗位</x:v>
      </x:c>
    </x:row>
    <x:row r="648" ht="24" customHeight="1">
      <x:c r="A648" s="2" t="str">
        <x:v>D040_T04_C020_G025</x:v>
      </x:c>
      <x:c r="B648" s="2" t="str">
        <x:v>A0206</x:v>
      </x:c>
      <x:c r="C648" s="2" t="str">
        <x:v>inside</x:v>
      </x:c>
      <x:c r="D648" s="2" t="n">
        <x:v>4</x:v>
      </x:c>
      <x:c r="E648" s="2" t="n">
        <x:v>1</x:v>
      </x:c>
      <x:c r="F648" s="2" t="n">
        <x:v>4</x:v>
      </x:c>
      <x:c r="G648" s="2" t="str">
        <x:v>observed_post_release</x:v>
      </x:c>
      <x:c r="H648" s="2" t="n">
        <x:f>IF(AND(ISNUMBER(F648),F648&gt;=D648),1,0)</x:f>
        <x:v>1</x:v>
      </x:c>
      <x:c r="I648" s="2" t="n">
        <x:f>IF(AND(ISNUMBER(F648),F648&gt;D648),1,0)</x:f>
        <x:v>0</x:v>
      </x:c>
      <x:c r="J648" s="2" t="n">
        <x:f>IF(H648=1,F648-D648,"")</x:f>
        <x:v>0</x:v>
      </x:c>
      <x:c r="K648" s="2" t="n">
        <x:f>IF(H648=1,F648-E648,"")</x:f>
        <x:v>3</x:v>
      </x:c>
      <x:c r="L648" s="2" t="n">
        <x:v>9</x:v>
      </x:c>
      <x:c r="M648" s="2" t="n">
        <x:v>4</x:v>
      </x:c>
      <x:c r="N648" s="20" t="n">
        <x:v>0.4</x:v>
      </x:c>
      <x:c r="O648" s="20" t="n">
        <x:v>0.2</x:v>
      </x:c>
      <x:c r="P648" s="20" t="n">
        <x:v>0.25</x:v>
      </x:c>
      <x:c r="Q648" s="2" t="n">
        <x:v>21</x:v>
      </x:c>
      <x:c r="R648" s="2" t="str">
        <x:v>ESTP</x:v>
      </x:c>
      <x:c r="S648" s="2" t="str">
        <x:v>西北</x:v>
      </x:c>
      <x:c r="T648" s="2" t="str">
        <x:v>暂未就业或家庭照料</x:v>
      </x:c>
    </x:row>
    <x:row r="649" ht="24" customHeight="1">
      <x:c r="A649" s="2" t="str">
        <x:v>D040_T04_C020_G050</x:v>
      </x:c>
      <x:c r="B649" s="2" t="str">
        <x:v>A0002</x:v>
      </x:c>
      <x:c r="C649" s="2" t="str">
        <x:v>inside</x:v>
      </x:c>
      <x:c r="D649" s="2" t="n">
        <x:v>4</x:v>
      </x:c>
      <x:c r="E649" s="2" t="n">
        <x:v>4</x:v>
      </x:c>
      <x:c r="F649" s="2" t="n">
        <x:v>6</x:v>
      </x:c>
      <x:c r="G649" s="2" t="str">
        <x:v>observed_post_release</x:v>
      </x:c>
      <x:c r="H649" s="2" t="n">
        <x:f>IF(AND(ISNUMBER(F649),F649&gt;=D649),1,0)</x:f>
        <x:v>1</x:v>
      </x:c>
      <x:c r="I649" s="2" t="n">
        <x:f>IF(AND(ISNUMBER(F649),F649&gt;D649),1,0)</x:f>
        <x:v>1</x:v>
      </x:c>
      <x:c r="J649" s="2" t="n">
        <x:f>IF(H649=1,F649-D649,"")</x:f>
        <x:v>2</x:v>
      </x:c>
      <x:c r="K649" s="2" t="n">
        <x:f>IF(H649=1,F649-E649,"")</x:f>
        <x:v>2</x:v>
      </x:c>
      <x:c r="L649" s="2" t="n">
        <x:v>6</x:v>
      </x:c>
      <x:c r="M649" s="2" t="n">
        <x:v>6</x:v>
      </x:c>
      <x:c r="N649" s="20" t="n">
        <x:v>0.4</x:v>
      </x:c>
      <x:c r="O649" s="20" t="n">
        <x:v>0.2</x:v>
      </x:c>
      <x:c r="P649" s="20" t="n">
        <x:v>0.5</x:v>
      </x:c>
      <x:c r="Q649" s="2" t="n">
        <x:v>19</x:v>
      </x:c>
      <x:c r="R649" s="2" t="str">
        <x:v>ESTP</x:v>
      </x:c>
      <x:c r="S649" s="2" t="str">
        <x:v>华南</x:v>
      </x:c>
      <x:c r="T649" s="2" t="str">
        <x:v>商业服务岗位</x:v>
      </x:c>
    </x:row>
    <x:row r="650" ht="24" customHeight="1">
      <x:c r="A650" s="2" t="str">
        <x:v>D040_T04_C020_G050</x:v>
      </x:c>
      <x:c r="B650" s="2" t="str">
        <x:v>A0005</x:v>
      </x:c>
      <x:c r="C650" s="2" t="str">
        <x:v>inside</x:v>
      </x:c>
      <x:c r="D650" s="2" t="n">
        <x:v>4</x:v>
      </x:c>
      <x:c r="E650" s="2" t="n">
        <x:v>1</x:v>
      </x:c>
      <x:c r="F650" s="2" t="n">
        <x:v>5</x:v>
      </x:c>
      <x:c r="G650" s="2" t="str">
        <x:v>observed_post_release</x:v>
      </x:c>
      <x:c r="H650" s="2" t="n">
        <x:f>IF(AND(ISNUMBER(F650),F650&gt;=D650),1,0)</x:f>
        <x:v>1</x:v>
      </x:c>
      <x:c r="I650" s="2" t="n">
        <x:f>IF(AND(ISNUMBER(F650),F650&gt;D650),1,0)</x:f>
        <x:v>1</x:v>
      </x:c>
      <x:c r="J650" s="2" t="n">
        <x:f>IF(H650=1,F650-D650,"")</x:f>
        <x:v>1</x:v>
      </x:c>
      <x:c r="K650" s="2" t="n">
        <x:f>IF(H650=1,F650-E650,"")</x:f>
        <x:v>4</x:v>
      </x:c>
      <x:c r="L650" s="2" t="n">
        <x:v>9</x:v>
      </x:c>
      <x:c r="M650" s="2" t="n">
        <x:v>5</x:v>
      </x:c>
      <x:c r="N650" s="20" t="n">
        <x:v>0.4</x:v>
      </x:c>
      <x:c r="O650" s="20" t="n">
        <x:v>0.2</x:v>
      </x:c>
      <x:c r="P650" s="20" t="n">
        <x:v>0.5</x:v>
      </x:c>
      <x:c r="Q650" s="2" t="n">
        <x:v>51</x:v>
      </x:c>
      <x:c r="R650" s="2" t="str">
        <x:v>ISTP</x:v>
      </x:c>
      <x:c r="S650" s="2" t="str">
        <x:v>华南</x:v>
      </x:c>
      <x:c r="T650" s="2" t="str">
        <x:v>生产运输或体力岗位</x:v>
      </x:c>
    </x:row>
    <x:row r="651" ht="24" customHeight="1">
      <x:c r="A651" s="2" t="str">
        <x:v>D040_T04_C020_G050</x:v>
      </x:c>
      <x:c r="B651" s="2" t="str">
        <x:v>A0009</x:v>
      </x:c>
      <x:c r="C651" s="2" t="str">
        <x:v>inside</x:v>
      </x:c>
      <x:c r="D651" s="2" t="n">
        <x:v>4</x:v>
      </x:c>
      <x:c r="E651" s="2" t="n">
        <x:v>1</x:v>
      </x:c>
      <x:c r="F651" s="2" t="n">
        <x:v>6</x:v>
      </x:c>
      <x:c r="G651" s="2" t="str">
        <x:v>observed_post_release</x:v>
      </x:c>
      <x:c r="H651" s="2" t="n">
        <x:f>IF(AND(ISNUMBER(F651),F651&gt;=D651),1,0)</x:f>
        <x:v>1</x:v>
      </x:c>
      <x:c r="I651" s="2" t="n">
        <x:f>IF(AND(ISNUMBER(F651),F651&gt;D651),1,0)</x:f>
        <x:v>1</x:v>
      </x:c>
      <x:c r="J651" s="2" t="n">
        <x:f>IF(H651=1,F651-D651,"")</x:f>
        <x:v>2</x:v>
      </x:c>
      <x:c r="K651" s="2" t="n">
        <x:f>IF(H651=1,F651-E651,"")</x:f>
        <x:v>5</x:v>
      </x:c>
      <x:c r="L651" s="2" t="n">
        <x:v>9</x:v>
      </x:c>
      <x:c r="M651" s="2" t="n">
        <x:v>6</x:v>
      </x:c>
      <x:c r="N651" s="20" t="n">
        <x:v>0.4</x:v>
      </x:c>
      <x:c r="O651" s="20" t="n">
        <x:v>0.2</x:v>
      </x:c>
      <x:c r="P651" s="20" t="n">
        <x:v>0.5</x:v>
      </x:c>
      <x:c r="Q651" s="2" t="n">
        <x:v>32</x:v>
      </x:c>
      <x:c r="R651" s="2" t="str">
        <x:v>ENFJ</x:v>
      </x:c>
      <x:c r="S651" s="2" t="str">
        <x:v>华东</x:v>
      </x:c>
      <x:c r="T651" s="2" t="str">
        <x:v>商业服务岗位</x:v>
      </x:c>
    </x:row>
    <x:row r="652" ht="24" customHeight="1">
      <x:c r="A652" s="2" t="str">
        <x:v>D040_T04_C020_G050</x:v>
      </x:c>
      <x:c r="B652" s="2" t="str">
        <x:v>A0011</x:v>
      </x:c>
      <x:c r="C652" s="2" t="str">
        <x:v>inside</x:v>
      </x:c>
      <x:c r="D652" s="2" t="n">
        <x:v>4</x:v>
      </x:c>
      <x:c r="E652" s="2" t="n">
        <x:v>1</x:v>
      </x:c>
      <x:c r="F652" s="2" t="n">
        <x:v>5</x:v>
      </x:c>
      <x:c r="G652" s="2" t="str">
        <x:v>observed_post_release</x:v>
      </x:c>
      <x:c r="H652" s="2" t="n">
        <x:f>IF(AND(ISNUMBER(F652),F652&gt;=D652),1,0)</x:f>
        <x:v>1</x:v>
      </x:c>
      <x:c r="I652" s="2" t="n">
        <x:f>IF(AND(ISNUMBER(F652),F652&gt;D652),1,0)</x:f>
        <x:v>1</x:v>
      </x:c>
      <x:c r="J652" s="2" t="n">
        <x:f>IF(H652=1,F652-D652,"")</x:f>
        <x:v>1</x:v>
      </x:c>
      <x:c r="K652" s="2" t="n">
        <x:f>IF(H652=1,F652-E652,"")</x:f>
        <x:v>4</x:v>
      </x:c>
      <x:c r="L652" s="2" t="n">
        <x:v>9</x:v>
      </x:c>
      <x:c r="M652" s="2" t="n">
        <x:v>4</x:v>
      </x:c>
      <x:c r="N652" s="20" t="n">
        <x:v>0.4</x:v>
      </x:c>
      <x:c r="O652" s="20" t="n">
        <x:v>0.2</x:v>
      </x:c>
      <x:c r="P652" s="20" t="n">
        <x:v>0.5</x:v>
      </x:c>
      <x:c r="Q652" s="2" t="n">
        <x:v>42</x:v>
      </x:c>
      <x:c r="R652" s="2" t="str">
        <x:v>ENFJ</x:v>
      </x:c>
      <x:c r="S652" s="2" t="str">
        <x:v>西南</x:v>
      </x:c>
      <x:c r="T652" s="2" t="str">
        <x:v>行政或办公室岗位</x:v>
      </x:c>
    </x:row>
    <x:row r="653" ht="24" customHeight="1">
      <x:c r="A653" s="2" t="str">
        <x:v>D040_T04_C020_G050</x:v>
      </x:c>
      <x:c r="B653" s="2" t="str">
        <x:v>A0012</x:v>
      </x:c>
      <x:c r="C653" s="2" t="str">
        <x:v>inside</x:v>
      </x:c>
      <x:c r="D653" s="2" t="n">
        <x:v>4</x:v>
      </x:c>
      <x:c r="E653" s="2" t="n">
        <x:v>1</x:v>
      </x:c>
      <x:c r="F653" s="2" t="n">
        <x:v>6</x:v>
      </x:c>
      <x:c r="G653" s="2" t="str">
        <x:v>observed_post_release</x:v>
      </x:c>
      <x:c r="H653" s="2" t="n">
        <x:f>IF(AND(ISNUMBER(F653),F653&gt;=D653),1,0)</x:f>
        <x:v>1</x:v>
      </x:c>
      <x:c r="I653" s="2" t="n">
        <x:f>IF(AND(ISNUMBER(F653),F653&gt;D653),1,0)</x:f>
        <x:v>1</x:v>
      </x:c>
      <x:c r="J653" s="2" t="n">
        <x:f>IF(H653=1,F653-D653,"")</x:f>
        <x:v>2</x:v>
      </x:c>
      <x:c r="K653" s="2" t="n">
        <x:f>IF(H653=1,F653-E653,"")</x:f>
        <x:v>5</x:v>
      </x:c>
      <x:c r="L653" s="2" t="n">
        <x:v>9</x:v>
      </x:c>
      <x:c r="M653" s="2" t="n">
        <x:v>5</x:v>
      </x:c>
      <x:c r="N653" s="20" t="n">
        <x:v>0.4</x:v>
      </x:c>
      <x:c r="O653" s="20" t="n">
        <x:v>0.2</x:v>
      </x:c>
      <x:c r="P653" s="20" t="n">
        <x:v>0.5</x:v>
      </x:c>
      <x:c r="Q653" s="2" t="n">
        <x:v>38</x:v>
      </x:c>
      <x:c r="R653" s="2" t="str">
        <x:v>ESFP</x:v>
      </x:c>
      <x:c r="S653" s="2" t="str">
        <x:v>华中</x:v>
      </x:c>
      <x:c r="T653" s="2" t="str">
        <x:v>行政或办公室岗位</x:v>
      </x:c>
    </x:row>
    <x:row r="654" ht="24" customHeight="1">
      <x:c r="A654" s="2" t="str">
        <x:v>D040_T04_C020_G050</x:v>
      </x:c>
      <x:c r="B654" s="2" t="str">
        <x:v>A0013</x:v>
      </x:c>
      <x:c r="C654" s="2" t="str">
        <x:v>inside</x:v>
      </x:c>
      <x:c r="D654" s="2" t="n">
        <x:v>4</x:v>
      </x:c>
      <x:c r="E654" s="2" t="n">
        <x:v>1</x:v>
      </x:c>
      <x:c r="F654" s="2" t="n">
        <x:v>4</x:v>
      </x:c>
      <x:c r="G654" s="2" t="str">
        <x:v>observed_post_release</x:v>
      </x:c>
      <x:c r="H654" s="2" t="n">
        <x:f>IF(AND(ISNUMBER(F654),F654&gt;=D654),1,0)</x:f>
        <x:v>1</x:v>
      </x:c>
      <x:c r="I654" s="2" t="n">
        <x:f>IF(AND(ISNUMBER(F654),F654&gt;D654),1,0)</x:f>
        <x:v>0</x:v>
      </x:c>
      <x:c r="J654" s="2" t="n">
        <x:f>IF(H654=1,F654-D654,"")</x:f>
        <x:v>0</x:v>
      </x:c>
      <x:c r="K654" s="2" t="n">
        <x:f>IF(H654=1,F654-E654,"")</x:f>
        <x:v>3</x:v>
      </x:c>
      <x:c r="L654" s="2" t="n">
        <x:v>9</x:v>
      </x:c>
      <x:c r="M654" s="2" t="n">
        <x:v>4</x:v>
      </x:c>
      <x:c r="N654" s="20" t="n">
        <x:v>0.4</x:v>
      </x:c>
      <x:c r="O654" s="20" t="n">
        <x:v>0.2</x:v>
      </x:c>
      <x:c r="P654" s="20" t="n">
        <x:v>0.5</x:v>
      </x:c>
      <x:c r="Q654" s="2" t="n">
        <x:v>53</x:v>
      </x:c>
      <x:c r="R654" s="2" t="str">
        <x:v>ISTJ</x:v>
      </x:c>
      <x:c r="S654" s="2" t="str">
        <x:v>华东</x:v>
      </x:c>
      <x:c r="T654" s="2" t="str">
        <x:v>专业技术岗位</x:v>
      </x:c>
    </x:row>
    <x:row r="655" ht="24" customHeight="1">
      <x:c r="A655" s="2" t="str">
        <x:v>D040_T04_C020_G050</x:v>
      </x:c>
      <x:c r="B655" s="2" t="str">
        <x:v>A0014</x:v>
      </x:c>
      <x:c r="C655" s="2" t="str">
        <x:v>inside</x:v>
      </x:c>
      <x:c r="D655" s="2" t="n">
        <x:v>4</x:v>
      </x:c>
      <x:c r="E655" s="2" t="n">
        <x:v>1</x:v>
      </x:c>
      <x:c r="F655" s="2" t="n">
        <x:v>4</x:v>
      </x:c>
      <x:c r="G655" s="2" t="str">
        <x:v>observed_post_release</x:v>
      </x:c>
      <x:c r="H655" s="2" t="n">
        <x:f>IF(AND(ISNUMBER(F655),F655&gt;=D655),1,0)</x:f>
        <x:v>1</x:v>
      </x:c>
      <x:c r="I655" s="2" t="n">
        <x:f>IF(AND(ISNUMBER(F655),F655&gt;D655),1,0)</x:f>
        <x:v>0</x:v>
      </x:c>
      <x:c r="J655" s="2" t="n">
        <x:f>IF(H655=1,F655-D655,"")</x:f>
        <x:v>0</x:v>
      </x:c>
      <x:c r="K655" s="2" t="n">
        <x:f>IF(H655=1,F655-E655,"")</x:f>
        <x:v>3</x:v>
      </x:c>
      <x:c r="L655" s="2" t="n">
        <x:v>9</x:v>
      </x:c>
      <x:c r="M655" s="2" t="n">
        <x:v>4</x:v>
      </x:c>
      <x:c r="N655" s="20" t="n">
        <x:v>0.4</x:v>
      </x:c>
      <x:c r="O655" s="20" t="n">
        <x:v>0.2</x:v>
      </x:c>
      <x:c r="P655" s="20" t="n">
        <x:v>0.5</x:v>
      </x:c>
      <x:c r="Q655" s="2" t="n">
        <x:v>52</x:v>
      </x:c>
      <x:c r="R655" s="2" t="str">
        <x:v>INFJ</x:v>
      </x:c>
      <x:c r="S655" s="2" t="str">
        <x:v>华东</x:v>
      </x:c>
      <x:c r="T655" s="2" t="str">
        <x:v>生产运输或体力岗位</x:v>
      </x:c>
    </x:row>
    <x:row r="656" ht="24" customHeight="1">
      <x:c r="A656" s="2" t="str">
        <x:v>D040_T04_C020_G050</x:v>
      </x:c>
      <x:c r="B656" s="2" t="str">
        <x:v>A0015</x:v>
      </x:c>
      <x:c r="C656" s="2" t="str">
        <x:v>inside</x:v>
      </x:c>
      <x:c r="D656" s="2" t="n">
        <x:v>4</x:v>
      </x:c>
      <x:c r="E656" s="2" t="n">
        <x:v>1</x:v>
      </x:c>
      <x:c r="F656" s="2" t="n">
        <x:v>7</x:v>
      </x:c>
      <x:c r="G656" s="2" t="str">
        <x:v>observed_post_release</x:v>
      </x:c>
      <x:c r="H656" s="2" t="n">
        <x:f>IF(AND(ISNUMBER(F656),F656&gt;=D656),1,0)</x:f>
        <x:v>1</x:v>
      </x:c>
      <x:c r="I656" s="2" t="n">
        <x:f>IF(AND(ISNUMBER(F656),F656&gt;D656),1,0)</x:f>
        <x:v>1</x:v>
      </x:c>
      <x:c r="J656" s="2" t="n">
        <x:f>IF(H656=1,F656-D656,"")</x:f>
        <x:v>3</x:v>
      </x:c>
      <x:c r="K656" s="2" t="n">
        <x:f>IF(H656=1,F656-E656,"")</x:f>
        <x:v>6</x:v>
      </x:c>
      <x:c r="L656" s="2" t="n">
        <x:v>9</x:v>
      </x:c>
      <x:c r="M656" s="2" t="n">
        <x:v>6</x:v>
      </x:c>
      <x:c r="N656" s="20" t="n">
        <x:v>0.4</x:v>
      </x:c>
      <x:c r="O656" s="20" t="n">
        <x:v>0.2</x:v>
      </x:c>
      <x:c r="P656" s="20" t="n">
        <x:v>0.5</x:v>
      </x:c>
      <x:c r="Q656" s="2" t="n">
        <x:v>29</x:v>
      </x:c>
      <x:c r="R656" s="2" t="str">
        <x:v>ESFP</x:v>
      </x:c>
      <x:c r="S656" s="2" t="str">
        <x:v>华南</x:v>
      </x:c>
      <x:c r="T656" s="2" t="str">
        <x:v>行政或办公室岗位</x:v>
      </x:c>
    </x:row>
    <x:row r="657" ht="24" customHeight="1">
      <x:c r="A657" s="2" t="str">
        <x:v>D040_T04_C020_G050</x:v>
      </x:c>
      <x:c r="B657" s="2" t="str">
        <x:v>A0016</x:v>
      </x:c>
      <x:c r="C657" s="2" t="str">
        <x:v>inside</x:v>
      </x:c>
      <x:c r="D657" s="2" t="n">
        <x:v>4</x:v>
      </x:c>
      <x:c r="E657" s="2" t="n">
        <x:v>1</x:v>
      </x:c>
      <x:c r="F657" s="2" t="n">
        <x:v>6</x:v>
      </x:c>
      <x:c r="G657" s="2" t="str">
        <x:v>observed_post_release</x:v>
      </x:c>
      <x:c r="H657" s="2" t="n">
        <x:f>IF(AND(ISNUMBER(F657),F657&gt;=D657),1,0)</x:f>
        <x:v>1</x:v>
      </x:c>
      <x:c r="I657" s="2" t="n">
        <x:f>IF(AND(ISNUMBER(F657),F657&gt;D657),1,0)</x:f>
        <x:v>1</x:v>
      </x:c>
      <x:c r="J657" s="2" t="n">
        <x:f>IF(H657=1,F657-D657,"")</x:f>
        <x:v>2</x:v>
      </x:c>
      <x:c r="K657" s="2" t="n">
        <x:f>IF(H657=1,F657-E657,"")</x:f>
        <x:v>5</x:v>
      </x:c>
      <x:c r="L657" s="2" t="n">
        <x:v>9</x:v>
      </x:c>
      <x:c r="M657" s="2" t="n">
        <x:v>6</x:v>
      </x:c>
      <x:c r="N657" s="20" t="n">
        <x:v>0.4</x:v>
      </x:c>
      <x:c r="O657" s="20" t="n">
        <x:v>0.2</x:v>
      </x:c>
      <x:c r="P657" s="20" t="n">
        <x:v>0.5</x:v>
      </x:c>
      <x:c r="Q657" s="2" t="n">
        <x:v>60</x:v>
      </x:c>
      <x:c r="R657" s="2" t="str">
        <x:v>ESFJ</x:v>
      </x:c>
      <x:c r="S657" s="2" t="str">
        <x:v>华北</x:v>
      </x:c>
      <x:c r="T657" s="2" t="str">
        <x:v>个体经营或自由职业</x:v>
      </x:c>
    </x:row>
    <x:row r="658" ht="24" customHeight="1">
      <x:c r="A658" s="2" t="str">
        <x:v>D040_T04_C020_G050</x:v>
      </x:c>
      <x:c r="B658" s="2" t="str">
        <x:v>A0017</x:v>
      </x:c>
      <x:c r="C658" s="2" t="str">
        <x:v>inside</x:v>
      </x:c>
      <x:c r="D658" s="2" t="n">
        <x:v>4</x:v>
      </x:c>
      <x:c r="E658" s="2" t="n">
        <x:v>1</x:v>
      </x:c>
      <x:c r="F658" s="2" t="n">
        <x:v>6</x:v>
      </x:c>
      <x:c r="G658" s="2" t="str">
        <x:v>observed_post_release</x:v>
      </x:c>
      <x:c r="H658" s="2" t="n">
        <x:f>IF(AND(ISNUMBER(F658),F658&gt;=D658),1,0)</x:f>
        <x:v>1</x:v>
      </x:c>
      <x:c r="I658" s="2" t="n">
        <x:f>IF(AND(ISNUMBER(F658),F658&gt;D658),1,0)</x:f>
        <x:v>1</x:v>
      </x:c>
      <x:c r="J658" s="2" t="n">
        <x:f>IF(H658=1,F658-D658,"")</x:f>
        <x:v>2</x:v>
      </x:c>
      <x:c r="K658" s="2" t="n">
        <x:f>IF(H658=1,F658-E658,"")</x:f>
        <x:v>5</x:v>
      </x:c>
      <x:c r="L658" s="2" t="n">
        <x:v>9</x:v>
      </x:c>
      <x:c r="M658" s="2" t="n">
        <x:v>6</x:v>
      </x:c>
      <x:c r="N658" s="20" t="n">
        <x:v>0.4</x:v>
      </x:c>
      <x:c r="O658" s="20" t="n">
        <x:v>0.2</x:v>
      </x:c>
      <x:c r="P658" s="20" t="n">
        <x:v>0.5</x:v>
      </x:c>
      <x:c r="Q658" s="2" t="n">
        <x:v>30</x:v>
      </x:c>
      <x:c r="R658" s="2" t="str">
        <x:v>ISTJ</x:v>
      </x:c>
      <x:c r="S658" s="2" t="str">
        <x:v>华东</x:v>
      </x:c>
      <x:c r="T658" s="2" t="str">
        <x:v>商业服务岗位</x:v>
      </x:c>
    </x:row>
    <x:row r="659" ht="24" customHeight="1">
      <x:c r="A659" s="2" t="str">
        <x:v>D040_T04_C020_G050</x:v>
      </x:c>
      <x:c r="B659" s="2" t="str">
        <x:v>A0018</x:v>
      </x:c>
      <x:c r="C659" s="2" t="str">
        <x:v>inside</x:v>
      </x:c>
      <x:c r="D659" s="2" t="n">
        <x:v>4</x:v>
      </x:c>
      <x:c r="E659" s="2" t="n">
        <x:v>1</x:v>
      </x:c>
      <x:c r="F659" s="2" t="n">
        <x:v>8</x:v>
      </x:c>
      <x:c r="G659" s="2" t="str">
        <x:v>observed_post_release</x:v>
      </x:c>
      <x:c r="H659" s="2" t="n">
        <x:f>IF(AND(ISNUMBER(F659),F659&gt;=D659),1,0)</x:f>
        <x:v>1</x:v>
      </x:c>
      <x:c r="I659" s="2" t="n">
        <x:f>IF(AND(ISNUMBER(F659),F659&gt;D659),1,0)</x:f>
        <x:v>1</x:v>
      </x:c>
      <x:c r="J659" s="2" t="n">
        <x:f>IF(H659=1,F659-D659,"")</x:f>
        <x:v>4</x:v>
      </x:c>
      <x:c r="K659" s="2" t="n">
        <x:f>IF(H659=1,F659-E659,"")</x:f>
        <x:v>7</x:v>
      </x:c>
      <x:c r="L659" s="2" t="n">
        <x:v>9</x:v>
      </x:c>
      <x:c r="M659" s="2" t="n">
        <x:v>6</x:v>
      </x:c>
      <x:c r="N659" s="20" t="n">
        <x:v>0.4</x:v>
      </x:c>
      <x:c r="O659" s="20" t="n">
        <x:v>0.2</x:v>
      </x:c>
      <x:c r="P659" s="20" t="n">
        <x:v>0.5</x:v>
      </x:c>
      <x:c r="Q659" s="2" t="n">
        <x:v>60</x:v>
      </x:c>
      <x:c r="R659" s="2" t="str">
        <x:v>INTJ</x:v>
      </x:c>
      <x:c r="S659" s="2" t="str">
        <x:v>华南</x:v>
      </x:c>
      <x:c r="T659" s="2" t="str">
        <x:v>专业技术岗位</x:v>
      </x:c>
    </x:row>
    <x:row r="660" ht="24" customHeight="1">
      <x:c r="A660" s="2" t="str">
        <x:v>D040_T04_C020_G050</x:v>
      </x:c>
      <x:c r="B660" s="2" t="str">
        <x:v>A0021</x:v>
      </x:c>
      <x:c r="C660" s="2" t="str">
        <x:v>inside</x:v>
      </x:c>
      <x:c r="D660" s="2" t="n">
        <x:v>4</x:v>
      </x:c>
      <x:c r="E660" s="2" t="n">
        <x:v>1</x:v>
      </x:c>
      <x:c r="F660" s="2" t="n">
        <x:v>5</x:v>
      </x:c>
      <x:c r="G660" s="2" t="str">
        <x:v>observed_post_release</x:v>
      </x:c>
      <x:c r="H660" s="2" t="n">
        <x:f>IF(AND(ISNUMBER(F660),F660&gt;=D660),1,0)</x:f>
        <x:v>1</x:v>
      </x:c>
      <x:c r="I660" s="2" t="n">
        <x:f>IF(AND(ISNUMBER(F660),F660&gt;D660),1,0)</x:f>
        <x:v>1</x:v>
      </x:c>
      <x:c r="J660" s="2" t="n">
        <x:f>IF(H660=1,F660-D660,"")</x:f>
        <x:v>1</x:v>
      </x:c>
      <x:c r="K660" s="2" t="n">
        <x:f>IF(H660=1,F660-E660,"")</x:f>
        <x:v>4</x:v>
      </x:c>
      <x:c r="L660" s="2" t="n">
        <x:v>9</x:v>
      </x:c>
      <x:c r="M660" s="2" t="n">
        <x:v>5</x:v>
      </x:c>
      <x:c r="N660" s="20" t="n">
        <x:v>0.4</x:v>
      </x:c>
      <x:c r="O660" s="20" t="n">
        <x:v>0.2</x:v>
      </x:c>
      <x:c r="P660" s="20" t="n">
        <x:v>0.5</x:v>
      </x:c>
      <x:c r="Q660" s="2" t="n">
        <x:v>59</x:v>
      </x:c>
      <x:c r="R660" s="2" t="str">
        <x:v>ESTJ</x:v>
      </x:c>
      <x:c r="S660" s="2" t="str">
        <x:v>东北</x:v>
      </x:c>
      <x:c r="T660" s="2" t="str">
        <x:v>专业技术岗位</x:v>
      </x:c>
    </x:row>
    <x:row r="661" ht="24" customHeight="1">
      <x:c r="A661" s="2" t="str">
        <x:v>D040_T04_C020_G050</x:v>
      </x:c>
      <x:c r="B661" s="2" t="str">
        <x:v>A0023</x:v>
      </x:c>
      <x:c r="C661" s="2" t="str">
        <x:v>inside</x:v>
      </x:c>
      <x:c r="D661" s="2" t="n">
        <x:v>4</x:v>
      </x:c>
      <x:c r="E661" s="2" t="n">
        <x:v>1</x:v>
      </x:c>
      <x:c r="F661" s="2" t="n">
        <x:v>5</x:v>
      </x:c>
      <x:c r="G661" s="2" t="str">
        <x:v>observed_post_release</x:v>
      </x:c>
      <x:c r="H661" s="2" t="n">
        <x:f>IF(AND(ISNUMBER(F661),F661&gt;=D661),1,0)</x:f>
        <x:v>1</x:v>
      </x:c>
      <x:c r="I661" s="2" t="n">
        <x:f>IF(AND(ISNUMBER(F661),F661&gt;D661),1,0)</x:f>
        <x:v>1</x:v>
      </x:c>
      <x:c r="J661" s="2" t="n">
        <x:f>IF(H661=1,F661-D661,"")</x:f>
        <x:v>1</x:v>
      </x:c>
      <x:c r="K661" s="2" t="n">
        <x:f>IF(H661=1,F661-E661,"")</x:f>
        <x:v>4</x:v>
      </x:c>
      <x:c r="L661" s="2" t="n">
        <x:v>9</x:v>
      </x:c>
      <x:c r="M661" s="2" t="n">
        <x:v>5</x:v>
      </x:c>
      <x:c r="N661" s="20" t="n">
        <x:v>0.4</x:v>
      </x:c>
      <x:c r="O661" s="20" t="n">
        <x:v>0.2</x:v>
      </x:c>
      <x:c r="P661" s="20" t="n">
        <x:v>0.5</x:v>
      </x:c>
      <x:c r="Q661" s="2" t="n">
        <x:v>56</x:v>
      </x:c>
      <x:c r="R661" s="2" t="str">
        <x:v>INFP</x:v>
      </x:c>
      <x:c r="S661" s="2" t="str">
        <x:v>东北</x:v>
      </x:c>
      <x:c r="T661" s="2" t="str">
        <x:v>行政或办公室岗位</x:v>
      </x:c>
    </x:row>
    <x:row r="662" ht="24" customHeight="1">
      <x:c r="A662" s="2" t="str">
        <x:v>D040_T04_C020_G050</x:v>
      </x:c>
      <x:c r="B662" s="2" t="str">
        <x:v>A0024</x:v>
      </x:c>
      <x:c r="C662" s="2" t="str">
        <x:v>inside</x:v>
      </x:c>
      <x:c r="D662" s="2" t="n">
        <x:v>4</x:v>
      </x:c>
      <x:c r="E662" s="2" t="n">
        <x:v>1</x:v>
      </x:c>
      <x:c r="F662" s="2" t="n">
        <x:v>7</x:v>
      </x:c>
      <x:c r="G662" s="2" t="str">
        <x:v>observed_post_release</x:v>
      </x:c>
      <x:c r="H662" s="2" t="n">
        <x:f>IF(AND(ISNUMBER(F662),F662&gt;=D662),1,0)</x:f>
        <x:v>1</x:v>
      </x:c>
      <x:c r="I662" s="2" t="n">
        <x:f>IF(AND(ISNUMBER(F662),F662&gt;D662),1,0)</x:f>
        <x:v>1</x:v>
      </x:c>
      <x:c r="J662" s="2" t="n">
        <x:f>IF(H662=1,F662-D662,"")</x:f>
        <x:v>3</x:v>
      </x:c>
      <x:c r="K662" s="2" t="n">
        <x:f>IF(H662=1,F662-E662,"")</x:f>
        <x:v>6</x:v>
      </x:c>
      <x:c r="L662" s="2" t="n">
        <x:v>9</x:v>
      </x:c>
      <x:c r="M662" s="2" t="n">
        <x:v>5</x:v>
      </x:c>
      <x:c r="N662" s="20" t="n">
        <x:v>0.4</x:v>
      </x:c>
      <x:c r="O662" s="20" t="n">
        <x:v>0.2</x:v>
      </x:c>
      <x:c r="P662" s="20" t="n">
        <x:v>0.5</x:v>
      </x:c>
      <x:c r="Q662" s="2" t="n">
        <x:v>31</x:v>
      </x:c>
      <x:c r="R662" s="2" t="str">
        <x:v>ESTP</x:v>
      </x:c>
      <x:c r="S662" s="2" t="str">
        <x:v>华北</x:v>
      </x:c>
      <x:c r="T662" s="2" t="str">
        <x:v>商业服务岗位</x:v>
      </x:c>
    </x:row>
    <x:row r="663" ht="24" customHeight="1">
      <x:c r="A663" s="2" t="str">
        <x:v>D040_T04_C020_G050</x:v>
      </x:c>
      <x:c r="B663" s="2" t="str">
        <x:v>A0025</x:v>
      </x:c>
      <x:c r="C663" s="2" t="str">
        <x:v>inside</x:v>
      </x:c>
      <x:c r="D663" s="2" t="n">
        <x:v>4</x:v>
      </x:c>
      <x:c r="E663" s="2" t="n">
        <x:v>1</x:v>
      </x:c>
      <x:c r="F663" s="2" t="n">
        <x:v>4</x:v>
      </x:c>
      <x:c r="G663" s="2" t="str">
        <x:v>observed_post_release</x:v>
      </x:c>
      <x:c r="H663" s="2" t="n">
        <x:f>IF(AND(ISNUMBER(F663),F663&gt;=D663),1,0)</x:f>
        <x:v>1</x:v>
      </x:c>
      <x:c r="I663" s="2" t="n">
        <x:f>IF(AND(ISNUMBER(F663),F663&gt;D663),1,0)</x:f>
        <x:v>0</x:v>
      </x:c>
      <x:c r="J663" s="2" t="n">
        <x:f>IF(H663=1,F663-D663,"")</x:f>
        <x:v>0</x:v>
      </x:c>
      <x:c r="K663" s="2" t="n">
        <x:f>IF(H663=1,F663-E663,"")</x:f>
        <x:v>3</x:v>
      </x:c>
      <x:c r="L663" s="2" t="n">
        <x:v>9</x:v>
      </x:c>
      <x:c r="M663" s="2" t="n">
        <x:v>4</x:v>
      </x:c>
      <x:c r="N663" s="20" t="n">
        <x:v>0.4</x:v>
      </x:c>
      <x:c r="O663" s="20" t="n">
        <x:v>0.2</x:v>
      </x:c>
      <x:c r="P663" s="20" t="n">
        <x:v>0.5</x:v>
      </x:c>
      <x:c r="Q663" s="2" t="n">
        <x:v>23</x:v>
      </x:c>
      <x:c r="R663" s="2" t="str">
        <x:v>ISTP</x:v>
      </x:c>
      <x:c r="S663" s="2" t="str">
        <x:v>华南</x:v>
      </x:c>
      <x:c r="T663" s="2" t="str">
        <x:v>行政或办公室岗位</x:v>
      </x:c>
    </x:row>
    <x:row r="664" ht="24" customHeight="1">
      <x:c r="A664" s="2" t="str">
        <x:v>D040_T04_C020_G050</x:v>
      </x:c>
      <x:c r="B664" s="2" t="str">
        <x:v>A0026</x:v>
      </x:c>
      <x:c r="C664" s="2" t="str">
        <x:v>inside</x:v>
      </x:c>
      <x:c r="D664" s="2" t="n">
        <x:v>4</x:v>
      </x:c>
      <x:c r="E664" s="2" t="n">
        <x:v>1</x:v>
      </x:c>
      <x:c r="F664" s="2" t="n">
        <x:v>4</x:v>
      </x:c>
      <x:c r="G664" s="2" t="str">
        <x:v>observed_post_release</x:v>
      </x:c>
      <x:c r="H664" s="2" t="n">
        <x:f>IF(AND(ISNUMBER(F664),F664&gt;=D664),1,0)</x:f>
        <x:v>1</x:v>
      </x:c>
      <x:c r="I664" s="2" t="n">
        <x:f>IF(AND(ISNUMBER(F664),F664&gt;D664),1,0)</x:f>
        <x:v>0</x:v>
      </x:c>
      <x:c r="J664" s="2" t="n">
        <x:f>IF(H664=1,F664-D664,"")</x:f>
        <x:v>0</x:v>
      </x:c>
      <x:c r="K664" s="2" t="n">
        <x:f>IF(H664=1,F664-E664,"")</x:f>
        <x:v>3</x:v>
      </x:c>
      <x:c r="L664" s="2" t="n">
        <x:v>9</x:v>
      </x:c>
      <x:c r="M664" s="2" t="n">
        <x:v>4</x:v>
      </x:c>
      <x:c r="N664" s="20" t="n">
        <x:v>0.4</x:v>
      </x:c>
      <x:c r="O664" s="20" t="n">
        <x:v>0.2</x:v>
      </x:c>
      <x:c r="P664" s="20" t="n">
        <x:v>0.5</x:v>
      </x:c>
      <x:c r="Q664" s="2" t="n">
        <x:v>36</x:v>
      </x:c>
      <x:c r="R664" s="2" t="str">
        <x:v>ISFP</x:v>
      </x:c>
      <x:c r="S664" s="2" t="str">
        <x:v>西北</x:v>
      </x:c>
      <x:c r="T664" s="2" t="str">
        <x:v>个体经营或自由职业</x:v>
      </x:c>
    </x:row>
    <x:row r="665" ht="24" customHeight="1">
      <x:c r="A665" s="2" t="str">
        <x:v>D040_T04_C020_G050</x:v>
      </x:c>
      <x:c r="B665" s="2" t="str">
        <x:v>A0027</x:v>
      </x:c>
      <x:c r="C665" s="2" t="str">
        <x:v>inside</x:v>
      </x:c>
      <x:c r="D665" s="2" t="n">
        <x:v>4</x:v>
      </x:c>
      <x:c r="E665" s="2" t="n">
        <x:v>1</x:v>
      </x:c>
      <x:c r="F665" s="2" t="n">
        <x:v>5</x:v>
      </x:c>
      <x:c r="G665" s="2" t="str">
        <x:v>observed_post_release</x:v>
      </x:c>
      <x:c r="H665" s="2" t="n">
        <x:f>IF(AND(ISNUMBER(F665),F665&gt;=D665),1,0)</x:f>
        <x:v>1</x:v>
      </x:c>
      <x:c r="I665" s="2" t="n">
        <x:f>IF(AND(ISNUMBER(F665),F665&gt;D665),1,0)</x:f>
        <x:v>1</x:v>
      </x:c>
      <x:c r="J665" s="2" t="n">
        <x:f>IF(H665=1,F665-D665,"")</x:f>
        <x:v>1</x:v>
      </x:c>
      <x:c r="K665" s="2" t="n">
        <x:f>IF(H665=1,F665-E665,"")</x:f>
        <x:v>4</x:v>
      </x:c>
      <x:c r="L665" s="2" t="n">
        <x:v>9</x:v>
      </x:c>
      <x:c r="M665" s="2" t="n">
        <x:v>5</x:v>
      </x:c>
      <x:c r="N665" s="20" t="n">
        <x:v>0.4</x:v>
      </x:c>
      <x:c r="O665" s="20" t="n">
        <x:v>0.2</x:v>
      </x:c>
      <x:c r="P665" s="20" t="n">
        <x:v>0.5</x:v>
      </x:c>
      <x:c r="Q665" s="2" t="n">
        <x:v>25</x:v>
      </x:c>
      <x:c r="R665" s="2" t="str">
        <x:v>ESFP</x:v>
      </x:c>
      <x:c r="S665" s="2" t="str">
        <x:v>西北</x:v>
      </x:c>
      <x:c r="T665" s="2" t="str">
        <x:v>暂未就业或家庭照料</x:v>
      </x:c>
    </x:row>
    <x:row r="666" ht="24" customHeight="1">
      <x:c r="A666" s="2" t="str">
        <x:v>D040_T04_C020_G050</x:v>
      </x:c>
      <x:c r="B666" s="2" t="str">
        <x:v>A0029</x:v>
      </x:c>
      <x:c r="C666" s="2" t="str">
        <x:v>inside</x:v>
      </x:c>
      <x:c r="D666" s="2" t="n">
        <x:v>4</x:v>
      </x:c>
      <x:c r="E666" s="2" t="n">
        <x:v>1</x:v>
      </x:c>
      <x:c r="F666" s="2" t="n">
        <x:v>5</x:v>
      </x:c>
      <x:c r="G666" s="2" t="str">
        <x:v>observed_post_release</x:v>
      </x:c>
      <x:c r="H666" s="2" t="n">
        <x:f>IF(AND(ISNUMBER(F666),F666&gt;=D666),1,0)</x:f>
        <x:v>1</x:v>
      </x:c>
      <x:c r="I666" s="2" t="n">
        <x:f>IF(AND(ISNUMBER(F666),F666&gt;D666),1,0)</x:f>
        <x:v>1</x:v>
      </x:c>
      <x:c r="J666" s="2" t="n">
        <x:f>IF(H666=1,F666-D666,"")</x:f>
        <x:v>1</x:v>
      </x:c>
      <x:c r="K666" s="2" t="n">
        <x:f>IF(H666=1,F666-E666,"")</x:f>
        <x:v>4</x:v>
      </x:c>
      <x:c r="L666" s="2" t="n">
        <x:v>9</x:v>
      </x:c>
      <x:c r="M666" s="2" t="n">
        <x:v>5</x:v>
      </x:c>
      <x:c r="N666" s="20" t="n">
        <x:v>0.4</x:v>
      </x:c>
      <x:c r="O666" s="20" t="n">
        <x:v>0.2</x:v>
      </x:c>
      <x:c r="P666" s="20" t="n">
        <x:v>0.5</x:v>
      </x:c>
      <x:c r="Q666" s="2" t="n">
        <x:v>69</x:v>
      </x:c>
      <x:c r="R666" s="2" t="str">
        <x:v>ENTP</x:v>
      </x:c>
      <x:c r="S666" s="2" t="str">
        <x:v>华东</x:v>
      </x:c>
      <x:c r="T666" s="2" t="str">
        <x:v>退休人员</x:v>
      </x:c>
    </x:row>
    <x:row r="667" ht="24" customHeight="1">
      <x:c r="A667" s="2" t="str">
        <x:v>D040_T04_C020_G050</x:v>
      </x:c>
      <x:c r="B667" s="2" t="str">
        <x:v>A0030</x:v>
      </x:c>
      <x:c r="C667" s="2" t="str">
        <x:v>inside</x:v>
      </x:c>
      <x:c r="D667" s="2" t="n">
        <x:v>4</x:v>
      </x:c>
      <x:c r="E667" s="2" t="n">
        <x:v>1</x:v>
      </x:c>
      <x:c r="F667" s="2" t="n">
        <x:v>6</x:v>
      </x:c>
      <x:c r="G667" s="2" t="str">
        <x:v>observed_post_release</x:v>
      </x:c>
      <x:c r="H667" s="2" t="n">
        <x:f>IF(AND(ISNUMBER(F667),F667&gt;=D667),1,0)</x:f>
        <x:v>1</x:v>
      </x:c>
      <x:c r="I667" s="2" t="n">
        <x:f>IF(AND(ISNUMBER(F667),F667&gt;D667),1,0)</x:f>
        <x:v>1</x:v>
      </x:c>
      <x:c r="J667" s="2" t="n">
        <x:f>IF(H667=1,F667-D667,"")</x:f>
        <x:v>2</x:v>
      </x:c>
      <x:c r="K667" s="2" t="n">
        <x:f>IF(H667=1,F667-E667,"")</x:f>
        <x:v>5</x:v>
      </x:c>
      <x:c r="L667" s="2" t="n">
        <x:v>9</x:v>
      </x:c>
      <x:c r="M667" s="2" t="n">
        <x:v>6</x:v>
      </x:c>
      <x:c r="N667" s="20" t="n">
        <x:v>0.4</x:v>
      </x:c>
      <x:c r="O667" s="20" t="n">
        <x:v>0.2</x:v>
      </x:c>
      <x:c r="P667" s="20" t="n">
        <x:v>0.5</x:v>
      </x:c>
      <x:c r="Q667" s="2" t="n">
        <x:v>23</x:v>
      </x:c>
      <x:c r="R667" s="2" t="str">
        <x:v>ISFP</x:v>
      </x:c>
      <x:c r="S667" s="2" t="str">
        <x:v>华东</x:v>
      </x:c>
      <x:c r="T667" s="2" t="str">
        <x:v>在校学生</x:v>
      </x:c>
    </x:row>
    <x:row r="668" ht="24" customHeight="1">
      <x:c r="A668" s="2" t="str">
        <x:v>D040_T04_C020_G050</x:v>
      </x:c>
      <x:c r="B668" s="2" t="str">
        <x:v>A0032</x:v>
      </x:c>
      <x:c r="C668" s="2" t="str">
        <x:v>inside</x:v>
      </x:c>
      <x:c r="D668" s="2" t="n">
        <x:v>4</x:v>
      </x:c>
      <x:c r="E668" s="2" t="n">
        <x:v>1</x:v>
      </x:c>
      <x:c r="F668" s="2" t="n">
        <x:v>9</x:v>
      </x:c>
      <x:c r="G668" s="2" t="str">
        <x:v>observed_post_release</x:v>
      </x:c>
      <x:c r="H668" s="2" t="n">
        <x:f>IF(AND(ISNUMBER(F668),F668&gt;=D668),1,0)</x:f>
        <x:v>1</x:v>
      </x:c>
      <x:c r="I668" s="2" t="n">
        <x:f>IF(AND(ISNUMBER(F668),F668&gt;D668),1,0)</x:f>
        <x:v>1</x:v>
      </x:c>
      <x:c r="J668" s="2" t="n">
        <x:f>IF(H668=1,F668-D668,"")</x:f>
        <x:v>5</x:v>
      </x:c>
      <x:c r="K668" s="2" t="n">
        <x:f>IF(H668=1,F668-E668,"")</x:f>
        <x:v>8</x:v>
      </x:c>
      <x:c r="L668" s="2" t="n">
        <x:v>9</x:v>
      </x:c>
      <x:c r="M668" s="2" t="n">
        <x:v>4</x:v>
      </x:c>
      <x:c r="N668" s="20" t="n">
        <x:v>0.4</x:v>
      </x:c>
      <x:c r="O668" s="20" t="n">
        <x:v>0.2</x:v>
      </x:c>
      <x:c r="P668" s="20" t="n">
        <x:v>0.5</x:v>
      </x:c>
      <x:c r="Q668" s="2" t="n">
        <x:v>53</x:v>
      </x:c>
      <x:c r="R668" s="2" t="str">
        <x:v>INTP</x:v>
      </x:c>
      <x:c r="S668" s="2" t="str">
        <x:v>华北</x:v>
      </x:c>
      <x:c r="T668" s="2" t="str">
        <x:v>个体经营或自由职业</x:v>
      </x:c>
    </x:row>
    <x:row r="669" ht="24" customHeight="1">
      <x:c r="A669" s="2" t="str">
        <x:v>D040_T04_C020_G050</x:v>
      </x:c>
      <x:c r="B669" s="2" t="str">
        <x:v>A0033</x:v>
      </x:c>
      <x:c r="C669" s="2" t="str">
        <x:v>inside</x:v>
      </x:c>
      <x:c r="D669" s="2" t="n">
        <x:v>4</x:v>
      </x:c>
      <x:c r="E669" s="2" t="n">
        <x:v>1</x:v>
      </x:c>
      <x:c r="F669" s="2" t="n">
        <x:v>6</x:v>
      </x:c>
      <x:c r="G669" s="2" t="str">
        <x:v>observed_post_release</x:v>
      </x:c>
      <x:c r="H669" s="2" t="n">
        <x:f>IF(AND(ISNUMBER(F669),F669&gt;=D669),1,0)</x:f>
        <x:v>1</x:v>
      </x:c>
      <x:c r="I669" s="2" t="n">
        <x:f>IF(AND(ISNUMBER(F669),F669&gt;D669),1,0)</x:f>
        <x:v>1</x:v>
      </x:c>
      <x:c r="J669" s="2" t="n">
        <x:f>IF(H669=1,F669-D669,"")</x:f>
        <x:v>2</x:v>
      </x:c>
      <x:c r="K669" s="2" t="n">
        <x:f>IF(H669=1,F669-E669,"")</x:f>
        <x:v>5</x:v>
      </x:c>
      <x:c r="L669" s="2" t="n">
        <x:v>9</x:v>
      </x:c>
      <x:c r="M669" s="2" t="n">
        <x:v>6</x:v>
      </x:c>
      <x:c r="N669" s="20" t="n">
        <x:v>0.4</x:v>
      </x:c>
      <x:c r="O669" s="20" t="n">
        <x:v>0.2</x:v>
      </x:c>
      <x:c r="P669" s="20" t="n">
        <x:v>0.5</x:v>
      </x:c>
      <x:c r="Q669" s="2" t="n">
        <x:v>55</x:v>
      </x:c>
      <x:c r="R669" s="2" t="str">
        <x:v>ENFP</x:v>
      </x:c>
      <x:c r="S669" s="2" t="str">
        <x:v>华南</x:v>
      </x:c>
      <x:c r="T669" s="2" t="str">
        <x:v>个体经营或自由职业</x:v>
      </x:c>
    </x:row>
    <x:row r="670" ht="24" customHeight="1">
      <x:c r="A670" s="2" t="str">
        <x:v>D040_T04_C020_G050</x:v>
      </x:c>
      <x:c r="B670" s="2" t="str">
        <x:v>A0034</x:v>
      </x:c>
      <x:c r="C670" s="2" t="str">
        <x:v>inside</x:v>
      </x:c>
      <x:c r="D670" s="2" t="n">
        <x:v>4</x:v>
      </x:c>
      <x:c r="E670" s="2" t="n">
        <x:v>1</x:v>
      </x:c>
      <x:c r="F670" s="2" t="n">
        <x:v>5</x:v>
      </x:c>
      <x:c r="G670" s="2" t="str">
        <x:v>observed_post_release</x:v>
      </x:c>
      <x:c r="H670" s="2" t="n">
        <x:f>IF(AND(ISNUMBER(F670),F670&gt;=D670),1,0)</x:f>
        <x:v>1</x:v>
      </x:c>
      <x:c r="I670" s="2" t="n">
        <x:f>IF(AND(ISNUMBER(F670),F670&gt;D670),1,0)</x:f>
        <x:v>1</x:v>
      </x:c>
      <x:c r="J670" s="2" t="n">
        <x:f>IF(H670=1,F670-D670,"")</x:f>
        <x:v>1</x:v>
      </x:c>
      <x:c r="K670" s="2" t="n">
        <x:f>IF(H670=1,F670-E670,"")</x:f>
        <x:v>4</x:v>
      </x:c>
      <x:c r="L670" s="2" t="n">
        <x:v>9</x:v>
      </x:c>
      <x:c r="M670" s="2" t="n">
        <x:v>5</x:v>
      </x:c>
      <x:c r="N670" s="20" t="n">
        <x:v>0.4</x:v>
      </x:c>
      <x:c r="O670" s="20" t="n">
        <x:v>0.2</x:v>
      </x:c>
      <x:c r="P670" s="20" t="n">
        <x:v>0.5</x:v>
      </x:c>
      <x:c r="Q670" s="2" t="n">
        <x:v>36</x:v>
      </x:c>
      <x:c r="R670" s="2" t="str">
        <x:v>INTP</x:v>
      </x:c>
      <x:c r="S670" s="2" t="str">
        <x:v>华南</x:v>
      </x:c>
      <x:c r="T670" s="2" t="str">
        <x:v>专业技术岗位</x:v>
      </x:c>
    </x:row>
    <x:row r="671" ht="24" customHeight="1">
      <x:c r="A671" s="2" t="str">
        <x:v>D040_T04_C020_G050</x:v>
      </x:c>
      <x:c r="B671" s="2" t="str">
        <x:v>A0035</x:v>
      </x:c>
      <x:c r="C671" s="2" t="str">
        <x:v>inside</x:v>
      </x:c>
      <x:c r="D671" s="2" t="n">
        <x:v>4</x:v>
      </x:c>
      <x:c r="E671" s="2" t="n">
        <x:v>1</x:v>
      </x:c>
      <x:c r="F671" s="2" t="n">
        <x:v>5</x:v>
      </x:c>
      <x:c r="G671" s="2" t="str">
        <x:v>observed_post_release</x:v>
      </x:c>
      <x:c r="H671" s="2" t="n">
        <x:f>IF(AND(ISNUMBER(F671),F671&gt;=D671),1,0)</x:f>
        <x:v>1</x:v>
      </x:c>
      <x:c r="I671" s="2" t="n">
        <x:f>IF(AND(ISNUMBER(F671),F671&gt;D671),1,0)</x:f>
        <x:v>1</x:v>
      </x:c>
      <x:c r="J671" s="2" t="n">
        <x:f>IF(H671=1,F671-D671,"")</x:f>
        <x:v>1</x:v>
      </x:c>
      <x:c r="K671" s="2" t="n">
        <x:f>IF(H671=1,F671-E671,"")</x:f>
        <x:v>4</x:v>
      </x:c>
      <x:c r="L671" s="2" t="n">
        <x:v>9</x:v>
      </x:c>
      <x:c r="M671" s="2" t="n">
        <x:v>5</x:v>
      </x:c>
      <x:c r="N671" s="20" t="n">
        <x:v>0.4</x:v>
      </x:c>
      <x:c r="O671" s="20" t="n">
        <x:v>0.2</x:v>
      </x:c>
      <x:c r="P671" s="20" t="n">
        <x:v>0.5</x:v>
      </x:c>
      <x:c r="Q671" s="2" t="n">
        <x:v>42</x:v>
      </x:c>
      <x:c r="R671" s="2" t="str">
        <x:v>ISFJ</x:v>
      </x:c>
      <x:c r="S671" s="2" t="str">
        <x:v>华南</x:v>
      </x:c>
      <x:c r="T671" s="2" t="str">
        <x:v>专业技术岗位</x:v>
      </x:c>
    </x:row>
    <x:row r="672" ht="24" customHeight="1">
      <x:c r="A672" s="2" t="str">
        <x:v>D040_T04_C020_G050</x:v>
      </x:c>
      <x:c r="B672" s="2" t="str">
        <x:v>A0036</x:v>
      </x:c>
      <x:c r="C672" s="2" t="str">
        <x:v>inside</x:v>
      </x:c>
      <x:c r="D672" s="2" t="n">
        <x:v>4</x:v>
      </x:c>
      <x:c r="E672" s="2" t="n">
        <x:v>1</x:v>
      </x:c>
      <x:c r="F672" s="2" t="n">
        <x:v>8</x:v>
      </x:c>
      <x:c r="G672" s="2" t="str">
        <x:v>observed_post_release</x:v>
      </x:c>
      <x:c r="H672" s="2" t="n">
        <x:f>IF(AND(ISNUMBER(F672),F672&gt;=D672),1,0)</x:f>
        <x:v>1</x:v>
      </x:c>
      <x:c r="I672" s="2" t="n">
        <x:f>IF(AND(ISNUMBER(F672),F672&gt;D672),1,0)</x:f>
        <x:v>1</x:v>
      </x:c>
      <x:c r="J672" s="2" t="n">
        <x:f>IF(H672=1,F672-D672,"")</x:f>
        <x:v>4</x:v>
      </x:c>
      <x:c r="K672" s="2" t="n">
        <x:f>IF(H672=1,F672-E672,"")</x:f>
        <x:v>7</x:v>
      </x:c>
      <x:c r="L672" s="2" t="n">
        <x:v>9</x:v>
      </x:c>
      <x:c r="M672" s="2" t="n">
        <x:v>5</x:v>
      </x:c>
      <x:c r="N672" s="20" t="n">
        <x:v>0.4</x:v>
      </x:c>
      <x:c r="O672" s="20" t="n">
        <x:v>0.2</x:v>
      </x:c>
      <x:c r="P672" s="20" t="n">
        <x:v>0.5</x:v>
      </x:c>
      <x:c r="Q672" s="2" t="n">
        <x:v>43</x:v>
      </x:c>
      <x:c r="R672" s="2" t="str">
        <x:v>ISFJ</x:v>
      </x:c>
      <x:c r="S672" s="2" t="str">
        <x:v>华东</x:v>
      </x:c>
      <x:c r="T672" s="2" t="str">
        <x:v>生产运输或体力岗位</x:v>
      </x:c>
    </x:row>
    <x:row r="673" ht="24" customHeight="1">
      <x:c r="A673" s="2" t="str">
        <x:v>D040_T04_C020_G050</x:v>
      </x:c>
      <x:c r="B673" s="2" t="str">
        <x:v>A0038</x:v>
      </x:c>
      <x:c r="C673" s="2" t="str">
        <x:v>inside</x:v>
      </x:c>
      <x:c r="D673" s="2" t="n">
        <x:v>4</x:v>
      </x:c>
      <x:c r="E673" s="2" t="n">
        <x:v>1</x:v>
      </x:c>
      <x:c r="F673" s="2"/>
      <x:c r="G673" s="2" t="str">
        <x:v>right_censored</x:v>
      </x:c>
      <x:c r="H673" s="2" t="n">
        <x:f>IF(AND(ISNUMBER(F673),F673&gt;=D673),1,0)</x:f>
        <x:v>0</x:v>
      </x:c>
      <x:c r="I673" s="2" t="n">
        <x:f>IF(AND(ISNUMBER(F673),F673&gt;D673),1,0)</x:f>
        <x:v>0</x:v>
      </x:c>
      <x:c r="J673" s="2" t="str">
        <x:f>IF(H673=1,F673-D673,"")</x:f>
      </x:c>
      <x:c r="K673" s="2" t="str">
        <x:f>IF(H673=1,F673-E673,"")</x:f>
      </x:c>
      <x:c r="L673" s="2" t="n">
        <x:v>9</x:v>
      </x:c>
      <x:c r="M673" s="2" t="n">
        <x:v>5</x:v>
      </x:c>
      <x:c r="N673" s="20" t="n">
        <x:v>0.4</x:v>
      </x:c>
      <x:c r="O673" s="20" t="n">
        <x:v>0.2</x:v>
      </x:c>
      <x:c r="P673" s="20" t="n">
        <x:v>0.5</x:v>
      </x:c>
      <x:c r="Q673" s="2" t="n">
        <x:v>46</x:v>
      </x:c>
      <x:c r="R673" s="2" t="str">
        <x:v>ISTP</x:v>
      </x:c>
      <x:c r="S673" s="2" t="str">
        <x:v>华东</x:v>
      </x:c>
      <x:c r="T673" s="2" t="str">
        <x:v>行政或办公室岗位</x:v>
      </x:c>
    </x:row>
    <x:row r="674" ht="24" customHeight="1">
      <x:c r="A674" s="2" t="str">
        <x:v>D040_T04_C020_G050</x:v>
      </x:c>
      <x:c r="B674" s="2" t="str">
        <x:v>A0040</x:v>
      </x:c>
      <x:c r="C674" s="2" t="str">
        <x:v>inside</x:v>
      </x:c>
      <x:c r="D674" s="2" t="n">
        <x:v>4</x:v>
      </x:c>
      <x:c r="E674" s="2" t="n">
        <x:v>1</x:v>
      </x:c>
      <x:c r="F674" s="2" t="n">
        <x:v>6</x:v>
      </x:c>
      <x:c r="G674" s="2" t="str">
        <x:v>observed_post_release</x:v>
      </x:c>
      <x:c r="H674" s="2" t="n">
        <x:f>IF(AND(ISNUMBER(F674),F674&gt;=D674),1,0)</x:f>
        <x:v>1</x:v>
      </x:c>
      <x:c r="I674" s="2" t="n">
        <x:f>IF(AND(ISNUMBER(F674),F674&gt;D674),1,0)</x:f>
        <x:v>1</x:v>
      </x:c>
      <x:c r="J674" s="2" t="n">
        <x:f>IF(H674=1,F674-D674,"")</x:f>
        <x:v>2</x:v>
      </x:c>
      <x:c r="K674" s="2" t="n">
        <x:f>IF(H674=1,F674-E674,"")</x:f>
        <x:v>5</x:v>
      </x:c>
      <x:c r="L674" s="2" t="n">
        <x:v>9</x:v>
      </x:c>
      <x:c r="M674" s="2" t="n">
        <x:v>5</x:v>
      </x:c>
      <x:c r="N674" s="20" t="n">
        <x:v>0.4</x:v>
      </x:c>
      <x:c r="O674" s="20" t="n">
        <x:v>0.2</x:v>
      </x:c>
      <x:c r="P674" s="20" t="n">
        <x:v>0.5</x:v>
      </x:c>
      <x:c r="Q674" s="2" t="n">
        <x:v>48</x:v>
      </x:c>
      <x:c r="R674" s="2" t="str">
        <x:v>INFP</x:v>
      </x:c>
      <x:c r="S674" s="2" t="str">
        <x:v>西北</x:v>
      </x:c>
      <x:c r="T674" s="2" t="str">
        <x:v>个体经营或自由职业</x:v>
      </x:c>
    </x:row>
    <x:row r="675" ht="24" customHeight="1">
      <x:c r="A675" s="2" t="str">
        <x:v>D040_T04_C020_G050</x:v>
      </x:c>
      <x:c r="B675" s="2" t="str">
        <x:v>A0041</x:v>
      </x:c>
      <x:c r="C675" s="2" t="str">
        <x:v>inside</x:v>
      </x:c>
      <x:c r="D675" s="2" t="n">
        <x:v>4</x:v>
      </x:c>
      <x:c r="E675" s="2" t="n">
        <x:v>1</x:v>
      </x:c>
      <x:c r="F675" s="2" t="n">
        <x:v>5</x:v>
      </x:c>
      <x:c r="G675" s="2" t="str">
        <x:v>observed_post_release</x:v>
      </x:c>
      <x:c r="H675" s="2" t="n">
        <x:f>IF(AND(ISNUMBER(F675),F675&gt;=D675),1,0)</x:f>
        <x:v>1</x:v>
      </x:c>
      <x:c r="I675" s="2" t="n">
        <x:f>IF(AND(ISNUMBER(F675),F675&gt;D675),1,0)</x:f>
        <x:v>1</x:v>
      </x:c>
      <x:c r="J675" s="2" t="n">
        <x:f>IF(H675=1,F675-D675,"")</x:f>
        <x:v>1</x:v>
      </x:c>
      <x:c r="K675" s="2" t="n">
        <x:f>IF(H675=1,F675-E675,"")</x:f>
        <x:v>4</x:v>
      </x:c>
      <x:c r="L675" s="2" t="n">
        <x:v>9</x:v>
      </x:c>
      <x:c r="M675" s="2" t="n">
        <x:v>5</x:v>
      </x:c>
      <x:c r="N675" s="20" t="n">
        <x:v>0.4</x:v>
      </x:c>
      <x:c r="O675" s="20" t="n">
        <x:v>0.2</x:v>
      </x:c>
      <x:c r="P675" s="20" t="n">
        <x:v>0.5</x:v>
      </x:c>
      <x:c r="Q675" s="2" t="n">
        <x:v>62</x:v>
      </x:c>
      <x:c r="R675" s="2" t="str">
        <x:v>ISFJ</x:v>
      </x:c>
      <x:c r="S675" s="2" t="str">
        <x:v>西北</x:v>
      </x:c>
      <x:c r="T675" s="2" t="str">
        <x:v>个体经营或自由职业</x:v>
      </x:c>
    </x:row>
    <x:row r="676" ht="24" customHeight="1">
      <x:c r="A676" s="2" t="str">
        <x:v>D040_T04_C020_G050</x:v>
      </x:c>
      <x:c r="B676" s="2" t="str">
        <x:v>A0071</x:v>
      </x:c>
      <x:c r="C676" s="2" t="str">
        <x:v>inside</x:v>
      </x:c>
      <x:c r="D676" s="2" t="n">
        <x:v>4</x:v>
      </x:c>
      <x:c r="E676" s="2" t="n">
        <x:v>1</x:v>
      </x:c>
      <x:c r="F676" s="2" t="n">
        <x:v>7</x:v>
      </x:c>
      <x:c r="G676" s="2" t="str">
        <x:v>observed_post_release</x:v>
      </x:c>
      <x:c r="H676" s="2" t="n">
        <x:f>IF(AND(ISNUMBER(F676),F676&gt;=D676),1,0)</x:f>
        <x:v>1</x:v>
      </x:c>
      <x:c r="I676" s="2" t="n">
        <x:f>IF(AND(ISNUMBER(F676),F676&gt;D676),1,0)</x:f>
        <x:v>1</x:v>
      </x:c>
      <x:c r="J676" s="2" t="n">
        <x:f>IF(H676=1,F676-D676,"")</x:f>
        <x:v>3</x:v>
      </x:c>
      <x:c r="K676" s="2" t="n">
        <x:f>IF(H676=1,F676-E676,"")</x:f>
        <x:v>6</x:v>
      </x:c>
      <x:c r="L676" s="2" t="n">
        <x:v>9</x:v>
      </x:c>
      <x:c r="M676" s="2" t="n">
        <x:v>6</x:v>
      </x:c>
      <x:c r="N676" s="20" t="n">
        <x:v>0.4</x:v>
      </x:c>
      <x:c r="O676" s="20" t="n">
        <x:v>0.2</x:v>
      </x:c>
      <x:c r="P676" s="20" t="n">
        <x:v>0.5</x:v>
      </x:c>
      <x:c r="Q676" s="2" t="n">
        <x:v>33</x:v>
      </x:c>
      <x:c r="R676" s="2" t="str">
        <x:v>ISTJ</x:v>
      </x:c>
      <x:c r="S676" s="2" t="str">
        <x:v>华东</x:v>
      </x:c>
      <x:c r="T676" s="2" t="str">
        <x:v>商业服务岗位</x:v>
      </x:c>
    </x:row>
    <x:row r="677" ht="24" customHeight="1">
      <x:c r="A677" s="2" t="str">
        <x:v>D040_T04_C020_G050</x:v>
      </x:c>
      <x:c r="B677" s="2" t="str">
        <x:v>A0090</x:v>
      </x:c>
      <x:c r="C677" s="2" t="str">
        <x:v>inside</x:v>
      </x:c>
      <x:c r="D677" s="2" t="n">
        <x:v>4</x:v>
      </x:c>
      <x:c r="E677" s="2" t="n">
        <x:v>1</x:v>
      </x:c>
      <x:c r="F677" s="2" t="n">
        <x:v>7</x:v>
      </x:c>
      <x:c r="G677" s="2" t="str">
        <x:v>observed_post_release</x:v>
      </x:c>
      <x:c r="H677" s="2" t="n">
        <x:f>IF(AND(ISNUMBER(F677),F677&gt;=D677),1,0)</x:f>
        <x:v>1</x:v>
      </x:c>
      <x:c r="I677" s="2" t="n">
        <x:f>IF(AND(ISNUMBER(F677),F677&gt;D677),1,0)</x:f>
        <x:v>1</x:v>
      </x:c>
      <x:c r="J677" s="2" t="n">
        <x:f>IF(H677=1,F677-D677,"")</x:f>
        <x:v>3</x:v>
      </x:c>
      <x:c r="K677" s="2" t="n">
        <x:f>IF(H677=1,F677-E677,"")</x:f>
        <x:v>6</x:v>
      </x:c>
      <x:c r="L677" s="2" t="n">
        <x:v>9</x:v>
      </x:c>
      <x:c r="M677" s="2" t="n">
        <x:v>5</x:v>
      </x:c>
      <x:c r="N677" s="20" t="n">
        <x:v>0.4</x:v>
      </x:c>
      <x:c r="O677" s="20" t="n">
        <x:v>0.2</x:v>
      </x:c>
      <x:c r="P677" s="20" t="n">
        <x:v>0.5</x:v>
      </x:c>
      <x:c r="Q677" s="2" t="n">
        <x:v>46</x:v>
      </x:c>
      <x:c r="R677" s="2" t="str">
        <x:v>ENFJ</x:v>
      </x:c>
      <x:c r="S677" s="2" t="str">
        <x:v>西北</x:v>
      </x:c>
      <x:c r="T677" s="2" t="str">
        <x:v>个体经营或自由职业</x:v>
      </x:c>
    </x:row>
    <x:row r="678" ht="24" customHeight="1">
      <x:c r="A678" s="2" t="str">
        <x:v>D040_T04_C020_G050</x:v>
      </x:c>
      <x:c r="B678" s="2" t="str">
        <x:v>A0189</x:v>
      </x:c>
      <x:c r="C678" s="2" t="str">
        <x:v>inside</x:v>
      </x:c>
      <x:c r="D678" s="2" t="n">
        <x:v>4</x:v>
      </x:c>
      <x:c r="E678" s="2" t="n">
        <x:v>1</x:v>
      </x:c>
      <x:c r="F678" s="2" t="n">
        <x:v>7</x:v>
      </x:c>
      <x:c r="G678" s="2" t="str">
        <x:v>observed_post_release</x:v>
      </x:c>
      <x:c r="H678" s="2" t="n">
        <x:f>IF(AND(ISNUMBER(F678),F678&gt;=D678),1,0)</x:f>
        <x:v>1</x:v>
      </x:c>
      <x:c r="I678" s="2" t="n">
        <x:f>IF(AND(ISNUMBER(F678),F678&gt;D678),1,0)</x:f>
        <x:v>1</x:v>
      </x:c>
      <x:c r="J678" s="2" t="n">
        <x:f>IF(H678=1,F678-D678,"")</x:f>
        <x:v>3</x:v>
      </x:c>
      <x:c r="K678" s="2" t="n">
        <x:f>IF(H678=1,F678-E678,"")</x:f>
        <x:v>6</x:v>
      </x:c>
      <x:c r="L678" s="2" t="n">
        <x:v>9</x:v>
      </x:c>
      <x:c r="M678" s="2" t="n">
        <x:v>7</x:v>
      </x:c>
      <x:c r="N678" s="20" t="n">
        <x:v>0.4</x:v>
      </x:c>
      <x:c r="O678" s="20" t="n">
        <x:v>0.2</x:v>
      </x:c>
      <x:c r="P678" s="20" t="n">
        <x:v>0.5</x:v>
      </x:c>
      <x:c r="Q678" s="2" t="n">
        <x:v>45</x:v>
      </x:c>
      <x:c r="R678" s="2" t="str">
        <x:v>ISFJ</x:v>
      </x:c>
      <x:c r="S678" s="2" t="str">
        <x:v>西北</x:v>
      </x:c>
      <x:c r="T678" s="2" t="str">
        <x:v>生产运输或体力岗位</x:v>
      </x:c>
    </x:row>
    <x:row r="679" ht="24" customHeight="1">
      <x:c r="A679" s="2" t="str">
        <x:v>D040_T04_C020_G050</x:v>
      </x:c>
      <x:c r="B679" s="2" t="str">
        <x:v>A0206</x:v>
      </x:c>
      <x:c r="C679" s="2" t="str">
        <x:v>inside</x:v>
      </x:c>
      <x:c r="D679" s="2" t="n">
        <x:v>4</x:v>
      </x:c>
      <x:c r="E679" s="2" t="n">
        <x:v>1</x:v>
      </x:c>
      <x:c r="F679" s="2" t="n">
        <x:v>4</x:v>
      </x:c>
      <x:c r="G679" s="2" t="str">
        <x:v>observed_post_release</x:v>
      </x:c>
      <x:c r="H679" s="2" t="n">
        <x:f>IF(AND(ISNUMBER(F679),F679&gt;=D679),1,0)</x:f>
        <x:v>1</x:v>
      </x:c>
      <x:c r="I679" s="2" t="n">
        <x:f>IF(AND(ISNUMBER(F679),F679&gt;D679),1,0)</x:f>
        <x:v>0</x:v>
      </x:c>
      <x:c r="J679" s="2" t="n">
        <x:f>IF(H679=1,F679-D679,"")</x:f>
        <x:v>0</x:v>
      </x:c>
      <x:c r="K679" s="2" t="n">
        <x:f>IF(H679=1,F679-E679,"")</x:f>
        <x:v>3</x:v>
      </x:c>
      <x:c r="L679" s="2" t="n">
        <x:v>9</x:v>
      </x:c>
      <x:c r="M679" s="2" t="n">
        <x:v>4</x:v>
      </x:c>
      <x:c r="N679" s="20" t="n">
        <x:v>0.4</x:v>
      </x:c>
      <x:c r="O679" s="20" t="n">
        <x:v>0.2</x:v>
      </x:c>
      <x:c r="P679" s="20" t="n">
        <x:v>0.5</x:v>
      </x:c>
      <x:c r="Q679" s="2" t="n">
        <x:v>21</x:v>
      </x:c>
      <x:c r="R679" s="2" t="str">
        <x:v>ESTP</x:v>
      </x:c>
      <x:c r="S679" s="2" t="str">
        <x:v>西北</x:v>
      </x:c>
      <x:c r="T679" s="2" t="str">
        <x:v>暂未就业或家庭照料</x:v>
      </x:c>
    </x:row>
    <x:row r="680" ht="24" customHeight="1">
      <x:c r="A680" s="2" t="str">
        <x:v>D040_T04_C020_G075</x:v>
      </x:c>
      <x:c r="B680" s="2" t="str">
        <x:v>A0005</x:v>
      </x:c>
      <x:c r="C680" s="2" t="str">
        <x:v>inside</x:v>
      </x:c>
      <x:c r="D680" s="2" t="n">
        <x:v>4</x:v>
      </x:c>
      <x:c r="E680" s="2" t="n">
        <x:v>1</x:v>
      </x:c>
      <x:c r="F680" s="2" t="n">
        <x:v>7</x:v>
      </x:c>
      <x:c r="G680" s="2" t="str">
        <x:v>observed_post_release</x:v>
      </x:c>
      <x:c r="H680" s="2" t="n">
        <x:f>IF(AND(ISNUMBER(F680),F680&gt;=D680),1,0)</x:f>
        <x:v>1</x:v>
      </x:c>
      <x:c r="I680" s="2" t="n">
        <x:f>IF(AND(ISNUMBER(F680),F680&gt;D680),1,0)</x:f>
        <x:v>1</x:v>
      </x:c>
      <x:c r="J680" s="2" t="n">
        <x:f>IF(H680=1,F680-D680,"")</x:f>
        <x:v>3</x:v>
      </x:c>
      <x:c r="K680" s="2" t="n">
        <x:f>IF(H680=1,F680-E680,"")</x:f>
        <x:v>6</x:v>
      </x:c>
      <x:c r="L680" s="2" t="n">
        <x:v>9</x:v>
      </x:c>
      <x:c r="M680" s="2" t="n">
        <x:v>7</x:v>
      </x:c>
      <x:c r="N680" s="20" t="n">
        <x:v>0.4</x:v>
      </x:c>
      <x:c r="O680" s="20" t="n">
        <x:v>0.2</x:v>
      </x:c>
      <x:c r="P680" s="20" t="n">
        <x:v>0.75</x:v>
      </x:c>
      <x:c r="Q680" s="2" t="n">
        <x:v>51</x:v>
      </x:c>
      <x:c r="R680" s="2" t="str">
        <x:v>ISTP</x:v>
      </x:c>
      <x:c r="S680" s="2" t="str">
        <x:v>华南</x:v>
      </x:c>
      <x:c r="T680" s="2" t="str">
        <x:v>生产运输或体力岗位</x:v>
      </x:c>
    </x:row>
    <x:row r="681" ht="24" customHeight="1">
      <x:c r="A681" s="2" t="str">
        <x:v>D040_T04_C020_G075</x:v>
      </x:c>
      <x:c r="B681" s="2" t="str">
        <x:v>A0006</x:v>
      </x:c>
      <x:c r="C681" s="2" t="str">
        <x:v>inside</x:v>
      </x:c>
      <x:c r="D681" s="2" t="n">
        <x:v>4</x:v>
      </x:c>
      <x:c r="E681" s="2" t="n">
        <x:v>1</x:v>
      </x:c>
      <x:c r="F681" s="2" t="n">
        <x:v>8</x:v>
      </x:c>
      <x:c r="G681" s="2" t="str">
        <x:v>observed_post_release</x:v>
      </x:c>
      <x:c r="H681" s="2" t="n">
        <x:f>IF(AND(ISNUMBER(F681),F681&gt;=D681),1,0)</x:f>
        <x:v>1</x:v>
      </x:c>
      <x:c r="I681" s="2" t="n">
        <x:f>IF(AND(ISNUMBER(F681),F681&gt;D681),1,0)</x:f>
        <x:v>1</x:v>
      </x:c>
      <x:c r="J681" s="2" t="n">
        <x:f>IF(H681=1,F681-D681,"")</x:f>
        <x:v>4</x:v>
      </x:c>
      <x:c r="K681" s="2" t="n">
        <x:f>IF(H681=1,F681-E681,"")</x:f>
        <x:v>7</x:v>
      </x:c>
      <x:c r="L681" s="2" t="n">
        <x:v>9</x:v>
      </x:c>
      <x:c r="M681" s="2" t="n">
        <x:v>6</x:v>
      </x:c>
      <x:c r="N681" s="20" t="n">
        <x:v>0.4</x:v>
      </x:c>
      <x:c r="O681" s="20" t="n">
        <x:v>0.2</x:v>
      </x:c>
      <x:c r="P681" s="20" t="n">
        <x:v>0.75</x:v>
      </x:c>
      <x:c r="Q681" s="2" t="n">
        <x:v>60</x:v>
      </x:c>
      <x:c r="R681" s="2" t="str">
        <x:v>ENFP</x:v>
      </x:c>
      <x:c r="S681" s="2" t="str">
        <x:v>华中</x:v>
      </x:c>
      <x:c r="T681" s="2" t="str">
        <x:v>行政或办公室岗位</x:v>
      </x:c>
    </x:row>
    <x:row r="682" ht="24" customHeight="1">
      <x:c r="A682" s="2" t="str">
        <x:v>D040_T04_C020_G075</x:v>
      </x:c>
      <x:c r="B682" s="2" t="str">
        <x:v>A0011</x:v>
      </x:c>
      <x:c r="C682" s="2" t="str">
        <x:v>inside</x:v>
      </x:c>
      <x:c r="D682" s="2" t="n">
        <x:v>4</x:v>
      </x:c>
      <x:c r="E682" s="2" t="n">
        <x:v>1</x:v>
      </x:c>
      <x:c r="F682" s="2" t="n">
        <x:v>4</x:v>
      </x:c>
      <x:c r="G682" s="2" t="str">
        <x:v>observed_post_release</x:v>
      </x:c>
      <x:c r="H682" s="2" t="n">
        <x:f>IF(AND(ISNUMBER(F682),F682&gt;=D682),1,0)</x:f>
        <x:v>1</x:v>
      </x:c>
      <x:c r="I682" s="2" t="n">
        <x:f>IF(AND(ISNUMBER(F682),F682&gt;D682),1,0)</x:f>
        <x:v>0</x:v>
      </x:c>
      <x:c r="J682" s="2" t="n">
        <x:f>IF(H682=1,F682-D682,"")</x:f>
        <x:v>0</x:v>
      </x:c>
      <x:c r="K682" s="2" t="n">
        <x:f>IF(H682=1,F682-E682,"")</x:f>
        <x:v>3</x:v>
      </x:c>
      <x:c r="L682" s="2" t="n">
        <x:v>9</x:v>
      </x:c>
      <x:c r="M682" s="2" t="n">
        <x:v>4</x:v>
      </x:c>
      <x:c r="N682" s="20" t="n">
        <x:v>0.4</x:v>
      </x:c>
      <x:c r="O682" s="20" t="n">
        <x:v>0.2</x:v>
      </x:c>
      <x:c r="P682" s="20" t="n">
        <x:v>0.75</x:v>
      </x:c>
      <x:c r="Q682" s="2" t="n">
        <x:v>42</x:v>
      </x:c>
      <x:c r="R682" s="2" t="str">
        <x:v>ENFJ</x:v>
      </x:c>
      <x:c r="S682" s="2" t="str">
        <x:v>西南</x:v>
      </x:c>
      <x:c r="T682" s="2" t="str">
        <x:v>行政或办公室岗位</x:v>
      </x:c>
    </x:row>
    <x:row r="683" ht="24" customHeight="1">
      <x:c r="A683" s="2" t="str">
        <x:v>D040_T04_C020_G075</x:v>
      </x:c>
      <x:c r="B683" s="2" t="str">
        <x:v>A0012</x:v>
      </x:c>
      <x:c r="C683" s="2" t="str">
        <x:v>inside</x:v>
      </x:c>
      <x:c r="D683" s="2" t="n">
        <x:v>4</x:v>
      </x:c>
      <x:c r="E683" s="2" t="n">
        <x:v>1</x:v>
      </x:c>
      <x:c r="F683" s="2" t="n">
        <x:v>5</x:v>
      </x:c>
      <x:c r="G683" s="2" t="str">
        <x:v>observed_post_release</x:v>
      </x:c>
      <x:c r="H683" s="2" t="n">
        <x:f>IF(AND(ISNUMBER(F683),F683&gt;=D683),1,0)</x:f>
        <x:v>1</x:v>
      </x:c>
      <x:c r="I683" s="2" t="n">
        <x:f>IF(AND(ISNUMBER(F683),F683&gt;D683),1,0)</x:f>
        <x:v>1</x:v>
      </x:c>
      <x:c r="J683" s="2" t="n">
        <x:f>IF(H683=1,F683-D683,"")</x:f>
        <x:v>1</x:v>
      </x:c>
      <x:c r="K683" s="2" t="n">
        <x:f>IF(H683=1,F683-E683,"")</x:f>
        <x:v>4</x:v>
      </x:c>
      <x:c r="L683" s="2" t="n">
        <x:v>9</x:v>
      </x:c>
      <x:c r="M683" s="2" t="n">
        <x:v>5</x:v>
      </x:c>
      <x:c r="N683" s="20" t="n">
        <x:v>0.4</x:v>
      </x:c>
      <x:c r="O683" s="20" t="n">
        <x:v>0.2</x:v>
      </x:c>
      <x:c r="P683" s="20" t="n">
        <x:v>0.75</x:v>
      </x:c>
      <x:c r="Q683" s="2" t="n">
        <x:v>38</x:v>
      </x:c>
      <x:c r="R683" s="2" t="str">
        <x:v>ESFP</x:v>
      </x:c>
      <x:c r="S683" s="2" t="str">
        <x:v>华中</x:v>
      </x:c>
      <x:c r="T683" s="2" t="str">
        <x:v>行政或办公室岗位</x:v>
      </x:c>
    </x:row>
    <x:row r="684" ht="24" customHeight="1">
      <x:c r="A684" s="2" t="str">
        <x:v>D040_T04_C020_G075</x:v>
      </x:c>
      <x:c r="B684" s="2" t="str">
        <x:v>A0017</x:v>
      </x:c>
      <x:c r="C684" s="2" t="str">
        <x:v>inside</x:v>
      </x:c>
      <x:c r="D684" s="2" t="n">
        <x:v>4</x:v>
      </x:c>
      <x:c r="E684" s="2" t="n">
        <x:v>1</x:v>
      </x:c>
      <x:c r="F684" s="2" t="n">
        <x:v>6</x:v>
      </x:c>
      <x:c r="G684" s="2" t="str">
        <x:v>observed_post_release</x:v>
      </x:c>
      <x:c r="H684" s="2" t="n">
        <x:f>IF(AND(ISNUMBER(F684),F684&gt;=D684),1,0)</x:f>
        <x:v>1</x:v>
      </x:c>
      <x:c r="I684" s="2" t="n">
        <x:f>IF(AND(ISNUMBER(F684),F684&gt;D684),1,0)</x:f>
        <x:v>1</x:v>
      </x:c>
      <x:c r="J684" s="2" t="n">
        <x:f>IF(H684=1,F684-D684,"")</x:f>
        <x:v>2</x:v>
      </x:c>
      <x:c r="K684" s="2" t="n">
        <x:f>IF(H684=1,F684-E684,"")</x:f>
        <x:v>5</x:v>
      </x:c>
      <x:c r="L684" s="2" t="n">
        <x:v>9</x:v>
      </x:c>
      <x:c r="M684" s="2" t="n">
        <x:v>6</x:v>
      </x:c>
      <x:c r="N684" s="20" t="n">
        <x:v>0.4</x:v>
      </x:c>
      <x:c r="O684" s="20" t="n">
        <x:v>0.2</x:v>
      </x:c>
      <x:c r="P684" s="20" t="n">
        <x:v>0.75</x:v>
      </x:c>
      <x:c r="Q684" s="2" t="n">
        <x:v>30</x:v>
      </x:c>
      <x:c r="R684" s="2" t="str">
        <x:v>ISTJ</x:v>
      </x:c>
      <x:c r="S684" s="2" t="str">
        <x:v>华东</x:v>
      </x:c>
      <x:c r="T684" s="2" t="str">
        <x:v>商业服务岗位</x:v>
      </x:c>
    </x:row>
    <x:row r="685" ht="24" customHeight="1">
      <x:c r="A685" s="2" t="str">
        <x:v>D040_T04_C020_G075</x:v>
      </x:c>
      <x:c r="B685" s="2" t="str">
        <x:v>A0018</x:v>
      </x:c>
      <x:c r="C685" s="2" t="str">
        <x:v>inside</x:v>
      </x:c>
      <x:c r="D685" s="2" t="n">
        <x:v>4</x:v>
      </x:c>
      <x:c r="E685" s="2" t="n">
        <x:v>1</x:v>
      </x:c>
      <x:c r="F685" s="2" t="n">
        <x:v>6</x:v>
      </x:c>
      <x:c r="G685" s="2" t="str">
        <x:v>observed_post_release</x:v>
      </x:c>
      <x:c r="H685" s="2" t="n">
        <x:f>IF(AND(ISNUMBER(F685),F685&gt;=D685),1,0)</x:f>
        <x:v>1</x:v>
      </x:c>
      <x:c r="I685" s="2" t="n">
        <x:f>IF(AND(ISNUMBER(F685),F685&gt;D685),1,0)</x:f>
        <x:v>1</x:v>
      </x:c>
      <x:c r="J685" s="2" t="n">
        <x:f>IF(H685=1,F685-D685,"")</x:f>
        <x:v>2</x:v>
      </x:c>
      <x:c r="K685" s="2" t="n">
        <x:f>IF(H685=1,F685-E685,"")</x:f>
        <x:v>5</x:v>
      </x:c>
      <x:c r="L685" s="2" t="n">
        <x:v>9</x:v>
      </x:c>
      <x:c r="M685" s="2" t="n">
        <x:v>6</x:v>
      </x:c>
      <x:c r="N685" s="20" t="n">
        <x:v>0.4</x:v>
      </x:c>
      <x:c r="O685" s="20" t="n">
        <x:v>0.2</x:v>
      </x:c>
      <x:c r="P685" s="20" t="n">
        <x:v>0.75</x:v>
      </x:c>
      <x:c r="Q685" s="2" t="n">
        <x:v>60</x:v>
      </x:c>
      <x:c r="R685" s="2" t="str">
        <x:v>INTJ</x:v>
      </x:c>
      <x:c r="S685" s="2" t="str">
        <x:v>华南</x:v>
      </x:c>
      <x:c r="T685" s="2" t="str">
        <x:v>专业技术岗位</x:v>
      </x:c>
    </x:row>
    <x:row r="686" ht="24" customHeight="1">
      <x:c r="A686" s="2" t="str">
        <x:v>D040_T04_C020_G075</x:v>
      </x:c>
      <x:c r="B686" s="2" t="str">
        <x:v>A0019</x:v>
      </x:c>
      <x:c r="C686" s="2" t="str">
        <x:v>inside</x:v>
      </x:c>
      <x:c r="D686" s="2" t="n">
        <x:v>4</x:v>
      </x:c>
      <x:c r="E686" s="2" t="n">
        <x:v>1</x:v>
      </x:c>
      <x:c r="F686" s="2" t="n">
        <x:v>6</x:v>
      </x:c>
      <x:c r="G686" s="2" t="str">
        <x:v>observed_post_release</x:v>
      </x:c>
      <x:c r="H686" s="2" t="n">
        <x:f>IF(AND(ISNUMBER(F686),F686&gt;=D686),1,0)</x:f>
        <x:v>1</x:v>
      </x:c>
      <x:c r="I686" s="2" t="n">
        <x:f>IF(AND(ISNUMBER(F686),F686&gt;D686),1,0)</x:f>
        <x:v>1</x:v>
      </x:c>
      <x:c r="J686" s="2" t="n">
        <x:f>IF(H686=1,F686-D686,"")</x:f>
        <x:v>2</x:v>
      </x:c>
      <x:c r="K686" s="2" t="n">
        <x:f>IF(H686=1,F686-E686,"")</x:f>
        <x:v>5</x:v>
      </x:c>
      <x:c r="L686" s="2" t="n">
        <x:v>9</x:v>
      </x:c>
      <x:c r="M686" s="2" t="n">
        <x:v>6</x:v>
      </x:c>
      <x:c r="N686" s="20" t="n">
        <x:v>0.4</x:v>
      </x:c>
      <x:c r="O686" s="20" t="n">
        <x:v>0.2</x:v>
      </x:c>
      <x:c r="P686" s="20" t="n">
        <x:v>0.75</x:v>
      </x:c>
      <x:c r="Q686" s="2" t="n">
        <x:v>19</x:v>
      </x:c>
      <x:c r="R686" s="2" t="str">
        <x:v>INTJ</x:v>
      </x:c>
      <x:c r="S686" s="2" t="str">
        <x:v>西南</x:v>
      </x:c>
      <x:c r="T686" s="2" t="str">
        <x:v>行政或办公室岗位</x:v>
      </x:c>
    </x:row>
    <x:row r="687" ht="24" customHeight="1">
      <x:c r="A687" s="2" t="str">
        <x:v>D040_T04_C020_G075</x:v>
      </x:c>
      <x:c r="B687" s="2" t="str">
        <x:v>A0024</x:v>
      </x:c>
      <x:c r="C687" s="2" t="str">
        <x:v>inside</x:v>
      </x:c>
      <x:c r="D687" s="2" t="n">
        <x:v>4</x:v>
      </x:c>
      <x:c r="E687" s="2" t="n">
        <x:v>1</x:v>
      </x:c>
      <x:c r="F687" s="2" t="n">
        <x:v>7</x:v>
      </x:c>
      <x:c r="G687" s="2" t="str">
        <x:v>observed_post_release</x:v>
      </x:c>
      <x:c r="H687" s="2" t="n">
        <x:f>IF(AND(ISNUMBER(F687),F687&gt;=D687),1,0)</x:f>
        <x:v>1</x:v>
      </x:c>
      <x:c r="I687" s="2" t="n">
        <x:f>IF(AND(ISNUMBER(F687),F687&gt;D687),1,0)</x:f>
        <x:v>1</x:v>
      </x:c>
      <x:c r="J687" s="2" t="n">
        <x:f>IF(H687=1,F687-D687,"")</x:f>
        <x:v>3</x:v>
      </x:c>
      <x:c r="K687" s="2" t="n">
        <x:f>IF(H687=1,F687-E687,"")</x:f>
        <x:v>6</x:v>
      </x:c>
      <x:c r="L687" s="2" t="n">
        <x:v>9</x:v>
      </x:c>
      <x:c r="M687" s="2" t="n">
        <x:v>7</x:v>
      </x:c>
      <x:c r="N687" s="20" t="n">
        <x:v>0.4</x:v>
      </x:c>
      <x:c r="O687" s="20" t="n">
        <x:v>0.2</x:v>
      </x:c>
      <x:c r="P687" s="20" t="n">
        <x:v>0.75</x:v>
      </x:c>
      <x:c r="Q687" s="2" t="n">
        <x:v>31</x:v>
      </x:c>
      <x:c r="R687" s="2" t="str">
        <x:v>ESTP</x:v>
      </x:c>
      <x:c r="S687" s="2" t="str">
        <x:v>华北</x:v>
      </x:c>
      <x:c r="T687" s="2" t="str">
        <x:v>商业服务岗位</x:v>
      </x:c>
    </x:row>
    <x:row r="688" ht="24" customHeight="1">
      <x:c r="A688" s="2" t="str">
        <x:v>D040_T04_C020_G075</x:v>
      </x:c>
      <x:c r="B688" s="2" t="str">
        <x:v>A0025</x:v>
      </x:c>
      <x:c r="C688" s="2" t="str">
        <x:v>inside</x:v>
      </x:c>
      <x:c r="D688" s="2" t="n">
        <x:v>4</x:v>
      </x:c>
      <x:c r="E688" s="2" t="n">
        <x:v>1</x:v>
      </x:c>
      <x:c r="F688" s="2" t="n">
        <x:v>6</x:v>
      </x:c>
      <x:c r="G688" s="2" t="str">
        <x:v>observed_post_release</x:v>
      </x:c>
      <x:c r="H688" s="2" t="n">
        <x:f>IF(AND(ISNUMBER(F688),F688&gt;=D688),1,0)</x:f>
        <x:v>1</x:v>
      </x:c>
      <x:c r="I688" s="2" t="n">
        <x:f>IF(AND(ISNUMBER(F688),F688&gt;D688),1,0)</x:f>
        <x:v>1</x:v>
      </x:c>
      <x:c r="J688" s="2" t="n">
        <x:f>IF(H688=1,F688-D688,"")</x:f>
        <x:v>2</x:v>
      </x:c>
      <x:c r="K688" s="2" t="n">
        <x:f>IF(H688=1,F688-E688,"")</x:f>
        <x:v>5</x:v>
      </x:c>
      <x:c r="L688" s="2" t="n">
        <x:v>9</x:v>
      </x:c>
      <x:c r="M688" s="2" t="n">
        <x:v>4</x:v>
      </x:c>
      <x:c r="N688" s="20" t="n">
        <x:v>0.4</x:v>
      </x:c>
      <x:c r="O688" s="20" t="n">
        <x:v>0.2</x:v>
      </x:c>
      <x:c r="P688" s="20" t="n">
        <x:v>0.75</x:v>
      </x:c>
      <x:c r="Q688" s="2" t="n">
        <x:v>23</x:v>
      </x:c>
      <x:c r="R688" s="2" t="str">
        <x:v>ISTP</x:v>
      </x:c>
      <x:c r="S688" s="2" t="str">
        <x:v>华南</x:v>
      </x:c>
      <x:c r="T688" s="2" t="str">
        <x:v>行政或办公室岗位</x:v>
      </x:c>
    </x:row>
    <x:row r="689" ht="24" customHeight="1">
      <x:c r="A689" s="2" t="str">
        <x:v>D040_T04_C020_G075</x:v>
      </x:c>
      <x:c r="B689" s="2" t="str">
        <x:v>A0026</x:v>
      </x:c>
      <x:c r="C689" s="2" t="str">
        <x:v>inside</x:v>
      </x:c>
      <x:c r="D689" s="2" t="n">
        <x:v>4</x:v>
      </x:c>
      <x:c r="E689" s="2" t="n">
        <x:v>1</x:v>
      </x:c>
      <x:c r="F689" s="2" t="n">
        <x:v>4</x:v>
      </x:c>
      <x:c r="G689" s="2" t="str">
        <x:v>observed_post_release</x:v>
      </x:c>
      <x:c r="H689" s="2" t="n">
        <x:f>IF(AND(ISNUMBER(F689),F689&gt;=D689),1,0)</x:f>
        <x:v>1</x:v>
      </x:c>
      <x:c r="I689" s="2" t="n">
        <x:f>IF(AND(ISNUMBER(F689),F689&gt;D689),1,0)</x:f>
        <x:v>0</x:v>
      </x:c>
      <x:c r="J689" s="2" t="n">
        <x:f>IF(H689=1,F689-D689,"")</x:f>
        <x:v>0</x:v>
      </x:c>
      <x:c r="K689" s="2" t="n">
        <x:f>IF(H689=1,F689-E689,"")</x:f>
        <x:v>3</x:v>
      </x:c>
      <x:c r="L689" s="2" t="n">
        <x:v>9</x:v>
      </x:c>
      <x:c r="M689" s="2" t="n">
        <x:v>4</x:v>
      </x:c>
      <x:c r="N689" s="20" t="n">
        <x:v>0.4</x:v>
      </x:c>
      <x:c r="O689" s="20" t="n">
        <x:v>0.2</x:v>
      </x:c>
      <x:c r="P689" s="20" t="n">
        <x:v>0.75</x:v>
      </x:c>
      <x:c r="Q689" s="2" t="n">
        <x:v>36</x:v>
      </x:c>
      <x:c r="R689" s="2" t="str">
        <x:v>ISFP</x:v>
      </x:c>
      <x:c r="S689" s="2" t="str">
        <x:v>西北</x:v>
      </x:c>
      <x:c r="T689" s="2" t="str">
        <x:v>个体经营或自由职业</x:v>
      </x:c>
    </x:row>
    <x:row r="690" ht="24" customHeight="1">
      <x:c r="A690" s="2" t="str">
        <x:v>D040_T04_C020_G075</x:v>
      </x:c>
      <x:c r="B690" s="2" t="str">
        <x:v>A0027</x:v>
      </x:c>
      <x:c r="C690" s="2" t="str">
        <x:v>inside</x:v>
      </x:c>
      <x:c r="D690" s="2" t="n">
        <x:v>4</x:v>
      </x:c>
      <x:c r="E690" s="2" t="n">
        <x:v>1</x:v>
      </x:c>
      <x:c r="F690" s="2" t="n">
        <x:v>5</x:v>
      </x:c>
      <x:c r="G690" s="2" t="str">
        <x:v>observed_post_release</x:v>
      </x:c>
      <x:c r="H690" s="2" t="n">
        <x:f>IF(AND(ISNUMBER(F690),F690&gt;=D690),1,0)</x:f>
        <x:v>1</x:v>
      </x:c>
      <x:c r="I690" s="2" t="n">
        <x:f>IF(AND(ISNUMBER(F690),F690&gt;D690),1,0)</x:f>
        <x:v>1</x:v>
      </x:c>
      <x:c r="J690" s="2" t="n">
        <x:f>IF(H690=1,F690-D690,"")</x:f>
        <x:v>1</x:v>
      </x:c>
      <x:c r="K690" s="2" t="n">
        <x:f>IF(H690=1,F690-E690,"")</x:f>
        <x:v>4</x:v>
      </x:c>
      <x:c r="L690" s="2" t="n">
        <x:v>9</x:v>
      </x:c>
      <x:c r="M690" s="2" t="n">
        <x:v>5</x:v>
      </x:c>
      <x:c r="N690" s="20" t="n">
        <x:v>0.4</x:v>
      </x:c>
      <x:c r="O690" s="20" t="n">
        <x:v>0.2</x:v>
      </x:c>
      <x:c r="P690" s="20" t="n">
        <x:v>0.75</x:v>
      </x:c>
      <x:c r="Q690" s="2" t="n">
        <x:v>25</x:v>
      </x:c>
      <x:c r="R690" s="2" t="str">
        <x:v>ESFP</x:v>
      </x:c>
      <x:c r="S690" s="2" t="str">
        <x:v>西北</x:v>
      </x:c>
      <x:c r="T690" s="2" t="str">
        <x:v>暂未就业或家庭照料</x:v>
      </x:c>
    </x:row>
    <x:row r="691" ht="24" customHeight="1">
      <x:c r="A691" s="2" t="str">
        <x:v>D040_T04_C020_G075</x:v>
      </x:c>
      <x:c r="B691" s="2" t="str">
        <x:v>A0028</x:v>
      </x:c>
      <x:c r="C691" s="2" t="str">
        <x:v>inside</x:v>
      </x:c>
      <x:c r="D691" s="2" t="n">
        <x:v>4</x:v>
      </x:c>
      <x:c r="E691" s="2" t="n">
        <x:v>1</x:v>
      </x:c>
      <x:c r="F691" s="2" t="n">
        <x:v>6</x:v>
      </x:c>
      <x:c r="G691" s="2" t="str">
        <x:v>observed_post_release</x:v>
      </x:c>
      <x:c r="H691" s="2" t="n">
        <x:f>IF(AND(ISNUMBER(F691),F691&gt;=D691),1,0)</x:f>
        <x:v>1</x:v>
      </x:c>
      <x:c r="I691" s="2" t="n">
        <x:f>IF(AND(ISNUMBER(F691),F691&gt;D691),1,0)</x:f>
        <x:v>1</x:v>
      </x:c>
      <x:c r="J691" s="2" t="n">
        <x:f>IF(H691=1,F691-D691,"")</x:f>
        <x:v>2</x:v>
      </x:c>
      <x:c r="K691" s="2" t="n">
        <x:f>IF(H691=1,F691-E691,"")</x:f>
        <x:v>5</x:v>
      </x:c>
      <x:c r="L691" s="2" t="n">
        <x:v>9</x:v>
      </x:c>
      <x:c r="M691" s="2" t="n">
        <x:v>6</x:v>
      </x:c>
      <x:c r="N691" s="20" t="n">
        <x:v>0.4</x:v>
      </x:c>
      <x:c r="O691" s="20" t="n">
        <x:v>0.2</x:v>
      </x:c>
      <x:c r="P691" s="20" t="n">
        <x:v>0.75</x:v>
      </x:c>
      <x:c r="Q691" s="2" t="n">
        <x:v>40</x:v>
      </x:c>
      <x:c r="R691" s="2" t="str">
        <x:v>ESTP</x:v>
      </x:c>
      <x:c r="S691" s="2" t="str">
        <x:v>华东</x:v>
      </x:c>
      <x:c r="T691" s="2" t="str">
        <x:v>行政或办公室岗位</x:v>
      </x:c>
    </x:row>
    <x:row r="692" ht="24" customHeight="1">
      <x:c r="A692" s="2" t="str">
        <x:v>D040_T04_C020_G075</x:v>
      </x:c>
      <x:c r="B692" s="2" t="str">
        <x:v>A0030</x:v>
      </x:c>
      <x:c r="C692" s="2" t="str">
        <x:v>inside</x:v>
      </x:c>
      <x:c r="D692" s="2" t="n">
        <x:v>4</x:v>
      </x:c>
      <x:c r="E692" s="2" t="n">
        <x:v>1</x:v>
      </x:c>
      <x:c r="F692" s="2"/>
      <x:c r="G692" s="2" t="str">
        <x:v>right_censored</x:v>
      </x:c>
      <x:c r="H692" s="2" t="n">
        <x:f>IF(AND(ISNUMBER(F692),F692&gt;=D692),1,0)</x:f>
        <x:v>0</x:v>
      </x:c>
      <x:c r="I692" s="2" t="n">
        <x:f>IF(AND(ISNUMBER(F692),F692&gt;D692),1,0)</x:f>
        <x:v>0</x:v>
      </x:c>
      <x:c r="J692" s="2" t="str">
        <x:f>IF(H692=1,F692-D692,"")</x:f>
      </x:c>
      <x:c r="K692" s="2" t="str">
        <x:f>IF(H692=1,F692-E692,"")</x:f>
      </x:c>
      <x:c r="L692" s="2" t="n">
        <x:v>9</x:v>
      </x:c>
      <x:c r="M692" s="2"/>
      <x:c r="N692" s="20" t="n">
        <x:v>0.4</x:v>
      </x:c>
      <x:c r="O692" s="20" t="n">
        <x:v>0.2</x:v>
      </x:c>
      <x:c r="P692" s="20" t="n">
        <x:v>0.75</x:v>
      </x:c>
      <x:c r="Q692" s="2" t="n">
        <x:v>23</x:v>
      </x:c>
      <x:c r="R692" s="2" t="str">
        <x:v>ISFP</x:v>
      </x:c>
      <x:c r="S692" s="2" t="str">
        <x:v>华东</x:v>
      </x:c>
      <x:c r="T692" s="2" t="str">
        <x:v>在校学生</x:v>
      </x:c>
    </x:row>
    <x:row r="693" ht="24" customHeight="1">
      <x:c r="A693" s="2" t="str">
        <x:v>D040_T04_C020_G075</x:v>
      </x:c>
      <x:c r="B693" s="2" t="str">
        <x:v>A0032</x:v>
      </x:c>
      <x:c r="C693" s="2" t="str">
        <x:v>inside</x:v>
      </x:c>
      <x:c r="D693" s="2" t="n">
        <x:v>4</x:v>
      </x:c>
      <x:c r="E693" s="2" t="n">
        <x:v>1</x:v>
      </x:c>
      <x:c r="F693" s="2" t="n">
        <x:v>5</x:v>
      </x:c>
      <x:c r="G693" s="2" t="str">
        <x:v>observed_post_release</x:v>
      </x:c>
      <x:c r="H693" s="2" t="n">
        <x:f>IF(AND(ISNUMBER(F693),F693&gt;=D693),1,0)</x:f>
        <x:v>1</x:v>
      </x:c>
      <x:c r="I693" s="2" t="n">
        <x:f>IF(AND(ISNUMBER(F693),F693&gt;D693),1,0)</x:f>
        <x:v>1</x:v>
      </x:c>
      <x:c r="J693" s="2" t="n">
        <x:f>IF(H693=1,F693-D693,"")</x:f>
        <x:v>1</x:v>
      </x:c>
      <x:c r="K693" s="2" t="n">
        <x:f>IF(H693=1,F693-E693,"")</x:f>
        <x:v>4</x:v>
      </x:c>
      <x:c r="L693" s="2" t="n">
        <x:v>9</x:v>
      </x:c>
      <x:c r="M693" s="2" t="n">
        <x:v>4</x:v>
      </x:c>
      <x:c r="N693" s="20" t="n">
        <x:v>0.4</x:v>
      </x:c>
      <x:c r="O693" s="20" t="n">
        <x:v>0.2</x:v>
      </x:c>
      <x:c r="P693" s="20" t="n">
        <x:v>0.75</x:v>
      </x:c>
      <x:c r="Q693" s="2" t="n">
        <x:v>53</x:v>
      </x:c>
      <x:c r="R693" s="2" t="str">
        <x:v>INTP</x:v>
      </x:c>
      <x:c r="S693" s="2" t="str">
        <x:v>华北</x:v>
      </x:c>
      <x:c r="T693" s="2" t="str">
        <x:v>个体经营或自由职业</x:v>
      </x:c>
    </x:row>
    <x:row r="694" ht="24" customHeight="1">
      <x:c r="A694" s="2" t="str">
        <x:v>D040_T04_C020_G075</x:v>
      </x:c>
      <x:c r="B694" s="2" t="str">
        <x:v>A0033</x:v>
      </x:c>
      <x:c r="C694" s="2" t="str">
        <x:v>inside</x:v>
      </x:c>
      <x:c r="D694" s="2" t="n">
        <x:v>4</x:v>
      </x:c>
      <x:c r="E694" s="2" t="n">
        <x:v>1</x:v>
      </x:c>
      <x:c r="F694" s="2" t="n">
        <x:v>5</x:v>
      </x:c>
      <x:c r="G694" s="2" t="str">
        <x:v>observed_post_release</x:v>
      </x:c>
      <x:c r="H694" s="2" t="n">
        <x:f>IF(AND(ISNUMBER(F694),F694&gt;=D694),1,0)</x:f>
        <x:v>1</x:v>
      </x:c>
      <x:c r="I694" s="2" t="n">
        <x:f>IF(AND(ISNUMBER(F694),F694&gt;D694),1,0)</x:f>
        <x:v>1</x:v>
      </x:c>
      <x:c r="J694" s="2" t="n">
        <x:f>IF(H694=1,F694-D694,"")</x:f>
        <x:v>1</x:v>
      </x:c>
      <x:c r="K694" s="2" t="n">
        <x:f>IF(H694=1,F694-E694,"")</x:f>
        <x:v>4</x:v>
      </x:c>
      <x:c r="L694" s="2" t="n">
        <x:v>9</x:v>
      </x:c>
      <x:c r="M694" s="2" t="n">
        <x:v>5</x:v>
      </x:c>
      <x:c r="N694" s="20" t="n">
        <x:v>0.4</x:v>
      </x:c>
      <x:c r="O694" s="20" t="n">
        <x:v>0.2</x:v>
      </x:c>
      <x:c r="P694" s="20" t="n">
        <x:v>0.75</x:v>
      </x:c>
      <x:c r="Q694" s="2" t="n">
        <x:v>55</x:v>
      </x:c>
      <x:c r="R694" s="2" t="str">
        <x:v>ENFP</x:v>
      </x:c>
      <x:c r="S694" s="2" t="str">
        <x:v>华南</x:v>
      </x:c>
      <x:c r="T694" s="2" t="str">
        <x:v>个体经营或自由职业</x:v>
      </x:c>
    </x:row>
    <x:row r="695" ht="24" customHeight="1">
      <x:c r="A695" s="2" t="str">
        <x:v>D040_T04_C020_G075</x:v>
      </x:c>
      <x:c r="B695" s="2" t="str">
        <x:v>A0035</x:v>
      </x:c>
      <x:c r="C695" s="2" t="str">
        <x:v>inside</x:v>
      </x:c>
      <x:c r="D695" s="2" t="n">
        <x:v>4</x:v>
      </x:c>
      <x:c r="E695" s="2" t="n">
        <x:v>1</x:v>
      </x:c>
      <x:c r="F695" s="2" t="n">
        <x:v>7</x:v>
      </x:c>
      <x:c r="G695" s="2" t="str">
        <x:v>observed_post_release</x:v>
      </x:c>
      <x:c r="H695" s="2" t="n">
        <x:f>IF(AND(ISNUMBER(F695),F695&gt;=D695),1,0)</x:f>
        <x:v>1</x:v>
      </x:c>
      <x:c r="I695" s="2" t="n">
        <x:f>IF(AND(ISNUMBER(F695),F695&gt;D695),1,0)</x:f>
        <x:v>1</x:v>
      </x:c>
      <x:c r="J695" s="2" t="n">
        <x:f>IF(H695=1,F695-D695,"")</x:f>
        <x:v>3</x:v>
      </x:c>
      <x:c r="K695" s="2" t="n">
        <x:f>IF(H695=1,F695-E695,"")</x:f>
        <x:v>6</x:v>
      </x:c>
      <x:c r="L695" s="2" t="n">
        <x:v>9</x:v>
      </x:c>
      <x:c r="M695" s="2" t="n">
        <x:v>6</x:v>
      </x:c>
      <x:c r="N695" s="20" t="n">
        <x:v>0.4</x:v>
      </x:c>
      <x:c r="O695" s="20" t="n">
        <x:v>0.2</x:v>
      </x:c>
      <x:c r="P695" s="20" t="n">
        <x:v>0.75</x:v>
      </x:c>
      <x:c r="Q695" s="2" t="n">
        <x:v>42</x:v>
      </x:c>
      <x:c r="R695" s="2" t="str">
        <x:v>ISFJ</x:v>
      </x:c>
      <x:c r="S695" s="2" t="str">
        <x:v>华南</x:v>
      </x:c>
      <x:c r="T695" s="2" t="str">
        <x:v>专业技术岗位</x:v>
      </x:c>
    </x:row>
    <x:row r="696" ht="24" customHeight="1">
      <x:c r="A696" s="2" t="str">
        <x:v>D040_T04_C020_G075</x:v>
      </x:c>
      <x:c r="B696" s="2" t="str">
        <x:v>A0036</x:v>
      </x:c>
      <x:c r="C696" s="2" t="str">
        <x:v>inside</x:v>
      </x:c>
      <x:c r="D696" s="2" t="n">
        <x:v>4</x:v>
      </x:c>
      <x:c r="E696" s="2" t="n">
        <x:v>1</x:v>
      </x:c>
      <x:c r="F696" s="2" t="n">
        <x:v>9</x:v>
      </x:c>
      <x:c r="G696" s="2" t="str">
        <x:v>observed_post_release</x:v>
      </x:c>
      <x:c r="H696" s="2" t="n">
        <x:f>IF(AND(ISNUMBER(F696),F696&gt;=D696),1,0)</x:f>
        <x:v>1</x:v>
      </x:c>
      <x:c r="I696" s="2" t="n">
        <x:f>IF(AND(ISNUMBER(F696),F696&gt;D696),1,0)</x:f>
        <x:v>1</x:v>
      </x:c>
      <x:c r="J696" s="2" t="n">
        <x:f>IF(H696=1,F696-D696,"")</x:f>
        <x:v>5</x:v>
      </x:c>
      <x:c r="K696" s="2" t="n">
        <x:f>IF(H696=1,F696-E696,"")</x:f>
        <x:v>8</x:v>
      </x:c>
      <x:c r="L696" s="2" t="n">
        <x:v>9</x:v>
      </x:c>
      <x:c r="M696" s="2" t="n">
        <x:v>8</x:v>
      </x:c>
      <x:c r="N696" s="20" t="n">
        <x:v>0.4</x:v>
      </x:c>
      <x:c r="O696" s="20" t="n">
        <x:v>0.2</x:v>
      </x:c>
      <x:c r="P696" s="20" t="n">
        <x:v>0.75</x:v>
      </x:c>
      <x:c r="Q696" s="2" t="n">
        <x:v>43</x:v>
      </x:c>
      <x:c r="R696" s="2" t="str">
        <x:v>ISFJ</x:v>
      </x:c>
      <x:c r="S696" s="2" t="str">
        <x:v>华东</x:v>
      </x:c>
      <x:c r="T696" s="2" t="str">
        <x:v>生产运输或体力岗位</x:v>
      </x:c>
    </x:row>
    <x:row r="697" ht="24" customHeight="1">
      <x:c r="A697" s="2" t="str">
        <x:v>D040_T04_C020_G075</x:v>
      </x:c>
      <x:c r="B697" s="2" t="str">
        <x:v>A0037</x:v>
      </x:c>
      <x:c r="C697" s="2" t="str">
        <x:v>inside</x:v>
      </x:c>
      <x:c r="D697" s="2" t="n">
        <x:v>4</x:v>
      </x:c>
      <x:c r="E697" s="2" t="n">
        <x:v>1</x:v>
      </x:c>
      <x:c r="F697" s="2" t="n">
        <x:v>6</x:v>
      </x:c>
      <x:c r="G697" s="2" t="str">
        <x:v>observed_post_release</x:v>
      </x:c>
      <x:c r="H697" s="2" t="n">
        <x:f>IF(AND(ISNUMBER(F697),F697&gt;=D697),1,0)</x:f>
        <x:v>1</x:v>
      </x:c>
      <x:c r="I697" s="2" t="n">
        <x:f>IF(AND(ISNUMBER(F697),F697&gt;D697),1,0)</x:f>
        <x:v>1</x:v>
      </x:c>
      <x:c r="J697" s="2" t="n">
        <x:f>IF(H697=1,F697-D697,"")</x:f>
        <x:v>2</x:v>
      </x:c>
      <x:c r="K697" s="2" t="n">
        <x:f>IF(H697=1,F697-E697,"")</x:f>
        <x:v>5</x:v>
      </x:c>
      <x:c r="L697" s="2" t="n">
        <x:v>9</x:v>
      </x:c>
      <x:c r="M697" s="2" t="n">
        <x:v>6</x:v>
      </x:c>
      <x:c r="N697" s="20" t="n">
        <x:v>0.4</x:v>
      </x:c>
      <x:c r="O697" s="20" t="n">
        <x:v>0.2</x:v>
      </x:c>
      <x:c r="P697" s="20" t="n">
        <x:v>0.75</x:v>
      </x:c>
      <x:c r="Q697" s="2" t="n">
        <x:v>24</x:v>
      </x:c>
      <x:c r="R697" s="2" t="str">
        <x:v>ENTP</x:v>
      </x:c>
      <x:c r="S697" s="2" t="str">
        <x:v>华南</x:v>
      </x:c>
      <x:c r="T697" s="2" t="str">
        <x:v>在校学生</x:v>
      </x:c>
    </x:row>
    <x:row r="698" ht="24" customHeight="1">
      <x:c r="A698" s="2" t="str">
        <x:v>D040_T04_C020_G075</x:v>
      </x:c>
      <x:c r="B698" s="2" t="str">
        <x:v>A0038</x:v>
      </x:c>
      <x:c r="C698" s="2" t="str">
        <x:v>inside</x:v>
      </x:c>
      <x:c r="D698" s="2" t="n">
        <x:v>4</x:v>
      </x:c>
      <x:c r="E698" s="2" t="n">
        <x:v>1</x:v>
      </x:c>
      <x:c r="F698" s="2" t="n">
        <x:v>5</x:v>
      </x:c>
      <x:c r="G698" s="2" t="str">
        <x:v>observed_post_release</x:v>
      </x:c>
      <x:c r="H698" s="2" t="n">
        <x:f>IF(AND(ISNUMBER(F698),F698&gt;=D698),1,0)</x:f>
        <x:v>1</x:v>
      </x:c>
      <x:c r="I698" s="2" t="n">
        <x:f>IF(AND(ISNUMBER(F698),F698&gt;D698),1,0)</x:f>
        <x:v>1</x:v>
      </x:c>
      <x:c r="J698" s="2" t="n">
        <x:f>IF(H698=1,F698-D698,"")</x:f>
        <x:v>1</x:v>
      </x:c>
      <x:c r="K698" s="2" t="n">
        <x:f>IF(H698=1,F698-E698,"")</x:f>
        <x:v>4</x:v>
      </x:c>
      <x:c r="L698" s="2" t="n">
        <x:v>9</x:v>
      </x:c>
      <x:c r="M698" s="2" t="n">
        <x:v>5</x:v>
      </x:c>
      <x:c r="N698" s="20" t="n">
        <x:v>0.4</x:v>
      </x:c>
      <x:c r="O698" s="20" t="n">
        <x:v>0.2</x:v>
      </x:c>
      <x:c r="P698" s="20" t="n">
        <x:v>0.75</x:v>
      </x:c>
      <x:c r="Q698" s="2" t="n">
        <x:v>46</x:v>
      </x:c>
      <x:c r="R698" s="2" t="str">
        <x:v>ISTP</x:v>
      </x:c>
      <x:c r="S698" s="2" t="str">
        <x:v>华东</x:v>
      </x:c>
      <x:c r="T698" s="2" t="str">
        <x:v>行政或办公室岗位</x:v>
      </x:c>
    </x:row>
    <x:row r="699" ht="24" customHeight="1">
      <x:c r="A699" s="2" t="str">
        <x:v>D040_T04_C020_G075</x:v>
      </x:c>
      <x:c r="B699" s="2" t="str">
        <x:v>A0040</x:v>
      </x:c>
      <x:c r="C699" s="2" t="str">
        <x:v>inside</x:v>
      </x:c>
      <x:c r="D699" s="2" t="n">
        <x:v>4</x:v>
      </x:c>
      <x:c r="E699" s="2" t="n">
        <x:v>1</x:v>
      </x:c>
      <x:c r="F699" s="2" t="n">
        <x:v>6</x:v>
      </x:c>
      <x:c r="G699" s="2" t="str">
        <x:v>observed_post_release</x:v>
      </x:c>
      <x:c r="H699" s="2" t="n">
        <x:f>IF(AND(ISNUMBER(F699),F699&gt;=D699),1,0)</x:f>
        <x:v>1</x:v>
      </x:c>
      <x:c r="I699" s="2" t="n">
        <x:f>IF(AND(ISNUMBER(F699),F699&gt;D699),1,0)</x:f>
        <x:v>1</x:v>
      </x:c>
      <x:c r="J699" s="2" t="n">
        <x:f>IF(H699=1,F699-D699,"")</x:f>
        <x:v>2</x:v>
      </x:c>
      <x:c r="K699" s="2" t="n">
        <x:f>IF(H699=1,F699-E699,"")</x:f>
        <x:v>5</x:v>
      </x:c>
      <x:c r="L699" s="2" t="n">
        <x:v>9</x:v>
      </x:c>
      <x:c r="M699" s="2" t="n">
        <x:v>6</x:v>
      </x:c>
      <x:c r="N699" s="20" t="n">
        <x:v>0.4</x:v>
      </x:c>
      <x:c r="O699" s="20" t="n">
        <x:v>0.2</x:v>
      </x:c>
      <x:c r="P699" s="20" t="n">
        <x:v>0.75</x:v>
      </x:c>
      <x:c r="Q699" s="2" t="n">
        <x:v>48</x:v>
      </x:c>
      <x:c r="R699" s="2" t="str">
        <x:v>INFP</x:v>
      </x:c>
      <x:c r="S699" s="2" t="str">
        <x:v>西北</x:v>
      </x:c>
      <x:c r="T699" s="2" t="str">
        <x:v>个体经营或自由职业</x:v>
      </x:c>
    </x:row>
    <x:row r="700" ht="24" customHeight="1">
      <x:c r="A700" s="2" t="str">
        <x:v>D040_T04_C020_G075</x:v>
      </x:c>
      <x:c r="B700" s="2" t="str">
        <x:v>A0041</x:v>
      </x:c>
      <x:c r="C700" s="2" t="str">
        <x:v>inside</x:v>
      </x:c>
      <x:c r="D700" s="2" t="n">
        <x:v>4</x:v>
      </x:c>
      <x:c r="E700" s="2" t="n">
        <x:v>1</x:v>
      </x:c>
      <x:c r="F700" s="2" t="n">
        <x:v>8</x:v>
      </x:c>
      <x:c r="G700" s="2" t="str">
        <x:v>observed_post_release</x:v>
      </x:c>
      <x:c r="H700" s="2" t="n">
        <x:f>IF(AND(ISNUMBER(F700),F700&gt;=D700),1,0)</x:f>
        <x:v>1</x:v>
      </x:c>
      <x:c r="I700" s="2" t="n">
        <x:f>IF(AND(ISNUMBER(F700),F700&gt;D700),1,0)</x:f>
        <x:v>1</x:v>
      </x:c>
      <x:c r="J700" s="2" t="n">
        <x:f>IF(H700=1,F700-D700,"")</x:f>
        <x:v>4</x:v>
      </x:c>
      <x:c r="K700" s="2" t="n">
        <x:f>IF(H700=1,F700-E700,"")</x:f>
        <x:v>7</x:v>
      </x:c>
      <x:c r="L700" s="2" t="n">
        <x:v>9</x:v>
      </x:c>
      <x:c r="M700" s="2" t="n">
        <x:v>8</x:v>
      </x:c>
      <x:c r="N700" s="20" t="n">
        <x:v>0.4</x:v>
      </x:c>
      <x:c r="O700" s="20" t="n">
        <x:v>0.2</x:v>
      </x:c>
      <x:c r="P700" s="20" t="n">
        <x:v>0.75</x:v>
      </x:c>
      <x:c r="Q700" s="2" t="n">
        <x:v>62</x:v>
      </x:c>
      <x:c r="R700" s="2" t="str">
        <x:v>ISFJ</x:v>
      </x:c>
      <x:c r="S700" s="2" t="str">
        <x:v>西北</x:v>
      </x:c>
      <x:c r="T700" s="2" t="str">
        <x:v>个体经营或自由职业</x:v>
      </x:c>
    </x:row>
    <x:row r="701" ht="24" customHeight="1">
      <x:c r="A701" s="2" t="str">
        <x:v>D040_T04_C020_G075</x:v>
      </x:c>
      <x:c r="B701" s="2" t="str">
        <x:v>A0071</x:v>
      </x:c>
      <x:c r="C701" s="2" t="str">
        <x:v>inside</x:v>
      </x:c>
      <x:c r="D701" s="2" t="n">
        <x:v>4</x:v>
      </x:c>
      <x:c r="E701" s="2" t="n">
        <x:v>1</x:v>
      </x:c>
      <x:c r="F701" s="2" t="n">
        <x:v>6</x:v>
      </x:c>
      <x:c r="G701" s="2" t="str">
        <x:v>observed_post_release</x:v>
      </x:c>
      <x:c r="H701" s="2" t="n">
        <x:f>IF(AND(ISNUMBER(F701),F701&gt;=D701),1,0)</x:f>
        <x:v>1</x:v>
      </x:c>
      <x:c r="I701" s="2" t="n">
        <x:f>IF(AND(ISNUMBER(F701),F701&gt;D701),1,0)</x:f>
        <x:v>1</x:v>
      </x:c>
      <x:c r="J701" s="2" t="n">
        <x:f>IF(H701=1,F701-D701,"")</x:f>
        <x:v>2</x:v>
      </x:c>
      <x:c r="K701" s="2" t="n">
        <x:f>IF(H701=1,F701-E701,"")</x:f>
        <x:v>5</x:v>
      </x:c>
      <x:c r="L701" s="2" t="n">
        <x:v>9</x:v>
      </x:c>
      <x:c r="M701" s="2" t="n">
        <x:v>6</x:v>
      </x:c>
      <x:c r="N701" s="20" t="n">
        <x:v>0.4</x:v>
      </x:c>
      <x:c r="O701" s="20" t="n">
        <x:v>0.2</x:v>
      </x:c>
      <x:c r="P701" s="20" t="n">
        <x:v>0.75</x:v>
      </x:c>
      <x:c r="Q701" s="2" t="n">
        <x:v>33</x:v>
      </x:c>
      <x:c r="R701" s="2" t="str">
        <x:v>ISTJ</x:v>
      </x:c>
      <x:c r="S701" s="2" t="str">
        <x:v>华东</x:v>
      </x:c>
      <x:c r="T701" s="2" t="str">
        <x:v>商业服务岗位</x:v>
      </x:c>
    </x:row>
    <x:row r="702" ht="24" customHeight="1">
      <x:c r="A702" s="2" t="str">
        <x:v>D040_T04_C020_G075</x:v>
      </x:c>
      <x:c r="B702" s="2" t="str">
        <x:v>A0090</x:v>
      </x:c>
      <x:c r="C702" s="2" t="str">
        <x:v>inside</x:v>
      </x:c>
      <x:c r="D702" s="2" t="n">
        <x:v>4</x:v>
      </x:c>
      <x:c r="E702" s="2" t="n">
        <x:v>1</x:v>
      </x:c>
      <x:c r="F702" s="2" t="n">
        <x:v>6</x:v>
      </x:c>
      <x:c r="G702" s="2" t="str">
        <x:v>observed_post_release</x:v>
      </x:c>
      <x:c r="H702" s="2" t="n">
        <x:f>IF(AND(ISNUMBER(F702),F702&gt;=D702),1,0)</x:f>
        <x:v>1</x:v>
      </x:c>
      <x:c r="I702" s="2" t="n">
        <x:f>IF(AND(ISNUMBER(F702),F702&gt;D702),1,0)</x:f>
        <x:v>1</x:v>
      </x:c>
      <x:c r="J702" s="2" t="n">
        <x:f>IF(H702=1,F702-D702,"")</x:f>
        <x:v>2</x:v>
      </x:c>
      <x:c r="K702" s="2" t="n">
        <x:f>IF(H702=1,F702-E702,"")</x:f>
        <x:v>5</x:v>
      </x:c>
      <x:c r="L702" s="2" t="n">
        <x:v>9</x:v>
      </x:c>
      <x:c r="M702" s="2" t="n">
        <x:v>6</x:v>
      </x:c>
      <x:c r="N702" s="20" t="n">
        <x:v>0.4</x:v>
      </x:c>
      <x:c r="O702" s="20" t="n">
        <x:v>0.2</x:v>
      </x:c>
      <x:c r="P702" s="20" t="n">
        <x:v>0.75</x:v>
      </x:c>
      <x:c r="Q702" s="2" t="n">
        <x:v>46</x:v>
      </x:c>
      <x:c r="R702" s="2" t="str">
        <x:v>ENFJ</x:v>
      </x:c>
      <x:c r="S702" s="2" t="str">
        <x:v>西北</x:v>
      </x:c>
      <x:c r="T702" s="2" t="str">
        <x:v>个体经营或自由职业</x:v>
      </x:c>
    </x:row>
    <x:row r="703" ht="24" customHeight="1">
      <x:c r="A703" s="2" t="str">
        <x:v>D040_T04_C020_G075</x:v>
      </x:c>
      <x:c r="B703" s="2" t="str">
        <x:v>A0189</x:v>
      </x:c>
      <x:c r="C703" s="2" t="str">
        <x:v>inside</x:v>
      </x:c>
      <x:c r="D703" s="2" t="n">
        <x:v>4</x:v>
      </x:c>
      <x:c r="E703" s="2" t="n">
        <x:v>1</x:v>
      </x:c>
      <x:c r="F703" s="2" t="n">
        <x:v>6</x:v>
      </x:c>
      <x:c r="G703" s="2" t="str">
        <x:v>observed_post_release</x:v>
      </x:c>
      <x:c r="H703" s="2" t="n">
        <x:f>IF(AND(ISNUMBER(F703),F703&gt;=D703),1,0)</x:f>
        <x:v>1</x:v>
      </x:c>
      <x:c r="I703" s="2" t="n">
        <x:f>IF(AND(ISNUMBER(F703),F703&gt;D703),1,0)</x:f>
        <x:v>1</x:v>
      </x:c>
      <x:c r="J703" s="2" t="n">
        <x:f>IF(H703=1,F703-D703,"")</x:f>
        <x:v>2</x:v>
      </x:c>
      <x:c r="K703" s="2" t="n">
        <x:f>IF(H703=1,F703-E703,"")</x:f>
        <x:v>5</x:v>
      </x:c>
      <x:c r="L703" s="2" t="n">
        <x:v>9</x:v>
      </x:c>
      <x:c r="M703" s="2" t="n">
        <x:v>6</x:v>
      </x:c>
      <x:c r="N703" s="20" t="n">
        <x:v>0.4</x:v>
      </x:c>
      <x:c r="O703" s="20" t="n">
        <x:v>0.2</x:v>
      </x:c>
      <x:c r="P703" s="20" t="n">
        <x:v>0.75</x:v>
      </x:c>
      <x:c r="Q703" s="2" t="n">
        <x:v>45</x:v>
      </x:c>
      <x:c r="R703" s="2" t="str">
        <x:v>ISFJ</x:v>
      </x:c>
      <x:c r="S703" s="2" t="str">
        <x:v>西北</x:v>
      </x:c>
      <x:c r="T703" s="2" t="str">
        <x:v>生产运输或体力岗位</x:v>
      </x:c>
    </x:row>
    <x:row r="704" ht="24" customHeight="1">
      <x:c r="A704" s="2" t="str">
        <x:v>D040_T04_C020_G075</x:v>
      </x:c>
      <x:c r="B704" s="2" t="str">
        <x:v>A0206</x:v>
      </x:c>
      <x:c r="C704" s="2" t="str">
        <x:v>inside</x:v>
      </x:c>
      <x:c r="D704" s="2" t="n">
        <x:v>4</x:v>
      </x:c>
      <x:c r="E704" s="2" t="n">
        <x:v>1</x:v>
      </x:c>
      <x:c r="F704" s="2" t="n">
        <x:v>5</x:v>
      </x:c>
      <x:c r="G704" s="2" t="str">
        <x:v>observed_post_release</x:v>
      </x:c>
      <x:c r="H704" s="2" t="n">
        <x:f>IF(AND(ISNUMBER(F704),F704&gt;=D704),1,0)</x:f>
        <x:v>1</x:v>
      </x:c>
      <x:c r="I704" s="2" t="n">
        <x:f>IF(AND(ISNUMBER(F704),F704&gt;D704),1,0)</x:f>
        <x:v>1</x:v>
      </x:c>
      <x:c r="J704" s="2" t="n">
        <x:f>IF(H704=1,F704-D704,"")</x:f>
        <x:v>1</x:v>
      </x:c>
      <x:c r="K704" s="2" t="n">
        <x:f>IF(H704=1,F704-E704,"")</x:f>
        <x:v>4</x:v>
      </x:c>
      <x:c r="L704" s="2" t="n">
        <x:v>9</x:v>
      </x:c>
      <x:c r="M704" s="2" t="n">
        <x:v>4</x:v>
      </x:c>
      <x:c r="N704" s="20" t="n">
        <x:v>0.4</x:v>
      </x:c>
      <x:c r="O704" s="20" t="n">
        <x:v>0.2</x:v>
      </x:c>
      <x:c r="P704" s="20" t="n">
        <x:v>0.75</x:v>
      </x:c>
      <x:c r="Q704" s="2" t="n">
        <x:v>21</x:v>
      </x:c>
      <x:c r="R704" s="2" t="str">
        <x:v>ESTP</x:v>
      </x:c>
      <x:c r="S704" s="2" t="str">
        <x:v>西北</x:v>
      </x:c>
      <x:c r="T704" s="2" t="str">
        <x:v>暂未就业或家庭照料</x:v>
      </x:c>
    </x:row>
    <x:row r="705" ht="24" customHeight="1">
      <x:c r="A705" s="2" t="str">
        <x:v>D040_T04_C080_G025</x:v>
      </x:c>
      <x:c r="B705" s="2" t="str">
        <x:v>A0005</x:v>
      </x:c>
      <x:c r="C705" s="2" t="str">
        <x:v>inside</x:v>
      </x:c>
      <x:c r="D705" s="2" t="n">
        <x:v>4</x:v>
      </x:c>
      <x:c r="E705" s="2" t="n">
        <x:v>1</x:v>
      </x:c>
      <x:c r="F705" s="2" t="n">
        <x:v>6</x:v>
      </x:c>
      <x:c r="G705" s="2" t="str">
        <x:v>observed_post_release</x:v>
      </x:c>
      <x:c r="H705" s="2" t="n">
        <x:f>IF(AND(ISNUMBER(F705),F705&gt;=D705),1,0)</x:f>
        <x:v>1</x:v>
      </x:c>
      <x:c r="I705" s="2" t="n">
        <x:f>IF(AND(ISNUMBER(F705),F705&gt;D705),1,0)</x:f>
        <x:v>1</x:v>
      </x:c>
      <x:c r="J705" s="2" t="n">
        <x:f>IF(H705=1,F705-D705,"")</x:f>
        <x:v>2</x:v>
      </x:c>
      <x:c r="K705" s="2" t="n">
        <x:f>IF(H705=1,F705-E705,"")</x:f>
        <x:v>5</x:v>
      </x:c>
      <x:c r="L705" s="2" t="n">
        <x:v>9</x:v>
      </x:c>
      <x:c r="M705" s="2" t="n">
        <x:v>4</x:v>
      </x:c>
      <x:c r="N705" s="20" t="n">
        <x:v>0.4</x:v>
      </x:c>
      <x:c r="O705" s="20" t="n">
        <x:v>0.8</x:v>
      </x:c>
      <x:c r="P705" s="20" t="n">
        <x:v>0.25</x:v>
      </x:c>
      <x:c r="Q705" s="2" t="n">
        <x:v>51</x:v>
      </x:c>
      <x:c r="R705" s="2" t="str">
        <x:v>ISTP</x:v>
      </x:c>
      <x:c r="S705" s="2" t="str">
        <x:v>华南</x:v>
      </x:c>
      <x:c r="T705" s="2" t="str">
        <x:v>生产运输或体力岗位</x:v>
      </x:c>
    </x:row>
    <x:row r="706" ht="24" customHeight="1">
      <x:c r="A706" s="2" t="str">
        <x:v>D040_T04_C080_G025</x:v>
      </x:c>
      <x:c r="B706" s="2" t="str">
        <x:v>A0008</x:v>
      </x:c>
      <x:c r="C706" s="2" t="str">
        <x:v>inside</x:v>
      </x:c>
      <x:c r="D706" s="2" t="n">
        <x:v>4</x:v>
      </x:c>
      <x:c r="E706" s="2" t="n">
        <x:v>1</x:v>
      </x:c>
      <x:c r="F706" s="2" t="n">
        <x:v>7</x:v>
      </x:c>
      <x:c r="G706" s="2" t="str">
        <x:v>observed_post_release</x:v>
      </x:c>
      <x:c r="H706" s="2" t="n">
        <x:f>IF(AND(ISNUMBER(F706),F706&gt;=D706),1,0)</x:f>
        <x:v>1</x:v>
      </x:c>
      <x:c r="I706" s="2" t="n">
        <x:f>IF(AND(ISNUMBER(F706),F706&gt;D706),1,0)</x:f>
        <x:v>1</x:v>
      </x:c>
      <x:c r="J706" s="2" t="n">
        <x:f>IF(H706=1,F706-D706,"")</x:f>
        <x:v>3</x:v>
      </x:c>
      <x:c r="K706" s="2" t="n">
        <x:f>IF(H706=1,F706-E706,"")</x:f>
        <x:v>6</x:v>
      </x:c>
      <x:c r="L706" s="2" t="n">
        <x:v>9</x:v>
      </x:c>
      <x:c r="M706" s="2" t="n">
        <x:v>4</x:v>
      </x:c>
      <x:c r="N706" s="20" t="n">
        <x:v>0.4</x:v>
      </x:c>
      <x:c r="O706" s="20" t="n">
        <x:v>0.8</x:v>
      </x:c>
      <x:c r="P706" s="20" t="n">
        <x:v>0.25</x:v>
      </x:c>
      <x:c r="Q706" s="2" t="n">
        <x:v>36</x:v>
      </x:c>
      <x:c r="R706" s="2" t="str">
        <x:v>ISFP</x:v>
      </x:c>
      <x:c r="S706" s="2" t="str">
        <x:v>华南</x:v>
      </x:c>
      <x:c r="T706" s="2" t="str">
        <x:v>生产运输或体力岗位</x:v>
      </x:c>
    </x:row>
    <x:row r="707" ht="24" customHeight="1">
      <x:c r="A707" s="2" t="str">
        <x:v>D040_T04_C080_G025</x:v>
      </x:c>
      <x:c r="B707" s="2" t="str">
        <x:v>A0011</x:v>
      </x:c>
      <x:c r="C707" s="2" t="str">
        <x:v>inside</x:v>
      </x:c>
      <x:c r="D707" s="2" t="n">
        <x:v>4</x:v>
      </x:c>
      <x:c r="E707" s="2" t="n">
        <x:v>1</x:v>
      </x:c>
      <x:c r="F707" s="2"/>
      <x:c r="G707" s="2" t="str">
        <x:v>right_censored</x:v>
      </x:c>
      <x:c r="H707" s="2" t="n">
        <x:f>IF(AND(ISNUMBER(F707),F707&gt;=D707),1,0)</x:f>
        <x:v>0</x:v>
      </x:c>
      <x:c r="I707" s="2" t="n">
        <x:f>IF(AND(ISNUMBER(F707),F707&gt;D707),1,0)</x:f>
        <x:v>0</x:v>
      </x:c>
      <x:c r="J707" s="2" t="str">
        <x:f>IF(H707=1,F707-D707,"")</x:f>
      </x:c>
      <x:c r="K707" s="2" t="str">
        <x:f>IF(H707=1,F707-E707,"")</x:f>
      </x:c>
      <x:c r="L707" s="2" t="n">
        <x:v>9</x:v>
      </x:c>
      <x:c r="M707" s="2" t="n">
        <x:v>5</x:v>
      </x:c>
      <x:c r="N707" s="20" t="n">
        <x:v>0.4</x:v>
      </x:c>
      <x:c r="O707" s="20" t="n">
        <x:v>0.8</x:v>
      </x:c>
      <x:c r="P707" s="20" t="n">
        <x:v>0.25</x:v>
      </x:c>
      <x:c r="Q707" s="2" t="n">
        <x:v>42</x:v>
      </x:c>
      <x:c r="R707" s="2" t="str">
        <x:v>ENFJ</x:v>
      </x:c>
      <x:c r="S707" s="2" t="str">
        <x:v>西南</x:v>
      </x:c>
      <x:c r="T707" s="2" t="str">
        <x:v>行政或办公室岗位</x:v>
      </x:c>
    </x:row>
    <x:row r="708" ht="24" customHeight="1">
      <x:c r="A708" s="2" t="str">
        <x:v>D040_T04_C080_G025</x:v>
      </x:c>
      <x:c r="B708" s="2" t="str">
        <x:v>A0012</x:v>
      </x:c>
      <x:c r="C708" s="2" t="str">
        <x:v>inside</x:v>
      </x:c>
      <x:c r="D708" s="2" t="n">
        <x:v>4</x:v>
      </x:c>
      <x:c r="E708" s="2" t="n">
        <x:v>1</x:v>
      </x:c>
      <x:c r="F708" s="2"/>
      <x:c r="G708" s="2" t="str">
        <x:v>right_censored</x:v>
      </x:c>
      <x:c r="H708" s="2" t="n">
        <x:f>IF(AND(ISNUMBER(F708),F708&gt;=D708),1,0)</x:f>
        <x:v>0</x:v>
      </x:c>
      <x:c r="I708" s="2" t="n">
        <x:f>IF(AND(ISNUMBER(F708),F708&gt;D708),1,0)</x:f>
        <x:v>0</x:v>
      </x:c>
      <x:c r="J708" s="2" t="str">
        <x:f>IF(H708=1,F708-D708,"")</x:f>
      </x:c>
      <x:c r="K708" s="2" t="str">
        <x:f>IF(H708=1,F708-E708,"")</x:f>
      </x:c>
      <x:c r="L708" s="2" t="n">
        <x:v>9</x:v>
      </x:c>
      <x:c r="M708" s="2" t="n">
        <x:v>4</x:v>
      </x:c>
      <x:c r="N708" s="20" t="n">
        <x:v>0.4</x:v>
      </x:c>
      <x:c r="O708" s="20" t="n">
        <x:v>0.8</x:v>
      </x:c>
      <x:c r="P708" s="20" t="n">
        <x:v>0.25</x:v>
      </x:c>
      <x:c r="Q708" s="2" t="n">
        <x:v>38</x:v>
      </x:c>
      <x:c r="R708" s="2" t="str">
        <x:v>ESFP</x:v>
      </x:c>
      <x:c r="S708" s="2" t="str">
        <x:v>华中</x:v>
      </x:c>
      <x:c r="T708" s="2" t="str">
        <x:v>行政或办公室岗位</x:v>
      </x:c>
    </x:row>
    <x:row r="709" ht="24" customHeight="1">
      <x:c r="A709" s="2" t="str">
        <x:v>D040_T04_C080_G025</x:v>
      </x:c>
      <x:c r="B709" s="2" t="str">
        <x:v>A0015</x:v>
      </x:c>
      <x:c r="C709" s="2" t="str">
        <x:v>inside</x:v>
      </x:c>
      <x:c r="D709" s="2" t="n">
        <x:v>4</x:v>
      </x:c>
      <x:c r="E709" s="2" t="n">
        <x:v>1</x:v>
      </x:c>
      <x:c r="F709" s="2"/>
      <x:c r="G709" s="2" t="str">
        <x:v>right_censored</x:v>
      </x:c>
      <x:c r="H709" s="2" t="n">
        <x:f>IF(AND(ISNUMBER(F709),F709&gt;=D709),1,0)</x:f>
        <x:v>0</x:v>
      </x:c>
      <x:c r="I709" s="2" t="n">
        <x:f>IF(AND(ISNUMBER(F709),F709&gt;D709),1,0)</x:f>
        <x:v>0</x:v>
      </x:c>
      <x:c r="J709" s="2" t="str">
        <x:f>IF(H709=1,F709-D709,"")</x:f>
      </x:c>
      <x:c r="K709" s="2" t="str">
        <x:f>IF(H709=1,F709-E709,"")</x:f>
      </x:c>
      <x:c r="L709" s="2" t="n">
        <x:v>9</x:v>
      </x:c>
      <x:c r="M709" s="2" t="n">
        <x:v>4</x:v>
      </x:c>
      <x:c r="N709" s="20" t="n">
        <x:v>0.4</x:v>
      </x:c>
      <x:c r="O709" s="20" t="n">
        <x:v>0.8</x:v>
      </x:c>
      <x:c r="P709" s="20" t="n">
        <x:v>0.25</x:v>
      </x:c>
      <x:c r="Q709" s="2" t="n">
        <x:v>29</x:v>
      </x:c>
      <x:c r="R709" s="2" t="str">
        <x:v>ESFP</x:v>
      </x:c>
      <x:c r="S709" s="2" t="str">
        <x:v>华南</x:v>
      </x:c>
      <x:c r="T709" s="2" t="str">
        <x:v>行政或办公室岗位</x:v>
      </x:c>
    </x:row>
    <x:row r="710" ht="24" customHeight="1">
      <x:c r="A710" s="2" t="str">
        <x:v>D040_T04_C080_G025</x:v>
      </x:c>
      <x:c r="B710" s="2" t="str">
        <x:v>A0016</x:v>
      </x:c>
      <x:c r="C710" s="2" t="str">
        <x:v>inside</x:v>
      </x:c>
      <x:c r="D710" s="2" t="n">
        <x:v>4</x:v>
      </x:c>
      <x:c r="E710" s="2" t="n">
        <x:v>1</x:v>
      </x:c>
      <x:c r="F710" s="2" t="n">
        <x:v>6</x:v>
      </x:c>
      <x:c r="G710" s="2" t="str">
        <x:v>observed_post_release</x:v>
      </x:c>
      <x:c r="H710" s="2" t="n">
        <x:f>IF(AND(ISNUMBER(F710),F710&gt;=D710),1,0)</x:f>
        <x:v>1</x:v>
      </x:c>
      <x:c r="I710" s="2" t="n">
        <x:f>IF(AND(ISNUMBER(F710),F710&gt;D710),1,0)</x:f>
        <x:v>1</x:v>
      </x:c>
      <x:c r="J710" s="2" t="n">
        <x:f>IF(H710=1,F710-D710,"")</x:f>
        <x:v>2</x:v>
      </x:c>
      <x:c r="K710" s="2" t="n">
        <x:f>IF(H710=1,F710-E710,"")</x:f>
        <x:v>5</x:v>
      </x:c>
      <x:c r="L710" s="2" t="n">
        <x:v>9</x:v>
      </x:c>
      <x:c r="M710" s="2" t="n">
        <x:v>4</x:v>
      </x:c>
      <x:c r="N710" s="20" t="n">
        <x:v>0.4</x:v>
      </x:c>
      <x:c r="O710" s="20" t="n">
        <x:v>0.8</x:v>
      </x:c>
      <x:c r="P710" s="20" t="n">
        <x:v>0.25</x:v>
      </x:c>
      <x:c r="Q710" s="2" t="n">
        <x:v>60</x:v>
      </x:c>
      <x:c r="R710" s="2" t="str">
        <x:v>ESFJ</x:v>
      </x:c>
      <x:c r="S710" s="2" t="str">
        <x:v>华北</x:v>
      </x:c>
      <x:c r="T710" s="2" t="str">
        <x:v>个体经营或自由职业</x:v>
      </x:c>
    </x:row>
    <x:row r="711" ht="24" customHeight="1">
      <x:c r="A711" s="2" t="str">
        <x:v>D040_T04_C080_G025</x:v>
      </x:c>
      <x:c r="B711" s="2" t="str">
        <x:v>A0017</x:v>
      </x:c>
      <x:c r="C711" s="2" t="str">
        <x:v>inside</x:v>
      </x:c>
      <x:c r="D711" s="2" t="n">
        <x:v>4</x:v>
      </x:c>
      <x:c r="E711" s="2" t="n">
        <x:v>1</x:v>
      </x:c>
      <x:c r="F711" s="2" t="n">
        <x:v>8</x:v>
      </x:c>
      <x:c r="G711" s="2" t="str">
        <x:v>observed_post_release</x:v>
      </x:c>
      <x:c r="H711" s="2" t="n">
        <x:f>IF(AND(ISNUMBER(F711),F711&gt;=D711),1,0)</x:f>
        <x:v>1</x:v>
      </x:c>
      <x:c r="I711" s="2" t="n">
        <x:f>IF(AND(ISNUMBER(F711),F711&gt;D711),1,0)</x:f>
        <x:v>1</x:v>
      </x:c>
      <x:c r="J711" s="2" t="n">
        <x:f>IF(H711=1,F711-D711,"")</x:f>
        <x:v>4</x:v>
      </x:c>
      <x:c r="K711" s="2" t="n">
        <x:f>IF(H711=1,F711-E711,"")</x:f>
        <x:v>7</x:v>
      </x:c>
      <x:c r="L711" s="2" t="n">
        <x:v>9</x:v>
      </x:c>
      <x:c r="M711" s="2" t="n">
        <x:v>5</x:v>
      </x:c>
      <x:c r="N711" s="20" t="n">
        <x:v>0.4</x:v>
      </x:c>
      <x:c r="O711" s="20" t="n">
        <x:v>0.8</x:v>
      </x:c>
      <x:c r="P711" s="20" t="n">
        <x:v>0.25</x:v>
      </x:c>
      <x:c r="Q711" s="2" t="n">
        <x:v>30</x:v>
      </x:c>
      <x:c r="R711" s="2" t="str">
        <x:v>ISTJ</x:v>
      </x:c>
      <x:c r="S711" s="2" t="str">
        <x:v>华东</x:v>
      </x:c>
      <x:c r="T711" s="2" t="str">
        <x:v>商业服务岗位</x:v>
      </x:c>
    </x:row>
    <x:row r="712" ht="24" customHeight="1">
      <x:c r="A712" s="2" t="str">
        <x:v>D040_T04_C080_G025</x:v>
      </x:c>
      <x:c r="B712" s="2" t="str">
        <x:v>A0018</x:v>
      </x:c>
      <x:c r="C712" s="2" t="str">
        <x:v>inside</x:v>
      </x:c>
      <x:c r="D712" s="2" t="n">
        <x:v>4</x:v>
      </x:c>
      <x:c r="E712" s="2" t="n">
        <x:v>1</x:v>
      </x:c>
      <x:c r="F712" s="2"/>
      <x:c r="G712" s="2" t="str">
        <x:v>right_censored</x:v>
      </x:c>
      <x:c r="H712" s="2" t="n">
        <x:f>IF(AND(ISNUMBER(F712),F712&gt;=D712),1,0)</x:f>
        <x:v>0</x:v>
      </x:c>
      <x:c r="I712" s="2" t="n">
        <x:f>IF(AND(ISNUMBER(F712),F712&gt;D712),1,0)</x:f>
        <x:v>0</x:v>
      </x:c>
      <x:c r="J712" s="2" t="str">
        <x:f>IF(H712=1,F712-D712,"")</x:f>
      </x:c>
      <x:c r="K712" s="2" t="str">
        <x:f>IF(H712=1,F712-E712,"")</x:f>
      </x:c>
      <x:c r="L712" s="2" t="n">
        <x:v>9</x:v>
      </x:c>
      <x:c r="M712" s="2" t="n">
        <x:v>4</x:v>
      </x:c>
      <x:c r="N712" s="20" t="n">
        <x:v>0.4</x:v>
      </x:c>
      <x:c r="O712" s="20" t="n">
        <x:v>0.8</x:v>
      </x:c>
      <x:c r="P712" s="20" t="n">
        <x:v>0.25</x:v>
      </x:c>
      <x:c r="Q712" s="2" t="n">
        <x:v>60</x:v>
      </x:c>
      <x:c r="R712" s="2" t="str">
        <x:v>INTJ</x:v>
      </x:c>
      <x:c r="S712" s="2" t="str">
        <x:v>华南</x:v>
      </x:c>
      <x:c r="T712" s="2" t="str">
        <x:v>专业技术岗位</x:v>
      </x:c>
    </x:row>
    <x:row r="713" ht="24" customHeight="1">
      <x:c r="A713" s="2" t="str">
        <x:v>D040_T04_C080_G025</x:v>
      </x:c>
      <x:c r="B713" s="2" t="str">
        <x:v>A0020</x:v>
      </x:c>
      <x:c r="C713" s="2" t="str">
        <x:v>inside</x:v>
      </x:c>
      <x:c r="D713" s="2" t="n">
        <x:v>4</x:v>
      </x:c>
      <x:c r="E713" s="2" t="n">
        <x:v>1</x:v>
      </x:c>
      <x:c r="F713" s="2" t="n">
        <x:v>5</x:v>
      </x:c>
      <x:c r="G713" s="2" t="str">
        <x:v>observed_post_release</x:v>
      </x:c>
      <x:c r="H713" s="2" t="n">
        <x:f>IF(AND(ISNUMBER(F713),F713&gt;=D713),1,0)</x:f>
        <x:v>1</x:v>
      </x:c>
      <x:c r="I713" s="2" t="n">
        <x:f>IF(AND(ISNUMBER(F713),F713&gt;D713),1,0)</x:f>
        <x:v>1</x:v>
      </x:c>
      <x:c r="J713" s="2" t="n">
        <x:f>IF(H713=1,F713-D713,"")</x:f>
        <x:v>1</x:v>
      </x:c>
      <x:c r="K713" s="2" t="n">
        <x:f>IF(H713=1,F713-E713,"")</x:f>
        <x:v>4</x:v>
      </x:c>
      <x:c r="L713" s="2" t="n">
        <x:v>9</x:v>
      </x:c>
      <x:c r="M713" s="2" t="n">
        <x:v>4</x:v>
      </x:c>
      <x:c r="N713" s="20" t="n">
        <x:v>0.4</x:v>
      </x:c>
      <x:c r="O713" s="20" t="n">
        <x:v>0.8</x:v>
      </x:c>
      <x:c r="P713" s="20" t="n">
        <x:v>0.25</x:v>
      </x:c>
      <x:c r="Q713" s="2" t="n">
        <x:v>42</x:v>
      </x:c>
      <x:c r="R713" s="2" t="str">
        <x:v>ENTJ</x:v>
      </x:c>
      <x:c r="S713" s="2" t="str">
        <x:v>西南</x:v>
      </x:c>
      <x:c r="T713" s="2" t="str">
        <x:v>行政或办公室岗位</x:v>
      </x:c>
    </x:row>
    <x:row r="714" ht="24" customHeight="1">
      <x:c r="A714" s="2" t="str">
        <x:v>D040_T04_C080_G025</x:v>
      </x:c>
      <x:c r="B714" s="2" t="str">
        <x:v>A0023</x:v>
      </x:c>
      <x:c r="C714" s="2" t="str">
        <x:v>inside</x:v>
      </x:c>
      <x:c r="D714" s="2" t="n">
        <x:v>4</x:v>
      </x:c>
      <x:c r="E714" s="2" t="n">
        <x:v>1</x:v>
      </x:c>
      <x:c r="F714" s="2" t="n">
        <x:v>9</x:v>
      </x:c>
      <x:c r="G714" s="2" t="str">
        <x:v>observed_post_release</x:v>
      </x:c>
      <x:c r="H714" s="2" t="n">
        <x:f>IF(AND(ISNUMBER(F714),F714&gt;=D714),1,0)</x:f>
        <x:v>1</x:v>
      </x:c>
      <x:c r="I714" s="2" t="n">
        <x:f>IF(AND(ISNUMBER(F714),F714&gt;D714),1,0)</x:f>
        <x:v>1</x:v>
      </x:c>
      <x:c r="J714" s="2" t="n">
        <x:f>IF(H714=1,F714-D714,"")</x:f>
        <x:v>5</x:v>
      </x:c>
      <x:c r="K714" s="2" t="n">
        <x:f>IF(H714=1,F714-E714,"")</x:f>
        <x:v>8</x:v>
      </x:c>
      <x:c r="L714" s="2" t="n">
        <x:v>9</x:v>
      </x:c>
      <x:c r="M714" s="2" t="n">
        <x:v>4</x:v>
      </x:c>
      <x:c r="N714" s="20" t="n">
        <x:v>0.4</x:v>
      </x:c>
      <x:c r="O714" s="20" t="n">
        <x:v>0.8</x:v>
      </x:c>
      <x:c r="P714" s="20" t="n">
        <x:v>0.25</x:v>
      </x:c>
      <x:c r="Q714" s="2" t="n">
        <x:v>56</x:v>
      </x:c>
      <x:c r="R714" s="2" t="str">
        <x:v>INFP</x:v>
      </x:c>
      <x:c r="S714" s="2" t="str">
        <x:v>东北</x:v>
      </x:c>
      <x:c r="T714" s="2" t="str">
        <x:v>行政或办公室岗位</x:v>
      </x:c>
    </x:row>
    <x:row r="715" ht="24" customHeight="1">
      <x:c r="A715" s="2" t="str">
        <x:v>D040_T04_C080_G025</x:v>
      </x:c>
      <x:c r="B715" s="2" t="str">
        <x:v>A0024</x:v>
      </x:c>
      <x:c r="C715" s="2" t="str">
        <x:v>inside</x:v>
      </x:c>
      <x:c r="D715" s="2" t="n">
        <x:v>4</x:v>
      </x:c>
      <x:c r="E715" s="2" t="n">
        <x:v>1</x:v>
      </x:c>
      <x:c r="F715" s="2" t="n">
        <x:v>10</x:v>
      </x:c>
      <x:c r="G715" s="2" t="str">
        <x:v>observed_post_release</x:v>
      </x:c>
      <x:c r="H715" s="2" t="n">
        <x:f>IF(AND(ISNUMBER(F715),F715&gt;=D715),1,0)</x:f>
        <x:v>1</x:v>
      </x:c>
      <x:c r="I715" s="2" t="n">
        <x:f>IF(AND(ISNUMBER(F715),F715&gt;D715),1,0)</x:f>
        <x:v>1</x:v>
      </x:c>
      <x:c r="J715" s="2" t="n">
        <x:f>IF(H715=1,F715-D715,"")</x:f>
        <x:v>6</x:v>
      </x:c>
      <x:c r="K715" s="2" t="n">
        <x:f>IF(H715=1,F715-E715,"")</x:f>
        <x:v>9</x:v>
      </x:c>
      <x:c r="L715" s="2" t="n">
        <x:v>9</x:v>
      </x:c>
      <x:c r="M715" s="2" t="n">
        <x:v>4</x:v>
      </x:c>
      <x:c r="N715" s="20" t="n">
        <x:v>0.4</x:v>
      </x:c>
      <x:c r="O715" s="20" t="n">
        <x:v>0.8</x:v>
      </x:c>
      <x:c r="P715" s="20" t="n">
        <x:v>0.25</x:v>
      </x:c>
      <x:c r="Q715" s="2" t="n">
        <x:v>31</x:v>
      </x:c>
      <x:c r="R715" s="2" t="str">
        <x:v>ESTP</x:v>
      </x:c>
      <x:c r="S715" s="2" t="str">
        <x:v>华北</x:v>
      </x:c>
      <x:c r="T715" s="2" t="str">
        <x:v>商业服务岗位</x:v>
      </x:c>
    </x:row>
    <x:row r="716" ht="24" customHeight="1">
      <x:c r="A716" s="2" t="str">
        <x:v>D040_T04_C080_G025</x:v>
      </x:c>
      <x:c r="B716" s="2" t="str">
        <x:v>A0025</x:v>
      </x:c>
      <x:c r="C716" s="2" t="str">
        <x:v>inside</x:v>
      </x:c>
      <x:c r="D716" s="2" t="n">
        <x:v>4</x:v>
      </x:c>
      <x:c r="E716" s="2" t="n">
        <x:v>1</x:v>
      </x:c>
      <x:c r="F716" s="2"/>
      <x:c r="G716" s="2" t="str">
        <x:v>right_censored</x:v>
      </x:c>
      <x:c r="H716" s="2" t="n">
        <x:f>IF(AND(ISNUMBER(F716),F716&gt;=D716),1,0)</x:f>
        <x:v>0</x:v>
      </x:c>
      <x:c r="I716" s="2" t="n">
        <x:f>IF(AND(ISNUMBER(F716),F716&gt;D716),1,0)</x:f>
        <x:v>0</x:v>
      </x:c>
      <x:c r="J716" s="2" t="str">
        <x:f>IF(H716=1,F716-D716,"")</x:f>
      </x:c>
      <x:c r="K716" s="2" t="str">
        <x:f>IF(H716=1,F716-E716,"")</x:f>
      </x:c>
      <x:c r="L716" s="2" t="n">
        <x:v>9</x:v>
      </x:c>
      <x:c r="M716" s="2" t="n">
        <x:v>4</x:v>
      </x:c>
      <x:c r="N716" s="20" t="n">
        <x:v>0.4</x:v>
      </x:c>
      <x:c r="O716" s="20" t="n">
        <x:v>0.8</x:v>
      </x:c>
      <x:c r="P716" s="20" t="n">
        <x:v>0.25</x:v>
      </x:c>
      <x:c r="Q716" s="2" t="n">
        <x:v>23</x:v>
      </x:c>
      <x:c r="R716" s="2" t="str">
        <x:v>ISTP</x:v>
      </x:c>
      <x:c r="S716" s="2" t="str">
        <x:v>华南</x:v>
      </x:c>
      <x:c r="T716" s="2" t="str">
        <x:v>行政或办公室岗位</x:v>
      </x:c>
    </x:row>
    <x:row r="717" ht="24" customHeight="1">
      <x:c r="A717" s="2" t="str">
        <x:v>D040_T04_C080_G025</x:v>
      </x:c>
      <x:c r="B717" s="2" t="str">
        <x:v>A0026</x:v>
      </x:c>
      <x:c r="C717" s="2" t="str">
        <x:v>inside</x:v>
      </x:c>
      <x:c r="D717" s="2" t="n">
        <x:v>4</x:v>
      </x:c>
      <x:c r="E717" s="2" t="n">
        <x:v>1</x:v>
      </x:c>
      <x:c r="F717" s="2" t="n">
        <x:v>5</x:v>
      </x:c>
      <x:c r="G717" s="2" t="str">
        <x:v>observed_post_release</x:v>
      </x:c>
      <x:c r="H717" s="2" t="n">
        <x:f>IF(AND(ISNUMBER(F717),F717&gt;=D717),1,0)</x:f>
        <x:v>1</x:v>
      </x:c>
      <x:c r="I717" s="2" t="n">
        <x:f>IF(AND(ISNUMBER(F717),F717&gt;D717),1,0)</x:f>
        <x:v>1</x:v>
      </x:c>
      <x:c r="J717" s="2" t="n">
        <x:f>IF(H717=1,F717-D717,"")</x:f>
        <x:v>1</x:v>
      </x:c>
      <x:c r="K717" s="2" t="n">
        <x:f>IF(H717=1,F717-E717,"")</x:f>
        <x:v>4</x:v>
      </x:c>
      <x:c r="L717" s="2" t="n">
        <x:v>9</x:v>
      </x:c>
      <x:c r="M717" s="2" t="n">
        <x:v>4</x:v>
      </x:c>
      <x:c r="N717" s="20" t="n">
        <x:v>0.4</x:v>
      </x:c>
      <x:c r="O717" s="20" t="n">
        <x:v>0.8</x:v>
      </x:c>
      <x:c r="P717" s="20" t="n">
        <x:v>0.25</x:v>
      </x:c>
      <x:c r="Q717" s="2" t="n">
        <x:v>36</x:v>
      </x:c>
      <x:c r="R717" s="2" t="str">
        <x:v>ISFP</x:v>
      </x:c>
      <x:c r="S717" s="2" t="str">
        <x:v>西北</x:v>
      </x:c>
      <x:c r="T717" s="2" t="str">
        <x:v>个体经营或自由职业</x:v>
      </x:c>
    </x:row>
    <x:row r="718" ht="24" customHeight="1">
      <x:c r="A718" s="2" t="str">
        <x:v>D040_T04_C080_G025</x:v>
      </x:c>
      <x:c r="B718" s="2" t="str">
        <x:v>A0027</x:v>
      </x:c>
      <x:c r="C718" s="2" t="str">
        <x:v>inside</x:v>
      </x:c>
      <x:c r="D718" s="2" t="n">
        <x:v>4</x:v>
      </x:c>
      <x:c r="E718" s="2" t="n">
        <x:v>1</x:v>
      </x:c>
      <x:c r="F718" s="2" t="n">
        <x:v>8</x:v>
      </x:c>
      <x:c r="G718" s="2" t="str">
        <x:v>observed_post_release</x:v>
      </x:c>
      <x:c r="H718" s="2" t="n">
        <x:f>IF(AND(ISNUMBER(F718),F718&gt;=D718),1,0)</x:f>
        <x:v>1</x:v>
      </x:c>
      <x:c r="I718" s="2" t="n">
        <x:f>IF(AND(ISNUMBER(F718),F718&gt;D718),1,0)</x:f>
        <x:v>1</x:v>
      </x:c>
      <x:c r="J718" s="2" t="n">
        <x:f>IF(H718=1,F718-D718,"")</x:f>
        <x:v>4</x:v>
      </x:c>
      <x:c r="K718" s="2" t="n">
        <x:f>IF(H718=1,F718-E718,"")</x:f>
        <x:v>7</x:v>
      </x:c>
      <x:c r="L718" s="2" t="n">
        <x:v>9</x:v>
      </x:c>
      <x:c r="M718" s="2" t="n">
        <x:v>4</x:v>
      </x:c>
      <x:c r="N718" s="20" t="n">
        <x:v>0.4</x:v>
      </x:c>
      <x:c r="O718" s="20" t="n">
        <x:v>0.8</x:v>
      </x:c>
      <x:c r="P718" s="20" t="n">
        <x:v>0.25</x:v>
      </x:c>
      <x:c r="Q718" s="2" t="n">
        <x:v>25</x:v>
      </x:c>
      <x:c r="R718" s="2" t="str">
        <x:v>ESFP</x:v>
      </x:c>
      <x:c r="S718" s="2" t="str">
        <x:v>西北</x:v>
      </x:c>
      <x:c r="T718" s="2" t="str">
        <x:v>暂未就业或家庭照料</x:v>
      </x:c>
    </x:row>
    <x:row r="719" ht="24" customHeight="1">
      <x:c r="A719" s="2" t="str">
        <x:v>D040_T04_C080_G025</x:v>
      </x:c>
      <x:c r="B719" s="2" t="str">
        <x:v>A0029</x:v>
      </x:c>
      <x:c r="C719" s="2" t="str">
        <x:v>inside</x:v>
      </x:c>
      <x:c r="D719" s="2" t="n">
        <x:v>4</x:v>
      </x:c>
      <x:c r="E719" s="2" t="n">
        <x:v>1</x:v>
      </x:c>
      <x:c r="F719" s="2"/>
      <x:c r="G719" s="2" t="str">
        <x:v>right_censored</x:v>
      </x:c>
      <x:c r="H719" s="2" t="n">
        <x:f>IF(AND(ISNUMBER(F719),F719&gt;=D719),1,0)</x:f>
        <x:v>0</x:v>
      </x:c>
      <x:c r="I719" s="2" t="n">
        <x:f>IF(AND(ISNUMBER(F719),F719&gt;D719),1,0)</x:f>
        <x:v>0</x:v>
      </x:c>
      <x:c r="J719" s="2" t="str">
        <x:f>IF(H719=1,F719-D719,"")</x:f>
      </x:c>
      <x:c r="K719" s="2" t="str">
        <x:f>IF(H719=1,F719-E719,"")</x:f>
      </x:c>
      <x:c r="L719" s="2" t="n">
        <x:v>9</x:v>
      </x:c>
      <x:c r="M719" s="2" t="n">
        <x:v>4</x:v>
      </x:c>
      <x:c r="N719" s="20" t="n">
        <x:v>0.4</x:v>
      </x:c>
      <x:c r="O719" s="20" t="n">
        <x:v>0.8</x:v>
      </x:c>
      <x:c r="P719" s="20" t="n">
        <x:v>0.25</x:v>
      </x:c>
      <x:c r="Q719" s="2" t="n">
        <x:v>69</x:v>
      </x:c>
      <x:c r="R719" s="2" t="str">
        <x:v>ENTP</x:v>
      </x:c>
      <x:c r="S719" s="2" t="str">
        <x:v>华东</x:v>
      </x:c>
      <x:c r="T719" s="2" t="str">
        <x:v>退休人员</x:v>
      </x:c>
    </x:row>
    <x:row r="720" ht="24" customHeight="1">
      <x:c r="A720" s="2" t="str">
        <x:v>D040_T04_C080_G025</x:v>
      </x:c>
      <x:c r="B720" s="2" t="str">
        <x:v>A0030</x:v>
      </x:c>
      <x:c r="C720" s="2" t="str">
        <x:v>inside</x:v>
      </x:c>
      <x:c r="D720" s="2" t="n">
        <x:v>4</x:v>
      </x:c>
      <x:c r="E720" s="2" t="n">
        <x:v>1</x:v>
      </x:c>
      <x:c r="F720" s="2"/>
      <x:c r="G720" s="2" t="str">
        <x:v>right_censored</x:v>
      </x:c>
      <x:c r="H720" s="2" t="n">
        <x:f>IF(AND(ISNUMBER(F720),F720&gt;=D720),1,0)</x:f>
        <x:v>0</x:v>
      </x:c>
      <x:c r="I720" s="2" t="n">
        <x:f>IF(AND(ISNUMBER(F720),F720&gt;D720),1,0)</x:f>
        <x:v>0</x:v>
      </x:c>
      <x:c r="J720" s="2" t="str">
        <x:f>IF(H720=1,F720-D720,"")</x:f>
      </x:c>
      <x:c r="K720" s="2" t="str">
        <x:f>IF(H720=1,F720-E720,"")</x:f>
      </x:c>
      <x:c r="L720" s="2" t="n">
        <x:v>9</x:v>
      </x:c>
      <x:c r="M720" s="2" t="n">
        <x:v>4</x:v>
      </x:c>
      <x:c r="N720" s="20" t="n">
        <x:v>0.4</x:v>
      </x:c>
      <x:c r="O720" s="20" t="n">
        <x:v>0.8</x:v>
      </x:c>
      <x:c r="P720" s="20" t="n">
        <x:v>0.25</x:v>
      </x:c>
      <x:c r="Q720" s="2" t="n">
        <x:v>23</x:v>
      </x:c>
      <x:c r="R720" s="2" t="str">
        <x:v>ISFP</x:v>
      </x:c>
      <x:c r="S720" s="2" t="str">
        <x:v>华东</x:v>
      </x:c>
      <x:c r="T720" s="2" t="str">
        <x:v>在校学生</x:v>
      </x:c>
    </x:row>
    <x:row r="721" ht="24" customHeight="1">
      <x:c r="A721" s="2" t="str">
        <x:v>D040_T04_C080_G025</x:v>
      </x:c>
      <x:c r="B721" s="2" t="str">
        <x:v>A0031</x:v>
      </x:c>
      <x:c r="C721" s="2" t="str">
        <x:v>inside</x:v>
      </x:c>
      <x:c r="D721" s="2" t="n">
        <x:v>4</x:v>
      </x:c>
      <x:c r="E721" s="2" t="n">
        <x:v>1</x:v>
      </x:c>
      <x:c r="F721" s="2" t="n">
        <x:v>4</x:v>
      </x:c>
      <x:c r="G721" s="2" t="str">
        <x:v>observed_post_release</x:v>
      </x:c>
      <x:c r="H721" s="2" t="n">
        <x:f>IF(AND(ISNUMBER(F721),F721&gt;=D721),1,0)</x:f>
        <x:v>1</x:v>
      </x:c>
      <x:c r="I721" s="2" t="n">
        <x:f>IF(AND(ISNUMBER(F721),F721&gt;D721),1,0)</x:f>
        <x:v>0</x:v>
      </x:c>
      <x:c r="J721" s="2" t="n">
        <x:f>IF(H721=1,F721-D721,"")</x:f>
        <x:v>0</x:v>
      </x:c>
      <x:c r="K721" s="2" t="n">
        <x:f>IF(H721=1,F721-E721,"")</x:f>
        <x:v>3</x:v>
      </x:c>
      <x:c r="L721" s="2" t="n">
        <x:v>9</x:v>
      </x:c>
      <x:c r="M721" s="2" t="n">
        <x:v>4</x:v>
      </x:c>
      <x:c r="N721" s="20" t="n">
        <x:v>0.4</x:v>
      </x:c>
      <x:c r="O721" s="20" t="n">
        <x:v>0.8</x:v>
      </x:c>
      <x:c r="P721" s="20" t="n">
        <x:v>0.25</x:v>
      </x:c>
      <x:c r="Q721" s="2" t="n">
        <x:v>34</x:v>
      </x:c>
      <x:c r="R721" s="2" t="str">
        <x:v>ENTJ</x:v>
      </x:c>
      <x:c r="S721" s="2" t="str">
        <x:v>西南</x:v>
      </x:c>
      <x:c r="T721" s="2" t="str">
        <x:v>个体经营或自由职业</x:v>
      </x:c>
    </x:row>
    <x:row r="722" ht="24" customHeight="1">
      <x:c r="A722" s="2" t="str">
        <x:v>D040_T04_C080_G025</x:v>
      </x:c>
      <x:c r="B722" s="2" t="str">
        <x:v>A0032</x:v>
      </x:c>
      <x:c r="C722" s="2" t="str">
        <x:v>inside</x:v>
      </x:c>
      <x:c r="D722" s="2" t="n">
        <x:v>4</x:v>
      </x:c>
      <x:c r="E722" s="2" t="n">
        <x:v>1</x:v>
      </x:c>
      <x:c r="F722" s="2"/>
      <x:c r="G722" s="2" t="str">
        <x:v>right_censored</x:v>
      </x:c>
      <x:c r="H722" s="2" t="n">
        <x:f>IF(AND(ISNUMBER(F722),F722&gt;=D722),1,0)</x:f>
        <x:v>0</x:v>
      </x:c>
      <x:c r="I722" s="2" t="n">
        <x:f>IF(AND(ISNUMBER(F722),F722&gt;D722),1,0)</x:f>
        <x:v>0</x:v>
      </x:c>
      <x:c r="J722" s="2" t="str">
        <x:f>IF(H722=1,F722-D722,"")</x:f>
      </x:c>
      <x:c r="K722" s="2" t="str">
        <x:f>IF(H722=1,F722-E722,"")</x:f>
      </x:c>
      <x:c r="L722" s="2" t="n">
        <x:v>9</x:v>
      </x:c>
      <x:c r="M722" s="2" t="n">
        <x:v>4</x:v>
      </x:c>
      <x:c r="N722" s="20" t="n">
        <x:v>0.4</x:v>
      </x:c>
      <x:c r="O722" s="20" t="n">
        <x:v>0.8</x:v>
      </x:c>
      <x:c r="P722" s="20" t="n">
        <x:v>0.25</x:v>
      </x:c>
      <x:c r="Q722" s="2" t="n">
        <x:v>53</x:v>
      </x:c>
      <x:c r="R722" s="2" t="str">
        <x:v>INTP</x:v>
      </x:c>
      <x:c r="S722" s="2" t="str">
        <x:v>华北</x:v>
      </x:c>
      <x:c r="T722" s="2" t="str">
        <x:v>个体经营或自由职业</x:v>
      </x:c>
    </x:row>
    <x:row r="723" ht="24" customHeight="1">
      <x:c r="A723" s="2" t="str">
        <x:v>D040_T04_C080_G025</x:v>
      </x:c>
      <x:c r="B723" s="2" t="str">
        <x:v>A0033</x:v>
      </x:c>
      <x:c r="C723" s="2" t="str">
        <x:v>inside</x:v>
      </x:c>
      <x:c r="D723" s="2" t="n">
        <x:v>4</x:v>
      </x:c>
      <x:c r="E723" s="2" t="n">
        <x:v>1</x:v>
      </x:c>
      <x:c r="F723" s="2" t="n">
        <x:v>6</x:v>
      </x:c>
      <x:c r="G723" s="2" t="str">
        <x:v>observed_post_release</x:v>
      </x:c>
      <x:c r="H723" s="2" t="n">
        <x:f>IF(AND(ISNUMBER(F723),F723&gt;=D723),1,0)</x:f>
        <x:v>1</x:v>
      </x:c>
      <x:c r="I723" s="2" t="n">
        <x:f>IF(AND(ISNUMBER(F723),F723&gt;D723),1,0)</x:f>
        <x:v>1</x:v>
      </x:c>
      <x:c r="J723" s="2" t="n">
        <x:f>IF(H723=1,F723-D723,"")</x:f>
        <x:v>2</x:v>
      </x:c>
      <x:c r="K723" s="2" t="n">
        <x:f>IF(H723=1,F723-E723,"")</x:f>
        <x:v>5</x:v>
      </x:c>
      <x:c r="L723" s="2" t="n">
        <x:v>9</x:v>
      </x:c>
      <x:c r="M723" s="2" t="n">
        <x:v>4</x:v>
      </x:c>
      <x:c r="N723" s="20" t="n">
        <x:v>0.4</x:v>
      </x:c>
      <x:c r="O723" s="20" t="n">
        <x:v>0.8</x:v>
      </x:c>
      <x:c r="P723" s="20" t="n">
        <x:v>0.25</x:v>
      </x:c>
      <x:c r="Q723" s="2" t="n">
        <x:v>55</x:v>
      </x:c>
      <x:c r="R723" s="2" t="str">
        <x:v>ENFP</x:v>
      </x:c>
      <x:c r="S723" s="2" t="str">
        <x:v>华南</x:v>
      </x:c>
      <x:c r="T723" s="2" t="str">
        <x:v>个体经营或自由职业</x:v>
      </x:c>
    </x:row>
    <x:row r="724" ht="24" customHeight="1">
      <x:c r="A724" s="2" t="str">
        <x:v>D040_T04_C080_G025</x:v>
      </x:c>
      <x:c r="B724" s="2" t="str">
        <x:v>A0034</x:v>
      </x:c>
      <x:c r="C724" s="2" t="str">
        <x:v>inside</x:v>
      </x:c>
      <x:c r="D724" s="2" t="n">
        <x:v>4</x:v>
      </x:c>
      <x:c r="E724" s="2" t="n">
        <x:v>1</x:v>
      </x:c>
      <x:c r="F724" s="2" t="n">
        <x:v>4</x:v>
      </x:c>
      <x:c r="G724" s="2" t="str">
        <x:v>observed_post_release</x:v>
      </x:c>
      <x:c r="H724" s="2" t="n">
        <x:f>IF(AND(ISNUMBER(F724),F724&gt;=D724),1,0)</x:f>
        <x:v>1</x:v>
      </x:c>
      <x:c r="I724" s="2" t="n">
        <x:f>IF(AND(ISNUMBER(F724),F724&gt;D724),1,0)</x:f>
        <x:v>0</x:v>
      </x:c>
      <x:c r="J724" s="2" t="n">
        <x:f>IF(H724=1,F724-D724,"")</x:f>
        <x:v>0</x:v>
      </x:c>
      <x:c r="K724" s="2" t="n">
        <x:f>IF(H724=1,F724-E724,"")</x:f>
        <x:v>3</x:v>
      </x:c>
      <x:c r="L724" s="2" t="n">
        <x:v>9</x:v>
      </x:c>
      <x:c r="M724" s="2" t="n">
        <x:v>4</x:v>
      </x:c>
      <x:c r="N724" s="20" t="n">
        <x:v>0.4</x:v>
      </x:c>
      <x:c r="O724" s="20" t="n">
        <x:v>0.8</x:v>
      </x:c>
      <x:c r="P724" s="20" t="n">
        <x:v>0.25</x:v>
      </x:c>
      <x:c r="Q724" s="2" t="n">
        <x:v>36</x:v>
      </x:c>
      <x:c r="R724" s="2" t="str">
        <x:v>INTP</x:v>
      </x:c>
      <x:c r="S724" s="2" t="str">
        <x:v>华南</x:v>
      </x:c>
      <x:c r="T724" s="2" t="str">
        <x:v>专业技术岗位</x:v>
      </x:c>
    </x:row>
    <x:row r="725" ht="24" customHeight="1">
      <x:c r="A725" s="2" t="str">
        <x:v>D040_T04_C080_G025</x:v>
      </x:c>
      <x:c r="B725" s="2" t="str">
        <x:v>A0035</x:v>
      </x:c>
      <x:c r="C725" s="2" t="str">
        <x:v>inside</x:v>
      </x:c>
      <x:c r="D725" s="2" t="n">
        <x:v>4</x:v>
      </x:c>
      <x:c r="E725" s="2" t="n">
        <x:v>1</x:v>
      </x:c>
      <x:c r="F725" s="2"/>
      <x:c r="G725" s="2" t="str">
        <x:v>right_censored</x:v>
      </x:c>
      <x:c r="H725" s="2" t="n">
        <x:f>IF(AND(ISNUMBER(F725),F725&gt;=D725),1,0)</x:f>
        <x:v>0</x:v>
      </x:c>
      <x:c r="I725" s="2" t="n">
        <x:f>IF(AND(ISNUMBER(F725),F725&gt;D725),1,0)</x:f>
        <x:v>0</x:v>
      </x:c>
      <x:c r="J725" s="2" t="str">
        <x:f>IF(H725=1,F725-D725,"")</x:f>
      </x:c>
      <x:c r="K725" s="2" t="str">
        <x:f>IF(H725=1,F725-E725,"")</x:f>
      </x:c>
      <x:c r="L725" s="2" t="n">
        <x:v>9</x:v>
      </x:c>
      <x:c r="M725" s="2" t="n">
        <x:v>4</x:v>
      </x:c>
      <x:c r="N725" s="20" t="n">
        <x:v>0.4</x:v>
      </x:c>
      <x:c r="O725" s="20" t="n">
        <x:v>0.8</x:v>
      </x:c>
      <x:c r="P725" s="20" t="n">
        <x:v>0.25</x:v>
      </x:c>
      <x:c r="Q725" s="2" t="n">
        <x:v>42</x:v>
      </x:c>
      <x:c r="R725" s="2" t="str">
        <x:v>ISFJ</x:v>
      </x:c>
      <x:c r="S725" s="2" t="str">
        <x:v>华南</x:v>
      </x:c>
      <x:c r="T725" s="2" t="str">
        <x:v>专业技术岗位</x:v>
      </x:c>
    </x:row>
    <x:row r="726" ht="24" customHeight="1">
      <x:c r="A726" s="2" t="str">
        <x:v>D040_T04_C080_G025</x:v>
      </x:c>
      <x:c r="B726" s="2" t="str">
        <x:v>A0036</x:v>
      </x:c>
      <x:c r="C726" s="2" t="str">
        <x:v>inside</x:v>
      </x:c>
      <x:c r="D726" s="2" t="n">
        <x:v>4</x:v>
      </x:c>
      <x:c r="E726" s="2" t="n">
        <x:v>1</x:v>
      </x:c>
      <x:c r="F726" s="2" t="n">
        <x:v>6</x:v>
      </x:c>
      <x:c r="G726" s="2" t="str">
        <x:v>observed_post_release</x:v>
      </x:c>
      <x:c r="H726" s="2" t="n">
        <x:f>IF(AND(ISNUMBER(F726),F726&gt;=D726),1,0)</x:f>
        <x:v>1</x:v>
      </x:c>
      <x:c r="I726" s="2" t="n">
        <x:f>IF(AND(ISNUMBER(F726),F726&gt;D726),1,0)</x:f>
        <x:v>1</x:v>
      </x:c>
      <x:c r="J726" s="2" t="n">
        <x:f>IF(H726=1,F726-D726,"")</x:f>
        <x:v>2</x:v>
      </x:c>
      <x:c r="K726" s="2" t="n">
        <x:f>IF(H726=1,F726-E726,"")</x:f>
        <x:v>5</x:v>
      </x:c>
      <x:c r="L726" s="2" t="n">
        <x:v>9</x:v>
      </x:c>
      <x:c r="M726" s="2" t="n">
        <x:v>4</x:v>
      </x:c>
      <x:c r="N726" s="20" t="n">
        <x:v>0.4</x:v>
      </x:c>
      <x:c r="O726" s="20" t="n">
        <x:v>0.8</x:v>
      </x:c>
      <x:c r="P726" s="20" t="n">
        <x:v>0.25</x:v>
      </x:c>
      <x:c r="Q726" s="2" t="n">
        <x:v>43</x:v>
      </x:c>
      <x:c r="R726" s="2" t="str">
        <x:v>ISFJ</x:v>
      </x:c>
      <x:c r="S726" s="2" t="str">
        <x:v>华东</x:v>
      </x:c>
      <x:c r="T726" s="2" t="str">
        <x:v>生产运输或体力岗位</x:v>
      </x:c>
    </x:row>
    <x:row r="727" ht="24" customHeight="1">
      <x:c r="A727" s="2" t="str">
        <x:v>D040_T04_C080_G025</x:v>
      </x:c>
      <x:c r="B727" s="2" t="str">
        <x:v>A0037</x:v>
      </x:c>
      <x:c r="C727" s="2" t="str">
        <x:v>inside</x:v>
      </x:c>
      <x:c r="D727" s="2" t="n">
        <x:v>4</x:v>
      </x:c>
      <x:c r="E727" s="2" t="n">
        <x:v>1</x:v>
      </x:c>
      <x:c r="F727" s="2" t="n">
        <x:v>9</x:v>
      </x:c>
      <x:c r="G727" s="2" t="str">
        <x:v>observed_post_release</x:v>
      </x:c>
      <x:c r="H727" s="2" t="n">
        <x:f>IF(AND(ISNUMBER(F727),F727&gt;=D727),1,0)</x:f>
        <x:v>1</x:v>
      </x:c>
      <x:c r="I727" s="2" t="n">
        <x:f>IF(AND(ISNUMBER(F727),F727&gt;D727),1,0)</x:f>
        <x:v>1</x:v>
      </x:c>
      <x:c r="J727" s="2" t="n">
        <x:f>IF(H727=1,F727-D727,"")</x:f>
        <x:v>5</x:v>
      </x:c>
      <x:c r="K727" s="2" t="n">
        <x:f>IF(H727=1,F727-E727,"")</x:f>
        <x:v>8</x:v>
      </x:c>
      <x:c r="L727" s="2" t="n">
        <x:v>9</x:v>
      </x:c>
      <x:c r="M727" s="2" t="n">
        <x:v>4</x:v>
      </x:c>
      <x:c r="N727" s="20" t="n">
        <x:v>0.4</x:v>
      </x:c>
      <x:c r="O727" s="20" t="n">
        <x:v>0.8</x:v>
      </x:c>
      <x:c r="P727" s="20" t="n">
        <x:v>0.25</x:v>
      </x:c>
      <x:c r="Q727" s="2" t="n">
        <x:v>24</x:v>
      </x:c>
      <x:c r="R727" s="2" t="str">
        <x:v>ENTP</x:v>
      </x:c>
      <x:c r="S727" s="2" t="str">
        <x:v>华南</x:v>
      </x:c>
      <x:c r="T727" s="2" t="str">
        <x:v>在校学生</x:v>
      </x:c>
    </x:row>
    <x:row r="728" ht="24" customHeight="1">
      <x:c r="A728" s="2" t="str">
        <x:v>D040_T04_C080_G025</x:v>
      </x:c>
      <x:c r="B728" s="2" t="str">
        <x:v>A0038</x:v>
      </x:c>
      <x:c r="C728" s="2" t="str">
        <x:v>inside</x:v>
      </x:c>
      <x:c r="D728" s="2" t="n">
        <x:v>4</x:v>
      </x:c>
      <x:c r="E728" s="2" t="n">
        <x:v>1</x:v>
      </x:c>
      <x:c r="F728" s="2" t="n">
        <x:v>10</x:v>
      </x:c>
      <x:c r="G728" s="2" t="str">
        <x:v>observed_post_release</x:v>
      </x:c>
      <x:c r="H728" s="2" t="n">
        <x:f>IF(AND(ISNUMBER(F728),F728&gt;=D728),1,0)</x:f>
        <x:v>1</x:v>
      </x:c>
      <x:c r="I728" s="2" t="n">
        <x:f>IF(AND(ISNUMBER(F728),F728&gt;D728),1,0)</x:f>
        <x:v>1</x:v>
      </x:c>
      <x:c r="J728" s="2" t="n">
        <x:f>IF(H728=1,F728-D728,"")</x:f>
        <x:v>6</x:v>
      </x:c>
      <x:c r="K728" s="2" t="n">
        <x:f>IF(H728=1,F728-E728,"")</x:f>
        <x:v>9</x:v>
      </x:c>
      <x:c r="L728" s="2" t="n">
        <x:v>9</x:v>
      </x:c>
      <x:c r="M728" s="2" t="n">
        <x:v>4</x:v>
      </x:c>
      <x:c r="N728" s="20" t="n">
        <x:v>0.4</x:v>
      </x:c>
      <x:c r="O728" s="20" t="n">
        <x:v>0.8</x:v>
      </x:c>
      <x:c r="P728" s="20" t="n">
        <x:v>0.25</x:v>
      </x:c>
      <x:c r="Q728" s="2" t="n">
        <x:v>46</x:v>
      </x:c>
      <x:c r="R728" s="2" t="str">
        <x:v>ISTP</x:v>
      </x:c>
      <x:c r="S728" s="2" t="str">
        <x:v>华东</x:v>
      </x:c>
      <x:c r="T728" s="2" t="str">
        <x:v>行政或办公室岗位</x:v>
      </x:c>
    </x:row>
    <x:row r="729" ht="24" customHeight="1">
      <x:c r="A729" s="2" t="str">
        <x:v>D040_T04_C080_G025</x:v>
      </x:c>
      <x:c r="B729" s="2" t="str">
        <x:v>A0040</x:v>
      </x:c>
      <x:c r="C729" s="2" t="str">
        <x:v>inside</x:v>
      </x:c>
      <x:c r="D729" s="2" t="n">
        <x:v>4</x:v>
      </x:c>
      <x:c r="E729" s="2" t="n">
        <x:v>1</x:v>
      </x:c>
      <x:c r="F729" s="2"/>
      <x:c r="G729" s="2" t="str">
        <x:v>right_censored</x:v>
      </x:c>
      <x:c r="H729" s="2" t="n">
        <x:f>IF(AND(ISNUMBER(F729),F729&gt;=D729),1,0)</x:f>
        <x:v>0</x:v>
      </x:c>
      <x:c r="I729" s="2" t="n">
        <x:f>IF(AND(ISNUMBER(F729),F729&gt;D729),1,0)</x:f>
        <x:v>0</x:v>
      </x:c>
      <x:c r="J729" s="2" t="str">
        <x:f>IF(H729=1,F729-D729,"")</x:f>
      </x:c>
      <x:c r="K729" s="2" t="str">
        <x:f>IF(H729=1,F729-E729,"")</x:f>
      </x:c>
      <x:c r="L729" s="2" t="n">
        <x:v>9</x:v>
      </x:c>
      <x:c r="M729" s="2" t="n">
        <x:v>4</x:v>
      </x:c>
      <x:c r="N729" s="20" t="n">
        <x:v>0.4</x:v>
      </x:c>
      <x:c r="O729" s="20" t="n">
        <x:v>0.8</x:v>
      </x:c>
      <x:c r="P729" s="20" t="n">
        <x:v>0.25</x:v>
      </x:c>
      <x:c r="Q729" s="2" t="n">
        <x:v>48</x:v>
      </x:c>
      <x:c r="R729" s="2" t="str">
        <x:v>INFP</x:v>
      </x:c>
      <x:c r="S729" s="2" t="str">
        <x:v>西北</x:v>
      </x:c>
      <x:c r="T729" s="2" t="str">
        <x:v>个体经营或自由职业</x:v>
      </x:c>
    </x:row>
    <x:row r="730" ht="24" customHeight="1">
      <x:c r="A730" s="2" t="str">
        <x:v>D040_T04_C080_G025</x:v>
      </x:c>
      <x:c r="B730" s="2" t="str">
        <x:v>A0041</x:v>
      </x:c>
      <x:c r="C730" s="2" t="str">
        <x:v>inside</x:v>
      </x:c>
      <x:c r="D730" s="2" t="n">
        <x:v>4</x:v>
      </x:c>
      <x:c r="E730" s="2" t="n">
        <x:v>1</x:v>
      </x:c>
      <x:c r="F730" s="2" t="n">
        <x:v>9</x:v>
      </x:c>
      <x:c r="G730" s="2" t="str">
        <x:v>observed_post_release</x:v>
      </x:c>
      <x:c r="H730" s="2" t="n">
        <x:f>IF(AND(ISNUMBER(F730),F730&gt;=D730),1,0)</x:f>
        <x:v>1</x:v>
      </x:c>
      <x:c r="I730" s="2" t="n">
        <x:f>IF(AND(ISNUMBER(F730),F730&gt;D730),1,0)</x:f>
        <x:v>1</x:v>
      </x:c>
      <x:c r="J730" s="2" t="n">
        <x:f>IF(H730=1,F730-D730,"")</x:f>
        <x:v>5</x:v>
      </x:c>
      <x:c r="K730" s="2" t="n">
        <x:f>IF(H730=1,F730-E730,"")</x:f>
        <x:v>8</x:v>
      </x:c>
      <x:c r="L730" s="2" t="n">
        <x:v>9</x:v>
      </x:c>
      <x:c r="M730" s="2" t="n">
        <x:v>4</x:v>
      </x:c>
      <x:c r="N730" s="20" t="n">
        <x:v>0.4</x:v>
      </x:c>
      <x:c r="O730" s="20" t="n">
        <x:v>0.8</x:v>
      </x:c>
      <x:c r="P730" s="20" t="n">
        <x:v>0.25</x:v>
      </x:c>
      <x:c r="Q730" s="2" t="n">
        <x:v>62</x:v>
      </x:c>
      <x:c r="R730" s="2" t="str">
        <x:v>ISFJ</x:v>
      </x:c>
      <x:c r="S730" s="2" t="str">
        <x:v>西北</x:v>
      </x:c>
      <x:c r="T730" s="2" t="str">
        <x:v>个体经营或自由职业</x:v>
      </x:c>
    </x:row>
    <x:row r="731" ht="24" customHeight="1">
      <x:c r="A731" s="2" t="str">
        <x:v>D040_T04_C080_G025</x:v>
      </x:c>
      <x:c r="B731" s="2" t="str">
        <x:v>A0071</x:v>
      </x:c>
      <x:c r="C731" s="2" t="str">
        <x:v>inside</x:v>
      </x:c>
      <x:c r="D731" s="2" t="n">
        <x:v>4</x:v>
      </x:c>
      <x:c r="E731" s="2" t="n">
        <x:v>1</x:v>
      </x:c>
      <x:c r="F731" s="2"/>
      <x:c r="G731" s="2" t="str">
        <x:v>right_censored</x:v>
      </x:c>
      <x:c r="H731" s="2" t="n">
        <x:f>IF(AND(ISNUMBER(F731),F731&gt;=D731),1,0)</x:f>
        <x:v>0</x:v>
      </x:c>
      <x:c r="I731" s="2" t="n">
        <x:f>IF(AND(ISNUMBER(F731),F731&gt;D731),1,0)</x:f>
        <x:v>0</x:v>
      </x:c>
      <x:c r="J731" s="2" t="str">
        <x:f>IF(H731=1,F731-D731,"")</x:f>
      </x:c>
      <x:c r="K731" s="2" t="str">
        <x:f>IF(H731=1,F731-E731,"")</x:f>
      </x:c>
      <x:c r="L731" s="2" t="n">
        <x:v>9</x:v>
      </x:c>
      <x:c r="M731" s="2" t="n">
        <x:v>4</x:v>
      </x:c>
      <x:c r="N731" s="20" t="n">
        <x:v>0.4</x:v>
      </x:c>
      <x:c r="O731" s="20" t="n">
        <x:v>0.8</x:v>
      </x:c>
      <x:c r="P731" s="20" t="n">
        <x:v>0.25</x:v>
      </x:c>
      <x:c r="Q731" s="2" t="n">
        <x:v>33</x:v>
      </x:c>
      <x:c r="R731" s="2" t="str">
        <x:v>ISTJ</x:v>
      </x:c>
      <x:c r="S731" s="2" t="str">
        <x:v>华东</x:v>
      </x:c>
      <x:c r="T731" s="2" t="str">
        <x:v>商业服务岗位</x:v>
      </x:c>
    </x:row>
    <x:row r="732" ht="24" customHeight="1">
      <x:c r="A732" s="2" t="str">
        <x:v>D040_T04_C080_G025</x:v>
      </x:c>
      <x:c r="B732" s="2" t="str">
        <x:v>A0090</x:v>
      </x:c>
      <x:c r="C732" s="2" t="str">
        <x:v>inside</x:v>
      </x:c>
      <x:c r="D732" s="2" t="n">
        <x:v>4</x:v>
      </x:c>
      <x:c r="E732" s="2" t="n">
        <x:v>1</x:v>
      </x:c>
      <x:c r="F732" s="2"/>
      <x:c r="G732" s="2" t="str">
        <x:v>right_censored</x:v>
      </x:c>
      <x:c r="H732" s="2" t="n">
        <x:f>IF(AND(ISNUMBER(F732),F732&gt;=D732),1,0)</x:f>
        <x:v>0</x:v>
      </x:c>
      <x:c r="I732" s="2" t="n">
        <x:f>IF(AND(ISNUMBER(F732),F732&gt;D732),1,0)</x:f>
        <x:v>0</x:v>
      </x:c>
      <x:c r="J732" s="2" t="str">
        <x:f>IF(H732=1,F732-D732,"")</x:f>
      </x:c>
      <x:c r="K732" s="2" t="str">
        <x:f>IF(H732=1,F732-E732,"")</x:f>
      </x:c>
      <x:c r="L732" s="2" t="n">
        <x:v>9</x:v>
      </x:c>
      <x:c r="M732" s="2" t="n">
        <x:v>6</x:v>
      </x:c>
      <x:c r="N732" s="20" t="n">
        <x:v>0.4</x:v>
      </x:c>
      <x:c r="O732" s="20" t="n">
        <x:v>0.8</x:v>
      </x:c>
      <x:c r="P732" s="20" t="n">
        <x:v>0.25</x:v>
      </x:c>
      <x:c r="Q732" s="2" t="n">
        <x:v>46</x:v>
      </x:c>
      <x:c r="R732" s="2" t="str">
        <x:v>ENFJ</x:v>
      </x:c>
      <x:c r="S732" s="2" t="str">
        <x:v>西北</x:v>
      </x:c>
      <x:c r="T732" s="2" t="str">
        <x:v>个体经营或自由职业</x:v>
      </x:c>
    </x:row>
    <x:row r="733" ht="24" customHeight="1">
      <x:c r="A733" s="2" t="str">
        <x:v>D040_T04_C080_G025</x:v>
      </x:c>
      <x:c r="B733" s="2" t="str">
        <x:v>A0189</x:v>
      </x:c>
      <x:c r="C733" s="2" t="str">
        <x:v>inside</x:v>
      </x:c>
      <x:c r="D733" s="2" t="n">
        <x:v>4</x:v>
      </x:c>
      <x:c r="E733" s="2" t="n">
        <x:v>1</x:v>
      </x:c>
      <x:c r="F733" s="2"/>
      <x:c r="G733" s="2" t="str">
        <x:v>right_censored</x:v>
      </x:c>
      <x:c r="H733" s="2" t="n">
        <x:f>IF(AND(ISNUMBER(F733),F733&gt;=D733),1,0)</x:f>
        <x:v>0</x:v>
      </x:c>
      <x:c r="I733" s="2" t="n">
        <x:f>IF(AND(ISNUMBER(F733),F733&gt;D733),1,0)</x:f>
        <x:v>0</x:v>
      </x:c>
      <x:c r="J733" s="2" t="str">
        <x:f>IF(H733=1,F733-D733,"")</x:f>
      </x:c>
      <x:c r="K733" s="2" t="str">
        <x:f>IF(H733=1,F733-E733,"")</x:f>
      </x:c>
      <x:c r="L733" s="2" t="n">
        <x:v>9</x:v>
      </x:c>
      <x:c r="M733" s="2" t="n">
        <x:v>5</x:v>
      </x:c>
      <x:c r="N733" s="20" t="n">
        <x:v>0.4</x:v>
      </x:c>
      <x:c r="O733" s="20" t="n">
        <x:v>0.8</x:v>
      </x:c>
      <x:c r="P733" s="20" t="n">
        <x:v>0.25</x:v>
      </x:c>
      <x:c r="Q733" s="2" t="n">
        <x:v>45</x:v>
      </x:c>
      <x:c r="R733" s="2" t="str">
        <x:v>ISFJ</x:v>
      </x:c>
      <x:c r="S733" s="2" t="str">
        <x:v>西北</x:v>
      </x:c>
      <x:c r="T733" s="2" t="str">
        <x:v>生产运输或体力岗位</x:v>
      </x:c>
    </x:row>
    <x:row r="734" ht="24" customHeight="1">
      <x:c r="A734" s="2" t="str">
        <x:v>D040_T04_C080_G025</x:v>
      </x:c>
      <x:c r="B734" s="2" t="str">
        <x:v>A0206</x:v>
      </x:c>
      <x:c r="C734" s="2" t="str">
        <x:v>inside</x:v>
      </x:c>
      <x:c r="D734" s="2" t="n">
        <x:v>4</x:v>
      </x:c>
      <x:c r="E734" s="2" t="n">
        <x:v>1</x:v>
      </x:c>
      <x:c r="F734" s="2" t="n">
        <x:v>5</x:v>
      </x:c>
      <x:c r="G734" s="2" t="str">
        <x:v>observed_post_release</x:v>
      </x:c>
      <x:c r="H734" s="2" t="n">
        <x:f>IF(AND(ISNUMBER(F734),F734&gt;=D734),1,0)</x:f>
        <x:v>1</x:v>
      </x:c>
      <x:c r="I734" s="2" t="n">
        <x:f>IF(AND(ISNUMBER(F734),F734&gt;D734),1,0)</x:f>
        <x:v>1</x:v>
      </x:c>
      <x:c r="J734" s="2" t="n">
        <x:f>IF(H734=1,F734-D734,"")</x:f>
        <x:v>1</x:v>
      </x:c>
      <x:c r="K734" s="2" t="n">
        <x:f>IF(H734=1,F734-E734,"")</x:f>
        <x:v>4</x:v>
      </x:c>
      <x:c r="L734" s="2" t="n">
        <x:v>9</x:v>
      </x:c>
      <x:c r="M734" s="2" t="n">
        <x:v>4</x:v>
      </x:c>
      <x:c r="N734" s="20" t="n">
        <x:v>0.4</x:v>
      </x:c>
      <x:c r="O734" s="20" t="n">
        <x:v>0.8</x:v>
      </x:c>
      <x:c r="P734" s="20" t="n">
        <x:v>0.25</x:v>
      </x:c>
      <x:c r="Q734" s="2" t="n">
        <x:v>21</x:v>
      </x:c>
      <x:c r="R734" s="2" t="str">
        <x:v>ESTP</x:v>
      </x:c>
      <x:c r="S734" s="2" t="str">
        <x:v>西北</x:v>
      </x:c>
      <x:c r="T734" s="2" t="str">
        <x:v>暂未就业或家庭照料</x:v>
      </x:c>
    </x:row>
    <x:row r="735" ht="24" customHeight="1">
      <x:c r="A735" s="2" t="str">
        <x:v>D040_T04_C080_G050</x:v>
      </x:c>
      <x:c r="B735" s="2" t="str">
        <x:v>A0002</x:v>
      </x:c>
      <x:c r="C735" s="2" t="str">
        <x:v>inside</x:v>
      </x:c>
      <x:c r="D735" s="2" t="n">
        <x:v>4</x:v>
      </x:c>
      <x:c r="E735" s="2" t="n">
        <x:v>1</x:v>
      </x:c>
      <x:c r="F735" s="2" t="n">
        <x:v>5</x:v>
      </x:c>
      <x:c r="G735" s="2" t="str">
        <x:v>observed_post_release</x:v>
      </x:c>
      <x:c r="H735" s="2" t="n">
        <x:f>IF(AND(ISNUMBER(F735),F735&gt;=D735),1,0)</x:f>
        <x:v>1</x:v>
      </x:c>
      <x:c r="I735" s="2" t="n">
        <x:f>IF(AND(ISNUMBER(F735),F735&gt;D735),1,0)</x:f>
        <x:v>1</x:v>
      </x:c>
      <x:c r="J735" s="2" t="n">
        <x:f>IF(H735=1,F735-D735,"")</x:f>
        <x:v>1</x:v>
      </x:c>
      <x:c r="K735" s="2" t="n">
        <x:f>IF(H735=1,F735-E735,"")</x:f>
        <x:v>4</x:v>
      </x:c>
      <x:c r="L735" s="2" t="n">
        <x:v>9</x:v>
      </x:c>
      <x:c r="M735" s="2" t="n">
        <x:v>5</x:v>
      </x:c>
      <x:c r="N735" s="20" t="n">
        <x:v>0.4</x:v>
      </x:c>
      <x:c r="O735" s="20" t="n">
        <x:v>0.8</x:v>
      </x:c>
      <x:c r="P735" s="20" t="n">
        <x:v>0.5</x:v>
      </x:c>
      <x:c r="Q735" s="2" t="n">
        <x:v>19</x:v>
      </x:c>
      <x:c r="R735" s="2" t="str">
        <x:v>ESTP</x:v>
      </x:c>
      <x:c r="S735" s="2" t="str">
        <x:v>华南</x:v>
      </x:c>
      <x:c r="T735" s="2" t="str">
        <x:v>商业服务岗位</x:v>
      </x:c>
    </x:row>
    <x:row r="736" ht="24" customHeight="1">
      <x:c r="A736" s="2" t="str">
        <x:v>D040_T04_C080_G050</x:v>
      </x:c>
      <x:c r="B736" s="2" t="str">
        <x:v>A0005</x:v>
      </x:c>
      <x:c r="C736" s="2" t="str">
        <x:v>inside</x:v>
      </x:c>
      <x:c r="D736" s="2" t="n">
        <x:v>4</x:v>
      </x:c>
      <x:c r="E736" s="2" t="n">
        <x:v>1</x:v>
      </x:c>
      <x:c r="F736" s="2" t="n">
        <x:v>5</x:v>
      </x:c>
      <x:c r="G736" s="2" t="str">
        <x:v>observed_post_release</x:v>
      </x:c>
      <x:c r="H736" s="2" t="n">
        <x:f>IF(AND(ISNUMBER(F736),F736&gt;=D736),1,0)</x:f>
        <x:v>1</x:v>
      </x:c>
      <x:c r="I736" s="2" t="n">
        <x:f>IF(AND(ISNUMBER(F736),F736&gt;D736),1,0)</x:f>
        <x:v>1</x:v>
      </x:c>
      <x:c r="J736" s="2" t="n">
        <x:f>IF(H736=1,F736-D736,"")</x:f>
        <x:v>1</x:v>
      </x:c>
      <x:c r="K736" s="2" t="n">
        <x:f>IF(H736=1,F736-E736,"")</x:f>
        <x:v>4</x:v>
      </x:c>
      <x:c r="L736" s="2" t="n">
        <x:v>9</x:v>
      </x:c>
      <x:c r="M736" s="2" t="n">
        <x:v>4</x:v>
      </x:c>
      <x:c r="N736" s="20" t="n">
        <x:v>0.4</x:v>
      </x:c>
      <x:c r="O736" s="20" t="n">
        <x:v>0.8</x:v>
      </x:c>
      <x:c r="P736" s="20" t="n">
        <x:v>0.5</x:v>
      </x:c>
      <x:c r="Q736" s="2" t="n">
        <x:v>51</x:v>
      </x:c>
      <x:c r="R736" s="2" t="str">
        <x:v>ISTP</x:v>
      </x:c>
      <x:c r="S736" s="2" t="str">
        <x:v>华南</x:v>
      </x:c>
      <x:c r="T736" s="2" t="str">
        <x:v>生产运输或体力岗位</x:v>
      </x:c>
    </x:row>
    <x:row r="737" ht="24" customHeight="1">
      <x:c r="A737" s="2" t="str">
        <x:v>D040_T04_C080_G050</x:v>
      </x:c>
      <x:c r="B737" s="2" t="str">
        <x:v>A0006</x:v>
      </x:c>
      <x:c r="C737" s="2" t="str">
        <x:v>inside</x:v>
      </x:c>
      <x:c r="D737" s="2" t="n">
        <x:v>4</x:v>
      </x:c>
      <x:c r="E737" s="2" t="n">
        <x:v>1</x:v>
      </x:c>
      <x:c r="F737" s="2" t="n">
        <x:v>6</x:v>
      </x:c>
      <x:c r="G737" s="2" t="str">
        <x:v>observed_post_release</x:v>
      </x:c>
      <x:c r="H737" s="2" t="n">
        <x:f>IF(AND(ISNUMBER(F737),F737&gt;=D737),1,0)</x:f>
        <x:v>1</x:v>
      </x:c>
      <x:c r="I737" s="2" t="n">
        <x:f>IF(AND(ISNUMBER(F737),F737&gt;D737),1,0)</x:f>
        <x:v>1</x:v>
      </x:c>
      <x:c r="J737" s="2" t="n">
        <x:f>IF(H737=1,F737-D737,"")</x:f>
        <x:v>2</x:v>
      </x:c>
      <x:c r="K737" s="2" t="n">
        <x:f>IF(H737=1,F737-E737,"")</x:f>
        <x:v>5</x:v>
      </x:c>
      <x:c r="L737" s="2" t="n">
        <x:v>9</x:v>
      </x:c>
      <x:c r="M737" s="2" t="n">
        <x:v>5</x:v>
      </x:c>
      <x:c r="N737" s="20" t="n">
        <x:v>0.4</x:v>
      </x:c>
      <x:c r="O737" s="20" t="n">
        <x:v>0.8</x:v>
      </x:c>
      <x:c r="P737" s="20" t="n">
        <x:v>0.5</x:v>
      </x:c>
      <x:c r="Q737" s="2" t="n">
        <x:v>60</x:v>
      </x:c>
      <x:c r="R737" s="2" t="str">
        <x:v>ENFP</x:v>
      </x:c>
      <x:c r="S737" s="2" t="str">
        <x:v>华中</x:v>
      </x:c>
      <x:c r="T737" s="2" t="str">
        <x:v>行政或办公室岗位</x:v>
      </x:c>
    </x:row>
    <x:row r="738" ht="24" customHeight="1">
      <x:c r="A738" s="2" t="str">
        <x:v>D040_T04_C080_G050</x:v>
      </x:c>
      <x:c r="B738" s="2" t="str">
        <x:v>A0011</x:v>
      </x:c>
      <x:c r="C738" s="2" t="str">
        <x:v>inside</x:v>
      </x:c>
      <x:c r="D738" s="2" t="n">
        <x:v>4</x:v>
      </x:c>
      <x:c r="E738" s="2" t="n">
        <x:v>1</x:v>
      </x:c>
      <x:c r="F738" s="2" t="n">
        <x:v>8</x:v>
      </x:c>
      <x:c r="G738" s="2" t="str">
        <x:v>observed_post_release</x:v>
      </x:c>
      <x:c r="H738" s="2" t="n">
        <x:f>IF(AND(ISNUMBER(F738),F738&gt;=D738),1,0)</x:f>
        <x:v>1</x:v>
      </x:c>
      <x:c r="I738" s="2" t="n">
        <x:f>IF(AND(ISNUMBER(F738),F738&gt;D738),1,0)</x:f>
        <x:v>1</x:v>
      </x:c>
      <x:c r="J738" s="2" t="n">
        <x:f>IF(H738=1,F738-D738,"")</x:f>
        <x:v>4</x:v>
      </x:c>
      <x:c r="K738" s="2" t="n">
        <x:f>IF(H738=1,F738-E738,"")</x:f>
        <x:v>7</x:v>
      </x:c>
      <x:c r="L738" s="2" t="n">
        <x:v>9</x:v>
      </x:c>
      <x:c r="M738" s="2" t="n">
        <x:v>6</x:v>
      </x:c>
      <x:c r="N738" s="20" t="n">
        <x:v>0.4</x:v>
      </x:c>
      <x:c r="O738" s="20" t="n">
        <x:v>0.8</x:v>
      </x:c>
      <x:c r="P738" s="20" t="n">
        <x:v>0.5</x:v>
      </x:c>
      <x:c r="Q738" s="2" t="n">
        <x:v>42</x:v>
      </x:c>
      <x:c r="R738" s="2" t="str">
        <x:v>ENFJ</x:v>
      </x:c>
      <x:c r="S738" s="2" t="str">
        <x:v>西南</x:v>
      </x:c>
      <x:c r="T738" s="2" t="str">
        <x:v>行政或办公室岗位</x:v>
      </x:c>
    </x:row>
    <x:row r="739" ht="24" customHeight="1">
      <x:c r="A739" s="2" t="str">
        <x:v>D040_T04_C080_G050</x:v>
      </x:c>
      <x:c r="B739" s="2" t="str">
        <x:v>A0012</x:v>
      </x:c>
      <x:c r="C739" s="2" t="str">
        <x:v>inside</x:v>
      </x:c>
      <x:c r="D739" s="2" t="n">
        <x:v>4</x:v>
      </x:c>
      <x:c r="E739" s="2" t="n">
        <x:v>1</x:v>
      </x:c>
      <x:c r="F739" s="2" t="n">
        <x:v>6</x:v>
      </x:c>
      <x:c r="G739" s="2" t="str">
        <x:v>observed_post_release</x:v>
      </x:c>
      <x:c r="H739" s="2" t="n">
        <x:f>IF(AND(ISNUMBER(F739),F739&gt;=D739),1,0)</x:f>
        <x:v>1</x:v>
      </x:c>
      <x:c r="I739" s="2" t="n">
        <x:f>IF(AND(ISNUMBER(F739),F739&gt;D739),1,0)</x:f>
        <x:v>1</x:v>
      </x:c>
      <x:c r="J739" s="2" t="n">
        <x:f>IF(H739=1,F739-D739,"")</x:f>
        <x:v>2</x:v>
      </x:c>
      <x:c r="K739" s="2" t="n">
        <x:f>IF(H739=1,F739-E739,"")</x:f>
        <x:v>5</x:v>
      </x:c>
      <x:c r="L739" s="2" t="n">
        <x:v>9</x:v>
      </x:c>
      <x:c r="M739" s="2" t="n">
        <x:v>4</x:v>
      </x:c>
      <x:c r="N739" s="20" t="n">
        <x:v>0.4</x:v>
      </x:c>
      <x:c r="O739" s="20" t="n">
        <x:v>0.8</x:v>
      </x:c>
      <x:c r="P739" s="20" t="n">
        <x:v>0.5</x:v>
      </x:c>
      <x:c r="Q739" s="2" t="n">
        <x:v>38</x:v>
      </x:c>
      <x:c r="R739" s="2" t="str">
        <x:v>ESFP</x:v>
      </x:c>
      <x:c r="S739" s="2" t="str">
        <x:v>华中</x:v>
      </x:c>
      <x:c r="T739" s="2" t="str">
        <x:v>行政或办公室岗位</x:v>
      </x:c>
    </x:row>
    <x:row r="740" ht="24" customHeight="1">
      <x:c r="A740" s="2" t="str">
        <x:v>D040_T04_C080_G050</x:v>
      </x:c>
      <x:c r="B740" s="2" t="str">
        <x:v>A0014</x:v>
      </x:c>
      <x:c r="C740" s="2" t="str">
        <x:v>inside</x:v>
      </x:c>
      <x:c r="D740" s="2" t="n">
        <x:v>4</x:v>
      </x:c>
      <x:c r="E740" s="2" t="n">
        <x:v>1</x:v>
      </x:c>
      <x:c r="F740" s="2" t="n">
        <x:v>4</x:v>
      </x:c>
      <x:c r="G740" s="2" t="str">
        <x:v>observed_post_release</x:v>
      </x:c>
      <x:c r="H740" s="2" t="n">
        <x:f>IF(AND(ISNUMBER(F740),F740&gt;=D740),1,0)</x:f>
        <x:v>1</x:v>
      </x:c>
      <x:c r="I740" s="2" t="n">
        <x:f>IF(AND(ISNUMBER(F740),F740&gt;D740),1,0)</x:f>
        <x:v>0</x:v>
      </x:c>
      <x:c r="J740" s="2" t="n">
        <x:f>IF(H740=1,F740-D740,"")</x:f>
        <x:v>0</x:v>
      </x:c>
      <x:c r="K740" s="2" t="n">
        <x:f>IF(H740=1,F740-E740,"")</x:f>
        <x:v>3</x:v>
      </x:c>
      <x:c r="L740" s="2" t="n">
        <x:v>9</x:v>
      </x:c>
      <x:c r="M740" s="2" t="n">
        <x:v>4</x:v>
      </x:c>
      <x:c r="N740" s="20" t="n">
        <x:v>0.4</x:v>
      </x:c>
      <x:c r="O740" s="20" t="n">
        <x:v>0.8</x:v>
      </x:c>
      <x:c r="P740" s="20" t="n">
        <x:v>0.5</x:v>
      </x:c>
      <x:c r="Q740" s="2" t="n">
        <x:v>52</x:v>
      </x:c>
      <x:c r="R740" s="2" t="str">
        <x:v>INFJ</x:v>
      </x:c>
      <x:c r="S740" s="2" t="str">
        <x:v>华东</x:v>
      </x:c>
      <x:c r="T740" s="2" t="str">
        <x:v>生产运输或体力岗位</x:v>
      </x:c>
    </x:row>
    <x:row r="741" ht="24" customHeight="1">
      <x:c r="A741" s="2" t="str">
        <x:v>D040_T04_C080_G050</x:v>
      </x:c>
      <x:c r="B741" s="2" t="str">
        <x:v>A0016</x:v>
      </x:c>
      <x:c r="C741" s="2" t="str">
        <x:v>inside</x:v>
      </x:c>
      <x:c r="D741" s="2" t="n">
        <x:v>4</x:v>
      </x:c>
      <x:c r="E741" s="2" t="n">
        <x:v>1</x:v>
      </x:c>
      <x:c r="F741" s="2" t="n">
        <x:v>4</x:v>
      </x:c>
      <x:c r="G741" s="2" t="str">
        <x:v>observed_post_release</x:v>
      </x:c>
      <x:c r="H741" s="2" t="n">
        <x:f>IF(AND(ISNUMBER(F741),F741&gt;=D741),1,0)</x:f>
        <x:v>1</x:v>
      </x:c>
      <x:c r="I741" s="2" t="n">
        <x:f>IF(AND(ISNUMBER(F741),F741&gt;D741),1,0)</x:f>
        <x:v>0</x:v>
      </x:c>
      <x:c r="J741" s="2" t="n">
        <x:f>IF(H741=1,F741-D741,"")</x:f>
        <x:v>0</x:v>
      </x:c>
      <x:c r="K741" s="2" t="n">
        <x:f>IF(H741=1,F741-E741,"")</x:f>
        <x:v>3</x:v>
      </x:c>
      <x:c r="L741" s="2" t="n">
        <x:v>9</x:v>
      </x:c>
      <x:c r="M741" s="2" t="n">
        <x:v>4</x:v>
      </x:c>
      <x:c r="N741" s="20" t="n">
        <x:v>0.4</x:v>
      </x:c>
      <x:c r="O741" s="20" t="n">
        <x:v>0.8</x:v>
      </x:c>
      <x:c r="P741" s="20" t="n">
        <x:v>0.5</x:v>
      </x:c>
      <x:c r="Q741" s="2" t="n">
        <x:v>60</x:v>
      </x:c>
      <x:c r="R741" s="2" t="str">
        <x:v>ESFJ</x:v>
      </x:c>
      <x:c r="S741" s="2" t="str">
        <x:v>华北</x:v>
      </x:c>
      <x:c r="T741" s="2" t="str">
        <x:v>个体经营或自由职业</x:v>
      </x:c>
    </x:row>
    <x:row r="742" ht="24" customHeight="1">
      <x:c r="A742" s="2" t="str">
        <x:v>D040_T04_C080_G050</x:v>
      </x:c>
      <x:c r="B742" s="2" t="str">
        <x:v>A0017</x:v>
      </x:c>
      <x:c r="C742" s="2" t="str">
        <x:v>inside</x:v>
      </x:c>
      <x:c r="D742" s="2" t="n">
        <x:v>4</x:v>
      </x:c>
      <x:c r="E742" s="2" t="n">
        <x:v>1</x:v>
      </x:c>
      <x:c r="F742" s="2" t="n">
        <x:v>7</x:v>
      </x:c>
      <x:c r="G742" s="2" t="str">
        <x:v>observed_post_release</x:v>
      </x:c>
      <x:c r="H742" s="2" t="n">
        <x:f>IF(AND(ISNUMBER(F742),F742&gt;=D742),1,0)</x:f>
        <x:v>1</x:v>
      </x:c>
      <x:c r="I742" s="2" t="n">
        <x:f>IF(AND(ISNUMBER(F742),F742&gt;D742),1,0)</x:f>
        <x:v>1</x:v>
      </x:c>
      <x:c r="J742" s="2" t="n">
        <x:f>IF(H742=1,F742-D742,"")</x:f>
        <x:v>3</x:v>
      </x:c>
      <x:c r="K742" s="2" t="n">
        <x:f>IF(H742=1,F742-E742,"")</x:f>
        <x:v>6</x:v>
      </x:c>
      <x:c r="L742" s="2" t="n">
        <x:v>9</x:v>
      </x:c>
      <x:c r="M742" s="2" t="n">
        <x:v>5</x:v>
      </x:c>
      <x:c r="N742" s="20" t="n">
        <x:v>0.4</x:v>
      </x:c>
      <x:c r="O742" s="20" t="n">
        <x:v>0.8</x:v>
      </x:c>
      <x:c r="P742" s="20" t="n">
        <x:v>0.5</x:v>
      </x:c>
      <x:c r="Q742" s="2" t="n">
        <x:v>30</x:v>
      </x:c>
      <x:c r="R742" s="2" t="str">
        <x:v>ISTJ</x:v>
      </x:c>
      <x:c r="S742" s="2" t="str">
        <x:v>华东</x:v>
      </x:c>
      <x:c r="T742" s="2" t="str">
        <x:v>商业服务岗位</x:v>
      </x:c>
    </x:row>
    <x:row r="743" ht="24" customHeight="1">
      <x:c r="A743" s="2" t="str">
        <x:v>D040_T04_C080_G050</x:v>
      </x:c>
      <x:c r="B743" s="2" t="str">
        <x:v>A0018</x:v>
      </x:c>
      <x:c r="C743" s="2" t="str">
        <x:v>inside</x:v>
      </x:c>
      <x:c r="D743" s="2" t="n">
        <x:v>4</x:v>
      </x:c>
      <x:c r="E743" s="2" t="n">
        <x:v>1</x:v>
      </x:c>
      <x:c r="F743" s="2" t="n">
        <x:v>5</x:v>
      </x:c>
      <x:c r="G743" s="2" t="str">
        <x:v>observed_post_release</x:v>
      </x:c>
      <x:c r="H743" s="2" t="n">
        <x:f>IF(AND(ISNUMBER(F743),F743&gt;=D743),1,0)</x:f>
        <x:v>1</x:v>
      </x:c>
      <x:c r="I743" s="2" t="n">
        <x:f>IF(AND(ISNUMBER(F743),F743&gt;D743),1,0)</x:f>
        <x:v>1</x:v>
      </x:c>
      <x:c r="J743" s="2" t="n">
        <x:f>IF(H743=1,F743-D743,"")</x:f>
        <x:v>1</x:v>
      </x:c>
      <x:c r="K743" s="2" t="n">
        <x:f>IF(H743=1,F743-E743,"")</x:f>
        <x:v>4</x:v>
      </x:c>
      <x:c r="L743" s="2" t="n">
        <x:v>9</x:v>
      </x:c>
      <x:c r="M743" s="2" t="n">
        <x:v>4</x:v>
      </x:c>
      <x:c r="N743" s="20" t="n">
        <x:v>0.4</x:v>
      </x:c>
      <x:c r="O743" s="20" t="n">
        <x:v>0.8</x:v>
      </x:c>
      <x:c r="P743" s="20" t="n">
        <x:v>0.5</x:v>
      </x:c>
      <x:c r="Q743" s="2" t="n">
        <x:v>60</x:v>
      </x:c>
      <x:c r="R743" s="2" t="str">
        <x:v>INTJ</x:v>
      </x:c>
      <x:c r="S743" s="2" t="str">
        <x:v>华南</x:v>
      </x:c>
      <x:c r="T743" s="2" t="str">
        <x:v>专业技术岗位</x:v>
      </x:c>
    </x:row>
    <x:row r="744" ht="24" customHeight="1">
      <x:c r="A744" s="2" t="str">
        <x:v>D040_T04_C080_G050</x:v>
      </x:c>
      <x:c r="B744" s="2" t="str">
        <x:v>A0019</x:v>
      </x:c>
      <x:c r="C744" s="2" t="str">
        <x:v>inside</x:v>
      </x:c>
      <x:c r="D744" s="2" t="n">
        <x:v>4</x:v>
      </x:c>
      <x:c r="E744" s="2" t="n">
        <x:v>1</x:v>
      </x:c>
      <x:c r="F744" s="2" t="n">
        <x:v>4</x:v>
      </x:c>
      <x:c r="G744" s="2" t="str">
        <x:v>observed_post_release</x:v>
      </x:c>
      <x:c r="H744" s="2" t="n">
        <x:f>IF(AND(ISNUMBER(F744),F744&gt;=D744),1,0)</x:f>
        <x:v>1</x:v>
      </x:c>
      <x:c r="I744" s="2" t="n">
        <x:f>IF(AND(ISNUMBER(F744),F744&gt;D744),1,0)</x:f>
        <x:v>0</x:v>
      </x:c>
      <x:c r="J744" s="2" t="n">
        <x:f>IF(H744=1,F744-D744,"")</x:f>
        <x:v>0</x:v>
      </x:c>
      <x:c r="K744" s="2" t="n">
        <x:f>IF(H744=1,F744-E744,"")</x:f>
        <x:v>3</x:v>
      </x:c>
      <x:c r="L744" s="2" t="n">
        <x:v>9</x:v>
      </x:c>
      <x:c r="M744" s="2" t="n">
        <x:v>4</x:v>
      </x:c>
      <x:c r="N744" s="20" t="n">
        <x:v>0.4</x:v>
      </x:c>
      <x:c r="O744" s="20" t="n">
        <x:v>0.8</x:v>
      </x:c>
      <x:c r="P744" s="20" t="n">
        <x:v>0.5</x:v>
      </x:c>
      <x:c r="Q744" s="2" t="n">
        <x:v>19</x:v>
      </x:c>
      <x:c r="R744" s="2" t="str">
        <x:v>INTJ</x:v>
      </x:c>
      <x:c r="S744" s="2" t="str">
        <x:v>西南</x:v>
      </x:c>
      <x:c r="T744" s="2" t="str">
        <x:v>行政或办公室岗位</x:v>
      </x:c>
    </x:row>
    <x:row r="745" ht="24" customHeight="1">
      <x:c r="A745" s="2" t="str">
        <x:v>D040_T04_C080_G050</x:v>
      </x:c>
      <x:c r="B745" s="2" t="str">
        <x:v>A0020</x:v>
      </x:c>
      <x:c r="C745" s="2" t="str">
        <x:v>inside</x:v>
      </x:c>
      <x:c r="D745" s="2" t="n">
        <x:v>4</x:v>
      </x:c>
      <x:c r="E745" s="2" t="n">
        <x:v>1</x:v>
      </x:c>
      <x:c r="F745" s="2" t="n">
        <x:v>5</x:v>
      </x:c>
      <x:c r="G745" s="2" t="str">
        <x:v>observed_post_release</x:v>
      </x:c>
      <x:c r="H745" s="2" t="n">
        <x:f>IF(AND(ISNUMBER(F745),F745&gt;=D745),1,0)</x:f>
        <x:v>1</x:v>
      </x:c>
      <x:c r="I745" s="2" t="n">
        <x:f>IF(AND(ISNUMBER(F745),F745&gt;D745),1,0)</x:f>
        <x:v>1</x:v>
      </x:c>
      <x:c r="J745" s="2" t="n">
        <x:f>IF(H745=1,F745-D745,"")</x:f>
        <x:v>1</x:v>
      </x:c>
      <x:c r="K745" s="2" t="n">
        <x:f>IF(H745=1,F745-E745,"")</x:f>
        <x:v>4</x:v>
      </x:c>
      <x:c r="L745" s="2" t="n">
        <x:v>9</x:v>
      </x:c>
      <x:c r="M745" s="2" t="n">
        <x:v>4</x:v>
      </x:c>
      <x:c r="N745" s="20" t="n">
        <x:v>0.4</x:v>
      </x:c>
      <x:c r="O745" s="20" t="n">
        <x:v>0.8</x:v>
      </x:c>
      <x:c r="P745" s="20" t="n">
        <x:v>0.5</x:v>
      </x:c>
      <x:c r="Q745" s="2" t="n">
        <x:v>42</x:v>
      </x:c>
      <x:c r="R745" s="2" t="str">
        <x:v>ENTJ</x:v>
      </x:c>
      <x:c r="S745" s="2" t="str">
        <x:v>西南</x:v>
      </x:c>
      <x:c r="T745" s="2" t="str">
        <x:v>行政或办公室岗位</x:v>
      </x:c>
    </x:row>
    <x:row r="746" ht="24" customHeight="1">
      <x:c r="A746" s="2" t="str">
        <x:v>D040_T04_C080_G050</x:v>
      </x:c>
      <x:c r="B746" s="2" t="str">
        <x:v>A0022</x:v>
      </x:c>
      <x:c r="C746" s="2" t="str">
        <x:v>inside</x:v>
      </x:c>
      <x:c r="D746" s="2" t="n">
        <x:v>4</x:v>
      </x:c>
      <x:c r="E746" s="2" t="n">
        <x:v>1</x:v>
      </x:c>
      <x:c r="F746" s="2" t="n">
        <x:v>4</x:v>
      </x:c>
      <x:c r="G746" s="2" t="str">
        <x:v>observed_post_release</x:v>
      </x:c>
      <x:c r="H746" s="2" t="n">
        <x:f>IF(AND(ISNUMBER(F746),F746&gt;=D746),1,0)</x:f>
        <x:v>1</x:v>
      </x:c>
      <x:c r="I746" s="2" t="n">
        <x:f>IF(AND(ISNUMBER(F746),F746&gt;D746),1,0)</x:f>
        <x:v>0</x:v>
      </x:c>
      <x:c r="J746" s="2" t="n">
        <x:f>IF(H746=1,F746-D746,"")</x:f>
        <x:v>0</x:v>
      </x:c>
      <x:c r="K746" s="2" t="n">
        <x:f>IF(H746=1,F746-E746,"")</x:f>
        <x:v>3</x:v>
      </x:c>
      <x:c r="L746" s="2" t="n">
        <x:v>9</x:v>
      </x:c>
      <x:c r="M746" s="2" t="n">
        <x:v>4</x:v>
      </x:c>
      <x:c r="N746" s="20" t="n">
        <x:v>0.4</x:v>
      </x:c>
      <x:c r="O746" s="20" t="n">
        <x:v>0.8</x:v>
      </x:c>
      <x:c r="P746" s="20" t="n">
        <x:v>0.5</x:v>
      </x:c>
      <x:c r="Q746" s="2" t="n">
        <x:v>51</x:v>
      </x:c>
      <x:c r="R746" s="2" t="str">
        <x:v>INFJ</x:v>
      </x:c>
      <x:c r="S746" s="2" t="str">
        <x:v>西南</x:v>
      </x:c>
      <x:c r="T746" s="2" t="str">
        <x:v>个体经营或自由职业</x:v>
      </x:c>
    </x:row>
    <x:row r="747" ht="24" customHeight="1">
      <x:c r="A747" s="2" t="str">
        <x:v>D040_T04_C080_G050</x:v>
      </x:c>
      <x:c r="B747" s="2" t="str">
        <x:v>A0023</x:v>
      </x:c>
      <x:c r="C747" s="2" t="str">
        <x:v>inside</x:v>
      </x:c>
      <x:c r="D747" s="2" t="n">
        <x:v>4</x:v>
      </x:c>
      <x:c r="E747" s="2" t="n">
        <x:v>1</x:v>
      </x:c>
      <x:c r="F747" s="2" t="n">
        <x:v>4</x:v>
      </x:c>
      <x:c r="G747" s="2" t="str">
        <x:v>observed_post_release</x:v>
      </x:c>
      <x:c r="H747" s="2" t="n">
        <x:f>IF(AND(ISNUMBER(F747),F747&gt;=D747),1,0)</x:f>
        <x:v>1</x:v>
      </x:c>
      <x:c r="I747" s="2" t="n">
        <x:f>IF(AND(ISNUMBER(F747),F747&gt;D747),1,0)</x:f>
        <x:v>0</x:v>
      </x:c>
      <x:c r="J747" s="2" t="n">
        <x:f>IF(H747=1,F747-D747,"")</x:f>
        <x:v>0</x:v>
      </x:c>
      <x:c r="K747" s="2" t="n">
        <x:f>IF(H747=1,F747-E747,"")</x:f>
        <x:v>3</x:v>
      </x:c>
      <x:c r="L747" s="2" t="n">
        <x:v>9</x:v>
      </x:c>
      <x:c r="M747" s="2" t="n">
        <x:v>4</x:v>
      </x:c>
      <x:c r="N747" s="20" t="n">
        <x:v>0.4</x:v>
      </x:c>
      <x:c r="O747" s="20" t="n">
        <x:v>0.8</x:v>
      </x:c>
      <x:c r="P747" s="20" t="n">
        <x:v>0.5</x:v>
      </x:c>
      <x:c r="Q747" s="2" t="n">
        <x:v>56</x:v>
      </x:c>
      <x:c r="R747" s="2" t="str">
        <x:v>INFP</x:v>
      </x:c>
      <x:c r="S747" s="2" t="str">
        <x:v>东北</x:v>
      </x:c>
      <x:c r="T747" s="2" t="str">
        <x:v>行政或办公室岗位</x:v>
      </x:c>
    </x:row>
    <x:row r="748" ht="24" customHeight="1">
      <x:c r="A748" s="2" t="str">
        <x:v>D040_T04_C080_G050</x:v>
      </x:c>
      <x:c r="B748" s="2" t="str">
        <x:v>A0024</x:v>
      </x:c>
      <x:c r="C748" s="2" t="str">
        <x:v>inside</x:v>
      </x:c>
      <x:c r="D748" s="2" t="n">
        <x:v>4</x:v>
      </x:c>
      <x:c r="E748" s="2" t="n">
        <x:v>1</x:v>
      </x:c>
      <x:c r="F748" s="2" t="n">
        <x:v>8</x:v>
      </x:c>
      <x:c r="G748" s="2" t="str">
        <x:v>observed_post_release</x:v>
      </x:c>
      <x:c r="H748" s="2" t="n">
        <x:f>IF(AND(ISNUMBER(F748),F748&gt;=D748),1,0)</x:f>
        <x:v>1</x:v>
      </x:c>
      <x:c r="I748" s="2" t="n">
        <x:f>IF(AND(ISNUMBER(F748),F748&gt;D748),1,0)</x:f>
        <x:v>1</x:v>
      </x:c>
      <x:c r="J748" s="2" t="n">
        <x:f>IF(H748=1,F748-D748,"")</x:f>
        <x:v>4</x:v>
      </x:c>
      <x:c r="K748" s="2" t="n">
        <x:f>IF(H748=1,F748-E748,"")</x:f>
        <x:v>7</x:v>
      </x:c>
      <x:c r="L748" s="2" t="n">
        <x:v>9</x:v>
      </x:c>
      <x:c r="M748" s="2" t="n">
        <x:v>4</x:v>
      </x:c>
      <x:c r="N748" s="20" t="n">
        <x:v>0.4</x:v>
      </x:c>
      <x:c r="O748" s="20" t="n">
        <x:v>0.8</x:v>
      </x:c>
      <x:c r="P748" s="20" t="n">
        <x:v>0.5</x:v>
      </x:c>
      <x:c r="Q748" s="2" t="n">
        <x:v>31</x:v>
      </x:c>
      <x:c r="R748" s="2" t="str">
        <x:v>ESTP</x:v>
      </x:c>
      <x:c r="S748" s="2" t="str">
        <x:v>华北</x:v>
      </x:c>
      <x:c r="T748" s="2" t="str">
        <x:v>商业服务岗位</x:v>
      </x:c>
    </x:row>
    <x:row r="749" ht="24" customHeight="1">
      <x:c r="A749" s="2" t="str">
        <x:v>D040_T04_C080_G050</x:v>
      </x:c>
      <x:c r="B749" s="2" t="str">
        <x:v>A0025</x:v>
      </x:c>
      <x:c r="C749" s="2" t="str">
        <x:v>inside</x:v>
      </x:c>
      <x:c r="D749" s="2" t="n">
        <x:v>4</x:v>
      </x:c>
      <x:c r="E749" s="2" t="n">
        <x:v>1</x:v>
      </x:c>
      <x:c r="F749" s="2" t="n">
        <x:v>5</x:v>
      </x:c>
      <x:c r="G749" s="2" t="str">
        <x:v>observed_post_release</x:v>
      </x:c>
      <x:c r="H749" s="2" t="n">
        <x:f>IF(AND(ISNUMBER(F749),F749&gt;=D749),1,0)</x:f>
        <x:v>1</x:v>
      </x:c>
      <x:c r="I749" s="2" t="n">
        <x:f>IF(AND(ISNUMBER(F749),F749&gt;D749),1,0)</x:f>
        <x:v>1</x:v>
      </x:c>
      <x:c r="J749" s="2" t="n">
        <x:f>IF(H749=1,F749-D749,"")</x:f>
        <x:v>1</x:v>
      </x:c>
      <x:c r="K749" s="2" t="n">
        <x:f>IF(H749=1,F749-E749,"")</x:f>
        <x:v>4</x:v>
      </x:c>
      <x:c r="L749" s="2" t="n">
        <x:v>9</x:v>
      </x:c>
      <x:c r="M749" s="2" t="n">
        <x:v>4</x:v>
      </x:c>
      <x:c r="N749" s="20" t="n">
        <x:v>0.4</x:v>
      </x:c>
      <x:c r="O749" s="20" t="n">
        <x:v>0.8</x:v>
      </x:c>
      <x:c r="P749" s="20" t="n">
        <x:v>0.5</x:v>
      </x:c>
      <x:c r="Q749" s="2" t="n">
        <x:v>23</x:v>
      </x:c>
      <x:c r="R749" s="2" t="str">
        <x:v>ISTP</x:v>
      </x:c>
      <x:c r="S749" s="2" t="str">
        <x:v>华南</x:v>
      </x:c>
      <x:c r="T749" s="2" t="str">
        <x:v>行政或办公室岗位</x:v>
      </x:c>
    </x:row>
    <x:row r="750" ht="24" customHeight="1">
      <x:c r="A750" s="2" t="str">
        <x:v>D040_T04_C080_G050</x:v>
      </x:c>
      <x:c r="B750" s="2" t="str">
        <x:v>A0026</x:v>
      </x:c>
      <x:c r="C750" s="2" t="str">
        <x:v>inside</x:v>
      </x:c>
      <x:c r="D750" s="2" t="n">
        <x:v>4</x:v>
      </x:c>
      <x:c r="E750" s="2" t="n">
        <x:v>1</x:v>
      </x:c>
      <x:c r="F750" s="2" t="n">
        <x:v>4</x:v>
      </x:c>
      <x:c r="G750" s="2" t="str">
        <x:v>observed_post_release</x:v>
      </x:c>
      <x:c r="H750" s="2" t="n">
        <x:f>IF(AND(ISNUMBER(F750),F750&gt;=D750),1,0)</x:f>
        <x:v>1</x:v>
      </x:c>
      <x:c r="I750" s="2" t="n">
        <x:f>IF(AND(ISNUMBER(F750),F750&gt;D750),1,0)</x:f>
        <x:v>0</x:v>
      </x:c>
      <x:c r="J750" s="2" t="n">
        <x:f>IF(H750=1,F750-D750,"")</x:f>
        <x:v>0</x:v>
      </x:c>
      <x:c r="K750" s="2" t="n">
        <x:f>IF(H750=1,F750-E750,"")</x:f>
        <x:v>3</x:v>
      </x:c>
      <x:c r="L750" s="2" t="n">
        <x:v>9</x:v>
      </x:c>
      <x:c r="M750" s="2" t="n">
        <x:v>4</x:v>
      </x:c>
      <x:c r="N750" s="20" t="n">
        <x:v>0.4</x:v>
      </x:c>
      <x:c r="O750" s="20" t="n">
        <x:v>0.8</x:v>
      </x:c>
      <x:c r="P750" s="20" t="n">
        <x:v>0.5</x:v>
      </x:c>
      <x:c r="Q750" s="2" t="n">
        <x:v>36</x:v>
      </x:c>
      <x:c r="R750" s="2" t="str">
        <x:v>ISFP</x:v>
      </x:c>
      <x:c r="S750" s="2" t="str">
        <x:v>西北</x:v>
      </x:c>
      <x:c r="T750" s="2" t="str">
        <x:v>个体经营或自由职业</x:v>
      </x:c>
    </x:row>
    <x:row r="751" ht="24" customHeight="1">
      <x:c r="A751" s="2" t="str">
        <x:v>D040_T04_C080_G050</x:v>
      </x:c>
      <x:c r="B751" s="2" t="str">
        <x:v>A0027</x:v>
      </x:c>
      <x:c r="C751" s="2" t="str">
        <x:v>inside</x:v>
      </x:c>
      <x:c r="D751" s="2" t="n">
        <x:v>4</x:v>
      </x:c>
      <x:c r="E751" s="2" t="n">
        <x:v>1</x:v>
      </x:c>
      <x:c r="F751" s="2" t="n">
        <x:v>5</x:v>
      </x:c>
      <x:c r="G751" s="2" t="str">
        <x:v>observed_post_release</x:v>
      </x:c>
      <x:c r="H751" s="2" t="n">
        <x:f>IF(AND(ISNUMBER(F751),F751&gt;=D751),1,0)</x:f>
        <x:v>1</x:v>
      </x:c>
      <x:c r="I751" s="2" t="n">
        <x:f>IF(AND(ISNUMBER(F751),F751&gt;D751),1,0)</x:f>
        <x:v>1</x:v>
      </x:c>
      <x:c r="J751" s="2" t="n">
        <x:f>IF(H751=1,F751-D751,"")</x:f>
        <x:v>1</x:v>
      </x:c>
      <x:c r="K751" s="2" t="n">
        <x:f>IF(H751=1,F751-E751,"")</x:f>
        <x:v>4</x:v>
      </x:c>
      <x:c r="L751" s="2" t="n">
        <x:v>9</x:v>
      </x:c>
      <x:c r="M751" s="2" t="n">
        <x:v>4</x:v>
      </x:c>
      <x:c r="N751" s="20" t="n">
        <x:v>0.4</x:v>
      </x:c>
      <x:c r="O751" s="20" t="n">
        <x:v>0.8</x:v>
      </x:c>
      <x:c r="P751" s="20" t="n">
        <x:v>0.5</x:v>
      </x:c>
      <x:c r="Q751" s="2" t="n">
        <x:v>25</x:v>
      </x:c>
      <x:c r="R751" s="2" t="str">
        <x:v>ESFP</x:v>
      </x:c>
      <x:c r="S751" s="2" t="str">
        <x:v>西北</x:v>
      </x:c>
      <x:c r="T751" s="2" t="str">
        <x:v>暂未就业或家庭照料</x:v>
      </x:c>
    </x:row>
    <x:row r="752" ht="24" customHeight="1">
      <x:c r="A752" s="2" t="str">
        <x:v>D040_T04_C080_G050</x:v>
      </x:c>
      <x:c r="B752" s="2" t="str">
        <x:v>A0029</x:v>
      </x:c>
      <x:c r="C752" s="2" t="str">
        <x:v>inside</x:v>
      </x:c>
      <x:c r="D752" s="2" t="n">
        <x:v>4</x:v>
      </x:c>
      <x:c r="E752" s="2" t="n">
        <x:v>1</x:v>
      </x:c>
      <x:c r="F752" s="2" t="n">
        <x:v>5</x:v>
      </x:c>
      <x:c r="G752" s="2" t="str">
        <x:v>observed_post_release</x:v>
      </x:c>
      <x:c r="H752" s="2" t="n">
        <x:f>IF(AND(ISNUMBER(F752),F752&gt;=D752),1,0)</x:f>
        <x:v>1</x:v>
      </x:c>
      <x:c r="I752" s="2" t="n">
        <x:f>IF(AND(ISNUMBER(F752),F752&gt;D752),1,0)</x:f>
        <x:v>1</x:v>
      </x:c>
      <x:c r="J752" s="2" t="n">
        <x:f>IF(H752=1,F752-D752,"")</x:f>
        <x:v>1</x:v>
      </x:c>
      <x:c r="K752" s="2" t="n">
        <x:f>IF(H752=1,F752-E752,"")</x:f>
        <x:v>4</x:v>
      </x:c>
      <x:c r="L752" s="2" t="n">
        <x:v>9</x:v>
      </x:c>
      <x:c r="M752" s="2" t="n">
        <x:v>4</x:v>
      </x:c>
      <x:c r="N752" s="20" t="n">
        <x:v>0.4</x:v>
      </x:c>
      <x:c r="O752" s="20" t="n">
        <x:v>0.8</x:v>
      </x:c>
      <x:c r="P752" s="20" t="n">
        <x:v>0.5</x:v>
      </x:c>
      <x:c r="Q752" s="2" t="n">
        <x:v>69</x:v>
      </x:c>
      <x:c r="R752" s="2" t="str">
        <x:v>ENTP</x:v>
      </x:c>
      <x:c r="S752" s="2" t="str">
        <x:v>华东</x:v>
      </x:c>
      <x:c r="T752" s="2" t="str">
        <x:v>退休人员</x:v>
      </x:c>
    </x:row>
    <x:row r="753" ht="24" customHeight="1">
      <x:c r="A753" s="2" t="str">
        <x:v>D040_T04_C080_G050</x:v>
      </x:c>
      <x:c r="B753" s="2" t="str">
        <x:v>A0030</x:v>
      </x:c>
      <x:c r="C753" s="2" t="str">
        <x:v>inside</x:v>
      </x:c>
      <x:c r="D753" s="2" t="n">
        <x:v>4</x:v>
      </x:c>
      <x:c r="E753" s="2" t="n">
        <x:v>1</x:v>
      </x:c>
      <x:c r="F753" s="2" t="n">
        <x:v>7</x:v>
      </x:c>
      <x:c r="G753" s="2" t="str">
        <x:v>observed_post_release</x:v>
      </x:c>
      <x:c r="H753" s="2" t="n">
        <x:f>IF(AND(ISNUMBER(F753),F753&gt;=D753),1,0)</x:f>
        <x:v>1</x:v>
      </x:c>
      <x:c r="I753" s="2" t="n">
        <x:f>IF(AND(ISNUMBER(F753),F753&gt;D753),1,0)</x:f>
        <x:v>1</x:v>
      </x:c>
      <x:c r="J753" s="2" t="n">
        <x:f>IF(H753=1,F753-D753,"")</x:f>
        <x:v>3</x:v>
      </x:c>
      <x:c r="K753" s="2" t="n">
        <x:f>IF(H753=1,F753-E753,"")</x:f>
        <x:v>6</x:v>
      </x:c>
      <x:c r="L753" s="2" t="n">
        <x:v>9</x:v>
      </x:c>
      <x:c r="M753" s="2" t="n">
        <x:v>4</x:v>
      </x:c>
      <x:c r="N753" s="20" t="n">
        <x:v>0.4</x:v>
      </x:c>
      <x:c r="O753" s="20" t="n">
        <x:v>0.8</x:v>
      </x:c>
      <x:c r="P753" s="20" t="n">
        <x:v>0.5</x:v>
      </x:c>
      <x:c r="Q753" s="2" t="n">
        <x:v>23</x:v>
      </x:c>
      <x:c r="R753" s="2" t="str">
        <x:v>ISFP</x:v>
      </x:c>
      <x:c r="S753" s="2" t="str">
        <x:v>华东</x:v>
      </x:c>
      <x:c r="T753" s="2" t="str">
        <x:v>在校学生</x:v>
      </x:c>
    </x:row>
    <x:row r="754" ht="24" customHeight="1">
      <x:c r="A754" s="2" t="str">
        <x:v>D040_T04_C080_G050</x:v>
      </x:c>
      <x:c r="B754" s="2" t="str">
        <x:v>A0032</x:v>
      </x:c>
      <x:c r="C754" s="2" t="str">
        <x:v>inside</x:v>
      </x:c>
      <x:c r="D754" s="2" t="n">
        <x:v>4</x:v>
      </x:c>
      <x:c r="E754" s="2" t="n">
        <x:v>1</x:v>
      </x:c>
      <x:c r="F754" s="2" t="n">
        <x:v>4</x:v>
      </x:c>
      <x:c r="G754" s="2" t="str">
        <x:v>observed_post_release</x:v>
      </x:c>
      <x:c r="H754" s="2" t="n">
        <x:f>IF(AND(ISNUMBER(F754),F754&gt;=D754),1,0)</x:f>
        <x:v>1</x:v>
      </x:c>
      <x:c r="I754" s="2" t="n">
        <x:f>IF(AND(ISNUMBER(F754),F754&gt;D754),1,0)</x:f>
        <x:v>0</x:v>
      </x:c>
      <x:c r="J754" s="2" t="n">
        <x:f>IF(H754=1,F754-D754,"")</x:f>
        <x:v>0</x:v>
      </x:c>
      <x:c r="K754" s="2" t="n">
        <x:f>IF(H754=1,F754-E754,"")</x:f>
        <x:v>3</x:v>
      </x:c>
      <x:c r="L754" s="2" t="n">
        <x:v>9</x:v>
      </x:c>
      <x:c r="M754" s="2" t="n">
        <x:v>4</x:v>
      </x:c>
      <x:c r="N754" s="20" t="n">
        <x:v>0.4</x:v>
      </x:c>
      <x:c r="O754" s="20" t="n">
        <x:v>0.8</x:v>
      </x:c>
      <x:c r="P754" s="20" t="n">
        <x:v>0.5</x:v>
      </x:c>
      <x:c r="Q754" s="2" t="n">
        <x:v>53</x:v>
      </x:c>
      <x:c r="R754" s="2" t="str">
        <x:v>INTP</x:v>
      </x:c>
      <x:c r="S754" s="2" t="str">
        <x:v>华北</x:v>
      </x:c>
      <x:c r="T754" s="2" t="str">
        <x:v>个体经营或自由职业</x:v>
      </x:c>
    </x:row>
    <x:row r="755" ht="24" customHeight="1">
      <x:c r="A755" s="2" t="str">
        <x:v>D040_T04_C080_G050</x:v>
      </x:c>
      <x:c r="B755" s="2" t="str">
        <x:v>A0033</x:v>
      </x:c>
      <x:c r="C755" s="2" t="str">
        <x:v>inside</x:v>
      </x:c>
      <x:c r="D755" s="2" t="n">
        <x:v>4</x:v>
      </x:c>
      <x:c r="E755" s="2" t="n">
        <x:v>1</x:v>
      </x:c>
      <x:c r="F755" s="2" t="n">
        <x:v>4</x:v>
      </x:c>
      <x:c r="G755" s="2" t="str">
        <x:v>observed_post_release</x:v>
      </x:c>
      <x:c r="H755" s="2" t="n">
        <x:f>IF(AND(ISNUMBER(F755),F755&gt;=D755),1,0)</x:f>
        <x:v>1</x:v>
      </x:c>
      <x:c r="I755" s="2" t="n">
        <x:f>IF(AND(ISNUMBER(F755),F755&gt;D755),1,0)</x:f>
        <x:v>0</x:v>
      </x:c>
      <x:c r="J755" s="2" t="n">
        <x:f>IF(H755=1,F755-D755,"")</x:f>
        <x:v>0</x:v>
      </x:c>
      <x:c r="K755" s="2" t="n">
        <x:f>IF(H755=1,F755-E755,"")</x:f>
        <x:v>3</x:v>
      </x:c>
      <x:c r="L755" s="2" t="n">
        <x:v>9</x:v>
      </x:c>
      <x:c r="M755" s="2" t="n">
        <x:v>4</x:v>
      </x:c>
      <x:c r="N755" s="20" t="n">
        <x:v>0.4</x:v>
      </x:c>
      <x:c r="O755" s="20" t="n">
        <x:v>0.8</x:v>
      </x:c>
      <x:c r="P755" s="20" t="n">
        <x:v>0.5</x:v>
      </x:c>
      <x:c r="Q755" s="2" t="n">
        <x:v>55</x:v>
      </x:c>
      <x:c r="R755" s="2" t="str">
        <x:v>ENFP</x:v>
      </x:c>
      <x:c r="S755" s="2" t="str">
        <x:v>华南</x:v>
      </x:c>
      <x:c r="T755" s="2" t="str">
        <x:v>个体经营或自由职业</x:v>
      </x:c>
    </x:row>
    <x:row r="756" ht="24" customHeight="1">
      <x:c r="A756" s="2" t="str">
        <x:v>D040_T04_C080_G050</x:v>
      </x:c>
      <x:c r="B756" s="2" t="str">
        <x:v>A0035</x:v>
      </x:c>
      <x:c r="C756" s="2" t="str">
        <x:v>inside</x:v>
      </x:c>
      <x:c r="D756" s="2" t="n">
        <x:v>4</x:v>
      </x:c>
      <x:c r="E756" s="2" t="n">
        <x:v>1</x:v>
      </x:c>
      <x:c r="F756" s="2" t="n">
        <x:v>4</x:v>
      </x:c>
      <x:c r="G756" s="2" t="str">
        <x:v>observed_post_release</x:v>
      </x:c>
      <x:c r="H756" s="2" t="n">
        <x:f>IF(AND(ISNUMBER(F756),F756&gt;=D756),1,0)</x:f>
        <x:v>1</x:v>
      </x:c>
      <x:c r="I756" s="2" t="n">
        <x:f>IF(AND(ISNUMBER(F756),F756&gt;D756),1,0)</x:f>
        <x:v>0</x:v>
      </x:c>
      <x:c r="J756" s="2" t="n">
        <x:f>IF(H756=1,F756-D756,"")</x:f>
        <x:v>0</x:v>
      </x:c>
      <x:c r="K756" s="2" t="n">
        <x:f>IF(H756=1,F756-E756,"")</x:f>
        <x:v>3</x:v>
      </x:c>
      <x:c r="L756" s="2" t="n">
        <x:v>9</x:v>
      </x:c>
      <x:c r="M756" s="2" t="n">
        <x:v>4</x:v>
      </x:c>
      <x:c r="N756" s="20" t="n">
        <x:v>0.4</x:v>
      </x:c>
      <x:c r="O756" s="20" t="n">
        <x:v>0.8</x:v>
      </x:c>
      <x:c r="P756" s="20" t="n">
        <x:v>0.5</x:v>
      </x:c>
      <x:c r="Q756" s="2" t="n">
        <x:v>42</x:v>
      </x:c>
      <x:c r="R756" s="2" t="str">
        <x:v>ISFJ</x:v>
      </x:c>
      <x:c r="S756" s="2" t="str">
        <x:v>华南</x:v>
      </x:c>
      <x:c r="T756" s="2" t="str">
        <x:v>专业技术岗位</x:v>
      </x:c>
    </x:row>
    <x:row r="757" ht="24" customHeight="1">
      <x:c r="A757" s="2" t="str">
        <x:v>D040_T04_C080_G050</x:v>
      </x:c>
      <x:c r="B757" s="2" t="str">
        <x:v>A0036</x:v>
      </x:c>
      <x:c r="C757" s="2" t="str">
        <x:v>inside</x:v>
      </x:c>
      <x:c r="D757" s="2" t="n">
        <x:v>4</x:v>
      </x:c>
      <x:c r="E757" s="2" t="n">
        <x:v>1</x:v>
      </x:c>
      <x:c r="F757" s="2" t="n">
        <x:v>6</x:v>
      </x:c>
      <x:c r="G757" s="2" t="str">
        <x:v>observed_post_release</x:v>
      </x:c>
      <x:c r="H757" s="2" t="n">
        <x:f>IF(AND(ISNUMBER(F757),F757&gt;=D757),1,0)</x:f>
        <x:v>1</x:v>
      </x:c>
      <x:c r="I757" s="2" t="n">
        <x:f>IF(AND(ISNUMBER(F757),F757&gt;D757),1,0)</x:f>
        <x:v>1</x:v>
      </x:c>
      <x:c r="J757" s="2" t="n">
        <x:f>IF(H757=1,F757-D757,"")</x:f>
        <x:v>2</x:v>
      </x:c>
      <x:c r="K757" s="2" t="n">
        <x:f>IF(H757=1,F757-E757,"")</x:f>
        <x:v>5</x:v>
      </x:c>
      <x:c r="L757" s="2" t="n">
        <x:v>9</x:v>
      </x:c>
      <x:c r="M757" s="2" t="n">
        <x:v>4</x:v>
      </x:c>
      <x:c r="N757" s="20" t="n">
        <x:v>0.4</x:v>
      </x:c>
      <x:c r="O757" s="20" t="n">
        <x:v>0.8</x:v>
      </x:c>
      <x:c r="P757" s="20" t="n">
        <x:v>0.5</x:v>
      </x:c>
      <x:c r="Q757" s="2" t="n">
        <x:v>43</x:v>
      </x:c>
      <x:c r="R757" s="2" t="str">
        <x:v>ISFJ</x:v>
      </x:c>
      <x:c r="S757" s="2" t="str">
        <x:v>华东</x:v>
      </x:c>
      <x:c r="T757" s="2" t="str">
        <x:v>生产运输或体力岗位</x:v>
      </x:c>
    </x:row>
    <x:row r="758" ht="24" customHeight="1">
      <x:c r="A758" s="2" t="str">
        <x:v>D040_T04_C080_G050</x:v>
      </x:c>
      <x:c r="B758" s="2" t="str">
        <x:v>A0037</x:v>
      </x:c>
      <x:c r="C758" s="2" t="str">
        <x:v>inside</x:v>
      </x:c>
      <x:c r="D758" s="2" t="n">
        <x:v>4</x:v>
      </x:c>
      <x:c r="E758" s="2" t="n">
        <x:v>1</x:v>
      </x:c>
      <x:c r="F758" s="2" t="n">
        <x:v>6</x:v>
      </x:c>
      <x:c r="G758" s="2" t="str">
        <x:v>observed_post_release</x:v>
      </x:c>
      <x:c r="H758" s="2" t="n">
        <x:f>IF(AND(ISNUMBER(F758),F758&gt;=D758),1,0)</x:f>
        <x:v>1</x:v>
      </x:c>
      <x:c r="I758" s="2" t="n">
        <x:f>IF(AND(ISNUMBER(F758),F758&gt;D758),1,0)</x:f>
        <x:v>1</x:v>
      </x:c>
      <x:c r="J758" s="2" t="n">
        <x:f>IF(H758=1,F758-D758,"")</x:f>
        <x:v>2</x:v>
      </x:c>
      <x:c r="K758" s="2" t="n">
        <x:f>IF(H758=1,F758-E758,"")</x:f>
        <x:v>5</x:v>
      </x:c>
      <x:c r="L758" s="2" t="n">
        <x:v>9</x:v>
      </x:c>
      <x:c r="M758" s="2" t="n">
        <x:v>4</x:v>
      </x:c>
      <x:c r="N758" s="20" t="n">
        <x:v>0.4</x:v>
      </x:c>
      <x:c r="O758" s="20" t="n">
        <x:v>0.8</x:v>
      </x:c>
      <x:c r="P758" s="20" t="n">
        <x:v>0.5</x:v>
      </x:c>
      <x:c r="Q758" s="2" t="n">
        <x:v>24</x:v>
      </x:c>
      <x:c r="R758" s="2" t="str">
        <x:v>ENTP</x:v>
      </x:c>
      <x:c r="S758" s="2" t="str">
        <x:v>华南</x:v>
      </x:c>
      <x:c r="T758" s="2" t="str">
        <x:v>在校学生</x:v>
      </x:c>
    </x:row>
    <x:row r="759" ht="24" customHeight="1">
      <x:c r="A759" s="2" t="str">
        <x:v>D040_T04_C080_G050</x:v>
      </x:c>
      <x:c r="B759" s="2" t="str">
        <x:v>A0038</x:v>
      </x:c>
      <x:c r="C759" s="2" t="str">
        <x:v>inside</x:v>
      </x:c>
      <x:c r="D759" s="2" t="n">
        <x:v>4</x:v>
      </x:c>
      <x:c r="E759" s="2" t="n">
        <x:v>1</x:v>
      </x:c>
      <x:c r="F759" s="2" t="n">
        <x:v>7</x:v>
      </x:c>
      <x:c r="G759" s="2" t="str">
        <x:v>observed_post_release</x:v>
      </x:c>
      <x:c r="H759" s="2" t="n">
        <x:f>IF(AND(ISNUMBER(F759),F759&gt;=D759),1,0)</x:f>
        <x:v>1</x:v>
      </x:c>
      <x:c r="I759" s="2" t="n">
        <x:f>IF(AND(ISNUMBER(F759),F759&gt;D759),1,0)</x:f>
        <x:v>1</x:v>
      </x:c>
      <x:c r="J759" s="2" t="n">
        <x:f>IF(H759=1,F759-D759,"")</x:f>
        <x:v>3</x:v>
      </x:c>
      <x:c r="K759" s="2" t="n">
        <x:f>IF(H759=1,F759-E759,"")</x:f>
        <x:v>6</x:v>
      </x:c>
      <x:c r="L759" s="2" t="n">
        <x:v>9</x:v>
      </x:c>
      <x:c r="M759" s="2" t="n">
        <x:v>4</x:v>
      </x:c>
      <x:c r="N759" s="20" t="n">
        <x:v>0.4</x:v>
      </x:c>
      <x:c r="O759" s="20" t="n">
        <x:v>0.8</x:v>
      </x:c>
      <x:c r="P759" s="20" t="n">
        <x:v>0.5</x:v>
      </x:c>
      <x:c r="Q759" s="2" t="n">
        <x:v>46</x:v>
      </x:c>
      <x:c r="R759" s="2" t="str">
        <x:v>ISTP</x:v>
      </x:c>
      <x:c r="S759" s="2" t="str">
        <x:v>华东</x:v>
      </x:c>
      <x:c r="T759" s="2" t="str">
        <x:v>行政或办公室岗位</x:v>
      </x:c>
    </x:row>
    <x:row r="760" ht="24" customHeight="1">
      <x:c r="A760" s="2" t="str">
        <x:v>D040_T04_C080_G050</x:v>
      </x:c>
      <x:c r="B760" s="2" t="str">
        <x:v>A0040</x:v>
      </x:c>
      <x:c r="C760" s="2" t="str">
        <x:v>inside</x:v>
      </x:c>
      <x:c r="D760" s="2" t="n">
        <x:v>4</x:v>
      </x:c>
      <x:c r="E760" s="2" t="n">
        <x:v>1</x:v>
      </x:c>
      <x:c r="F760" s="2" t="n">
        <x:v>4</x:v>
      </x:c>
      <x:c r="G760" s="2" t="str">
        <x:v>observed_post_release</x:v>
      </x:c>
      <x:c r="H760" s="2" t="n">
        <x:f>IF(AND(ISNUMBER(F760),F760&gt;=D760),1,0)</x:f>
        <x:v>1</x:v>
      </x:c>
      <x:c r="I760" s="2" t="n">
        <x:f>IF(AND(ISNUMBER(F760),F760&gt;D760),1,0)</x:f>
        <x:v>0</x:v>
      </x:c>
      <x:c r="J760" s="2" t="n">
        <x:f>IF(H760=1,F760-D760,"")</x:f>
        <x:v>0</x:v>
      </x:c>
      <x:c r="K760" s="2" t="n">
        <x:f>IF(H760=1,F760-E760,"")</x:f>
        <x:v>3</x:v>
      </x:c>
      <x:c r="L760" s="2" t="n">
        <x:v>9</x:v>
      </x:c>
      <x:c r="M760" s="2" t="n">
        <x:v>4</x:v>
      </x:c>
      <x:c r="N760" s="20" t="n">
        <x:v>0.4</x:v>
      </x:c>
      <x:c r="O760" s="20" t="n">
        <x:v>0.8</x:v>
      </x:c>
      <x:c r="P760" s="20" t="n">
        <x:v>0.5</x:v>
      </x:c>
      <x:c r="Q760" s="2" t="n">
        <x:v>48</x:v>
      </x:c>
      <x:c r="R760" s="2" t="str">
        <x:v>INFP</x:v>
      </x:c>
      <x:c r="S760" s="2" t="str">
        <x:v>西北</x:v>
      </x:c>
      <x:c r="T760" s="2" t="str">
        <x:v>个体经营或自由职业</x:v>
      </x:c>
    </x:row>
    <x:row r="761" ht="24" customHeight="1">
      <x:c r="A761" s="2" t="str">
        <x:v>D040_T04_C080_G050</x:v>
      </x:c>
      <x:c r="B761" s="2" t="str">
        <x:v>A0041</x:v>
      </x:c>
      <x:c r="C761" s="2" t="str">
        <x:v>inside</x:v>
      </x:c>
      <x:c r="D761" s="2" t="n">
        <x:v>4</x:v>
      </x:c>
      <x:c r="E761" s="2" t="n">
        <x:v>1</x:v>
      </x:c>
      <x:c r="F761" s="2" t="n">
        <x:v>6</x:v>
      </x:c>
      <x:c r="G761" s="2" t="str">
        <x:v>observed_post_release</x:v>
      </x:c>
      <x:c r="H761" s="2" t="n">
        <x:f>IF(AND(ISNUMBER(F761),F761&gt;=D761),1,0)</x:f>
        <x:v>1</x:v>
      </x:c>
      <x:c r="I761" s="2" t="n">
        <x:f>IF(AND(ISNUMBER(F761),F761&gt;D761),1,0)</x:f>
        <x:v>1</x:v>
      </x:c>
      <x:c r="J761" s="2" t="n">
        <x:f>IF(H761=1,F761-D761,"")</x:f>
        <x:v>2</x:v>
      </x:c>
      <x:c r="K761" s="2" t="n">
        <x:f>IF(H761=1,F761-E761,"")</x:f>
        <x:v>5</x:v>
      </x:c>
      <x:c r="L761" s="2" t="n">
        <x:v>9</x:v>
      </x:c>
      <x:c r="M761" s="2" t="n">
        <x:v>4</x:v>
      </x:c>
      <x:c r="N761" s="20" t="n">
        <x:v>0.4</x:v>
      </x:c>
      <x:c r="O761" s="20" t="n">
        <x:v>0.8</x:v>
      </x:c>
      <x:c r="P761" s="20" t="n">
        <x:v>0.5</x:v>
      </x:c>
      <x:c r="Q761" s="2" t="n">
        <x:v>62</x:v>
      </x:c>
      <x:c r="R761" s="2" t="str">
        <x:v>ISFJ</x:v>
      </x:c>
      <x:c r="S761" s="2" t="str">
        <x:v>西北</x:v>
      </x:c>
      <x:c r="T761" s="2" t="str">
        <x:v>个体经营或自由职业</x:v>
      </x:c>
    </x:row>
    <x:row r="762" ht="24" customHeight="1">
      <x:c r="A762" s="2" t="str">
        <x:v>D040_T04_C080_G050</x:v>
      </x:c>
      <x:c r="B762" s="2" t="str">
        <x:v>A0043</x:v>
      </x:c>
      <x:c r="C762" s="2" t="str">
        <x:v>inside</x:v>
      </x:c>
      <x:c r="D762" s="2" t="n">
        <x:v>4</x:v>
      </x:c>
      <x:c r="E762" s="2" t="n">
        <x:v>3</x:v>
      </x:c>
      <x:c r="F762" s="2" t="n">
        <x:v>4</x:v>
      </x:c>
      <x:c r="G762" s="2" t="str">
        <x:v>observed_post_release</x:v>
      </x:c>
      <x:c r="H762" s="2" t="n">
        <x:f>IF(AND(ISNUMBER(F762),F762&gt;=D762),1,0)</x:f>
        <x:v>1</x:v>
      </x:c>
      <x:c r="I762" s="2" t="n">
        <x:f>IF(AND(ISNUMBER(F762),F762&gt;D762),1,0)</x:f>
        <x:v>0</x:v>
      </x:c>
      <x:c r="J762" s="2" t="n">
        <x:f>IF(H762=1,F762-D762,"")</x:f>
        <x:v>0</x:v>
      </x:c>
      <x:c r="K762" s="2" t="n">
        <x:f>IF(H762=1,F762-E762,"")</x:f>
        <x:v>1</x:v>
      </x:c>
      <x:c r="L762" s="2" t="n">
        <x:v>7</x:v>
      </x:c>
      <x:c r="M762" s="2" t="n">
        <x:v>4</x:v>
      </x:c>
      <x:c r="N762" s="20" t="n">
        <x:v>0.4</x:v>
      </x:c>
      <x:c r="O762" s="20" t="n">
        <x:v>0.8</x:v>
      </x:c>
      <x:c r="P762" s="20" t="n">
        <x:v>0.5</x:v>
      </x:c>
      <x:c r="Q762" s="2" t="n">
        <x:v>35</x:v>
      </x:c>
      <x:c r="R762" s="2" t="str">
        <x:v>ESFJ</x:v>
      </x:c>
      <x:c r="S762" s="2" t="str">
        <x:v>西北</x:v>
      </x:c>
      <x:c r="T762" s="2" t="str">
        <x:v>暂未就业或家庭照料</x:v>
      </x:c>
    </x:row>
    <x:row r="763" ht="24" customHeight="1">
      <x:c r="A763" s="2" t="str">
        <x:v>D040_T04_C080_G050</x:v>
      </x:c>
      <x:c r="B763" s="2" t="str">
        <x:v>A0071</x:v>
      </x:c>
      <x:c r="C763" s="2" t="str">
        <x:v>inside</x:v>
      </x:c>
      <x:c r="D763" s="2" t="n">
        <x:v>4</x:v>
      </x:c>
      <x:c r="E763" s="2" t="n">
        <x:v>1</x:v>
      </x:c>
      <x:c r="F763" s="2" t="n">
        <x:v>5</x:v>
      </x:c>
      <x:c r="G763" s="2" t="str">
        <x:v>observed_post_release</x:v>
      </x:c>
      <x:c r="H763" s="2" t="n">
        <x:f>IF(AND(ISNUMBER(F763),F763&gt;=D763),1,0)</x:f>
        <x:v>1</x:v>
      </x:c>
      <x:c r="I763" s="2" t="n">
        <x:f>IF(AND(ISNUMBER(F763),F763&gt;D763),1,0)</x:f>
        <x:v>1</x:v>
      </x:c>
      <x:c r="J763" s="2" t="n">
        <x:f>IF(H763=1,F763-D763,"")</x:f>
        <x:v>1</x:v>
      </x:c>
      <x:c r="K763" s="2" t="n">
        <x:f>IF(H763=1,F763-E763,"")</x:f>
        <x:v>4</x:v>
      </x:c>
      <x:c r="L763" s="2" t="n">
        <x:v>9</x:v>
      </x:c>
      <x:c r="M763" s="2" t="n">
        <x:v>4</x:v>
      </x:c>
      <x:c r="N763" s="20" t="n">
        <x:v>0.4</x:v>
      </x:c>
      <x:c r="O763" s="20" t="n">
        <x:v>0.8</x:v>
      </x:c>
      <x:c r="P763" s="20" t="n">
        <x:v>0.5</x:v>
      </x:c>
      <x:c r="Q763" s="2" t="n">
        <x:v>33</x:v>
      </x:c>
      <x:c r="R763" s="2" t="str">
        <x:v>ISTJ</x:v>
      </x:c>
      <x:c r="S763" s="2" t="str">
        <x:v>华东</x:v>
      </x:c>
      <x:c r="T763" s="2" t="str">
        <x:v>商业服务岗位</x:v>
      </x:c>
    </x:row>
    <x:row r="764" ht="24" customHeight="1">
      <x:c r="A764" s="2" t="str">
        <x:v>D040_T04_C080_G050</x:v>
      </x:c>
      <x:c r="B764" s="2" t="str">
        <x:v>A0090</x:v>
      </x:c>
      <x:c r="C764" s="2" t="str">
        <x:v>inside</x:v>
      </x:c>
      <x:c r="D764" s="2" t="n">
        <x:v>4</x:v>
      </x:c>
      <x:c r="E764" s="2" t="n">
        <x:v>1</x:v>
      </x:c>
      <x:c r="F764" s="2"/>
      <x:c r="G764" s="2" t="str">
        <x:v>right_censored</x:v>
      </x:c>
      <x:c r="H764" s="2" t="n">
        <x:f>IF(AND(ISNUMBER(F764),F764&gt;=D764),1,0)</x:f>
        <x:v>0</x:v>
      </x:c>
      <x:c r="I764" s="2" t="n">
        <x:f>IF(AND(ISNUMBER(F764),F764&gt;D764),1,0)</x:f>
        <x:v>0</x:v>
      </x:c>
      <x:c r="J764" s="2" t="str">
        <x:f>IF(H764=1,F764-D764,"")</x:f>
      </x:c>
      <x:c r="K764" s="2" t="str">
        <x:f>IF(H764=1,F764-E764,"")</x:f>
      </x:c>
      <x:c r="L764" s="2" t="n">
        <x:v>9</x:v>
      </x:c>
      <x:c r="M764" s="2"/>
      <x:c r="N764" s="20" t="n">
        <x:v>0.4</x:v>
      </x:c>
      <x:c r="O764" s="20" t="n">
        <x:v>0.8</x:v>
      </x:c>
      <x:c r="P764" s="20" t="n">
        <x:v>0.5</x:v>
      </x:c>
      <x:c r="Q764" s="2" t="n">
        <x:v>46</x:v>
      </x:c>
      <x:c r="R764" s="2" t="str">
        <x:v>ENFJ</x:v>
      </x:c>
      <x:c r="S764" s="2" t="str">
        <x:v>西北</x:v>
      </x:c>
      <x:c r="T764" s="2" t="str">
        <x:v>个体经营或自由职业</x:v>
      </x:c>
    </x:row>
    <x:row r="765" ht="24" customHeight="1">
      <x:c r="A765" s="2" t="str">
        <x:v>D040_T04_C080_G050</x:v>
      </x:c>
      <x:c r="B765" s="2" t="str">
        <x:v>A0189</x:v>
      </x:c>
      <x:c r="C765" s="2" t="str">
        <x:v>inside</x:v>
      </x:c>
      <x:c r="D765" s="2" t="n">
        <x:v>4</x:v>
      </x:c>
      <x:c r="E765" s="2" t="n">
        <x:v>1</x:v>
      </x:c>
      <x:c r="F765" s="2" t="n">
        <x:v>8</x:v>
      </x:c>
      <x:c r="G765" s="2" t="str">
        <x:v>observed_post_release</x:v>
      </x:c>
      <x:c r="H765" s="2" t="n">
        <x:f>IF(AND(ISNUMBER(F765),F765&gt;=D765),1,0)</x:f>
        <x:v>1</x:v>
      </x:c>
      <x:c r="I765" s="2" t="n">
        <x:f>IF(AND(ISNUMBER(F765),F765&gt;D765),1,0)</x:f>
        <x:v>1</x:v>
      </x:c>
      <x:c r="J765" s="2" t="n">
        <x:f>IF(H765=1,F765-D765,"")</x:f>
        <x:v>4</x:v>
      </x:c>
      <x:c r="K765" s="2" t="n">
        <x:f>IF(H765=1,F765-E765,"")</x:f>
        <x:v>7</x:v>
      </x:c>
      <x:c r="L765" s="2" t="n">
        <x:v>9</x:v>
      </x:c>
      <x:c r="M765" s="2" t="n">
        <x:v>5</x:v>
      </x:c>
      <x:c r="N765" s="20" t="n">
        <x:v>0.4</x:v>
      </x:c>
      <x:c r="O765" s="20" t="n">
        <x:v>0.8</x:v>
      </x:c>
      <x:c r="P765" s="20" t="n">
        <x:v>0.5</x:v>
      </x:c>
      <x:c r="Q765" s="2" t="n">
        <x:v>45</x:v>
      </x:c>
      <x:c r="R765" s="2" t="str">
        <x:v>ISFJ</x:v>
      </x:c>
      <x:c r="S765" s="2" t="str">
        <x:v>西北</x:v>
      </x:c>
      <x:c r="T765" s="2" t="str">
        <x:v>生产运输或体力岗位</x:v>
      </x:c>
    </x:row>
    <x:row r="766" ht="24" customHeight="1">
      <x:c r="A766" s="2" t="str">
        <x:v>D040_T04_C080_G050</x:v>
      </x:c>
      <x:c r="B766" s="2" t="str">
        <x:v>A0206</x:v>
      </x:c>
      <x:c r="C766" s="2" t="str">
        <x:v>inside</x:v>
      </x:c>
      <x:c r="D766" s="2" t="n">
        <x:v>4</x:v>
      </x:c>
      <x:c r="E766" s="2" t="n">
        <x:v>1</x:v>
      </x:c>
      <x:c r="F766" s="2" t="n">
        <x:v>4</x:v>
      </x:c>
      <x:c r="G766" s="2" t="str">
        <x:v>observed_post_release</x:v>
      </x:c>
      <x:c r="H766" s="2" t="n">
        <x:f>IF(AND(ISNUMBER(F766),F766&gt;=D766),1,0)</x:f>
        <x:v>1</x:v>
      </x:c>
      <x:c r="I766" s="2" t="n">
        <x:f>IF(AND(ISNUMBER(F766),F766&gt;D766),1,0)</x:f>
        <x:v>0</x:v>
      </x:c>
      <x:c r="J766" s="2" t="n">
        <x:f>IF(H766=1,F766-D766,"")</x:f>
        <x:v>0</x:v>
      </x:c>
      <x:c r="K766" s="2" t="n">
        <x:f>IF(H766=1,F766-E766,"")</x:f>
        <x:v>3</x:v>
      </x:c>
      <x:c r="L766" s="2" t="n">
        <x:v>9</x:v>
      </x:c>
      <x:c r="M766" s="2" t="n">
        <x:v>4</x:v>
      </x:c>
      <x:c r="N766" s="20" t="n">
        <x:v>0.4</x:v>
      </x:c>
      <x:c r="O766" s="20" t="n">
        <x:v>0.8</x:v>
      </x:c>
      <x:c r="P766" s="20" t="n">
        <x:v>0.5</x:v>
      </x:c>
      <x:c r="Q766" s="2" t="n">
        <x:v>21</x:v>
      </x:c>
      <x:c r="R766" s="2" t="str">
        <x:v>ESTP</x:v>
      </x:c>
      <x:c r="S766" s="2" t="str">
        <x:v>西北</x:v>
      </x:c>
      <x:c r="T766" s="2" t="str">
        <x:v>暂未就业或家庭照料</x:v>
      </x:c>
    </x:row>
    <x:row r="767" ht="24" customHeight="1">
      <x:c r="A767" s="2" t="str">
        <x:v>D040_T04_C080_G075</x:v>
      </x:c>
      <x:c r="B767" s="2" t="str">
        <x:v>A0001</x:v>
      </x:c>
      <x:c r="C767" s="2" t="str">
        <x:v>inside</x:v>
      </x:c>
      <x:c r="D767" s="2" t="n">
        <x:v>4</x:v>
      </x:c>
      <x:c r="E767" s="2" t="n">
        <x:v>1</x:v>
      </x:c>
      <x:c r="F767" s="2" t="n">
        <x:v>4</x:v>
      </x:c>
      <x:c r="G767" s="2" t="str">
        <x:v>observed_post_release</x:v>
      </x:c>
      <x:c r="H767" s="2" t="n">
        <x:f>IF(AND(ISNUMBER(F767),F767&gt;=D767),1,0)</x:f>
        <x:v>1</x:v>
      </x:c>
      <x:c r="I767" s="2" t="n">
        <x:f>IF(AND(ISNUMBER(F767),F767&gt;D767),1,0)</x:f>
        <x:v>0</x:v>
      </x:c>
      <x:c r="J767" s="2" t="n">
        <x:f>IF(H767=1,F767-D767,"")</x:f>
        <x:v>0</x:v>
      </x:c>
      <x:c r="K767" s="2" t="n">
        <x:f>IF(H767=1,F767-E767,"")</x:f>
        <x:v>3</x:v>
      </x:c>
      <x:c r="L767" s="2" t="n">
        <x:v>9</x:v>
      </x:c>
      <x:c r="M767" s="2" t="n">
        <x:v>4</x:v>
      </x:c>
      <x:c r="N767" s="20" t="n">
        <x:v>0.4</x:v>
      </x:c>
      <x:c r="O767" s="20" t="n">
        <x:v>0.8</x:v>
      </x:c>
      <x:c r="P767" s="20" t="n">
        <x:v>0.75</x:v>
      </x:c>
      <x:c r="Q767" s="2" t="n">
        <x:v>22</x:v>
      </x:c>
      <x:c r="R767" s="2" t="str">
        <x:v>ESTJ</x:v>
      </x:c>
      <x:c r="S767" s="2" t="str">
        <x:v>华南</x:v>
      </x:c>
      <x:c r="T767" s="2" t="str">
        <x:v>在校学生</x:v>
      </x:c>
    </x:row>
    <x:row r="768" ht="24" customHeight="1">
      <x:c r="A768" s="2" t="str">
        <x:v>D040_T04_C080_G075</x:v>
      </x:c>
      <x:c r="B768" s="2" t="str">
        <x:v>A0005</x:v>
      </x:c>
      <x:c r="C768" s="2" t="str">
        <x:v>inside</x:v>
      </x:c>
      <x:c r="D768" s="2" t="n">
        <x:v>4</x:v>
      </x:c>
      <x:c r="E768" s="2" t="n">
        <x:v>1</x:v>
      </x:c>
      <x:c r="F768" s="2" t="n">
        <x:v>4</x:v>
      </x:c>
      <x:c r="G768" s="2" t="str">
        <x:v>observed_post_release</x:v>
      </x:c>
      <x:c r="H768" s="2" t="n">
        <x:f>IF(AND(ISNUMBER(F768),F768&gt;=D768),1,0)</x:f>
        <x:v>1</x:v>
      </x:c>
      <x:c r="I768" s="2" t="n">
        <x:f>IF(AND(ISNUMBER(F768),F768&gt;D768),1,0)</x:f>
        <x:v>0</x:v>
      </x:c>
      <x:c r="J768" s="2" t="n">
        <x:f>IF(H768=1,F768-D768,"")</x:f>
        <x:v>0</x:v>
      </x:c>
      <x:c r="K768" s="2" t="n">
        <x:f>IF(H768=1,F768-E768,"")</x:f>
        <x:v>3</x:v>
      </x:c>
      <x:c r="L768" s="2" t="n">
        <x:v>9</x:v>
      </x:c>
      <x:c r="M768" s="2" t="n">
        <x:v>4</x:v>
      </x:c>
      <x:c r="N768" s="20" t="n">
        <x:v>0.4</x:v>
      </x:c>
      <x:c r="O768" s="20" t="n">
        <x:v>0.8</x:v>
      </x:c>
      <x:c r="P768" s="20" t="n">
        <x:v>0.75</x:v>
      </x:c>
      <x:c r="Q768" s="2" t="n">
        <x:v>51</x:v>
      </x:c>
      <x:c r="R768" s="2" t="str">
        <x:v>ISTP</x:v>
      </x:c>
      <x:c r="S768" s="2" t="str">
        <x:v>华南</x:v>
      </x:c>
      <x:c r="T768" s="2" t="str">
        <x:v>生产运输或体力岗位</x:v>
      </x:c>
    </x:row>
    <x:row r="769" ht="24" customHeight="1">
      <x:c r="A769" s="2" t="str">
        <x:v>D040_T04_C080_G075</x:v>
      </x:c>
      <x:c r="B769" s="2" t="str">
        <x:v>A0010</x:v>
      </x:c>
      <x:c r="C769" s="2" t="str">
        <x:v>inside</x:v>
      </x:c>
      <x:c r="D769" s="2" t="n">
        <x:v>4</x:v>
      </x:c>
      <x:c r="E769" s="2" t="n">
        <x:v>1</x:v>
      </x:c>
      <x:c r="F769" s="2" t="n">
        <x:v>5</x:v>
      </x:c>
      <x:c r="G769" s="2" t="str">
        <x:v>observed_post_release</x:v>
      </x:c>
      <x:c r="H769" s="2" t="n">
        <x:f>IF(AND(ISNUMBER(F769),F769&gt;=D769),1,0)</x:f>
        <x:v>1</x:v>
      </x:c>
      <x:c r="I769" s="2" t="n">
        <x:f>IF(AND(ISNUMBER(F769),F769&gt;D769),1,0)</x:f>
        <x:v>1</x:v>
      </x:c>
      <x:c r="J769" s="2" t="n">
        <x:f>IF(H769=1,F769-D769,"")</x:f>
        <x:v>1</x:v>
      </x:c>
      <x:c r="K769" s="2" t="n">
        <x:f>IF(H769=1,F769-E769,"")</x:f>
        <x:v>4</x:v>
      </x:c>
      <x:c r="L769" s="2" t="n">
        <x:v>9</x:v>
      </x:c>
      <x:c r="M769" s="2" t="n">
        <x:v>5</x:v>
      </x:c>
      <x:c r="N769" s="20" t="n">
        <x:v>0.4</x:v>
      </x:c>
      <x:c r="O769" s="20" t="n">
        <x:v>0.8</x:v>
      </x:c>
      <x:c r="P769" s="20" t="n">
        <x:v>0.75</x:v>
      </x:c>
      <x:c r="Q769" s="2" t="n">
        <x:v>23</x:v>
      </x:c>
      <x:c r="R769" s="2" t="str">
        <x:v>INFP</x:v>
      </x:c>
      <x:c r="S769" s="2" t="str">
        <x:v>华东</x:v>
      </x:c>
      <x:c r="T769" s="2" t="str">
        <x:v>在校学生</x:v>
      </x:c>
    </x:row>
    <x:row r="770" ht="24" customHeight="1">
      <x:c r="A770" s="2" t="str">
        <x:v>D040_T04_C080_G075</x:v>
      </x:c>
      <x:c r="B770" s="2" t="str">
        <x:v>A0011</x:v>
      </x:c>
      <x:c r="C770" s="2" t="str">
        <x:v>inside</x:v>
      </x:c>
      <x:c r="D770" s="2" t="n">
        <x:v>4</x:v>
      </x:c>
      <x:c r="E770" s="2" t="n">
        <x:v>1</x:v>
      </x:c>
      <x:c r="F770" s="2" t="n">
        <x:v>5</x:v>
      </x:c>
      <x:c r="G770" s="2" t="str">
        <x:v>observed_post_release</x:v>
      </x:c>
      <x:c r="H770" s="2" t="n">
        <x:f>IF(AND(ISNUMBER(F770),F770&gt;=D770),1,0)</x:f>
        <x:v>1</x:v>
      </x:c>
      <x:c r="I770" s="2" t="n">
        <x:f>IF(AND(ISNUMBER(F770),F770&gt;D770),1,0)</x:f>
        <x:v>1</x:v>
      </x:c>
      <x:c r="J770" s="2" t="n">
        <x:f>IF(H770=1,F770-D770,"")</x:f>
        <x:v>1</x:v>
      </x:c>
      <x:c r="K770" s="2" t="n">
        <x:f>IF(H770=1,F770-E770,"")</x:f>
        <x:v>4</x:v>
      </x:c>
      <x:c r="L770" s="2" t="n">
        <x:v>9</x:v>
      </x:c>
      <x:c r="M770" s="2" t="n">
        <x:v>5</x:v>
      </x:c>
      <x:c r="N770" s="20" t="n">
        <x:v>0.4</x:v>
      </x:c>
      <x:c r="O770" s="20" t="n">
        <x:v>0.8</x:v>
      </x:c>
      <x:c r="P770" s="20" t="n">
        <x:v>0.75</x:v>
      </x:c>
      <x:c r="Q770" s="2" t="n">
        <x:v>42</x:v>
      </x:c>
      <x:c r="R770" s="2" t="str">
        <x:v>ENFJ</x:v>
      </x:c>
      <x:c r="S770" s="2" t="str">
        <x:v>西南</x:v>
      </x:c>
      <x:c r="T770" s="2" t="str">
        <x:v>行政或办公室岗位</x:v>
      </x:c>
    </x:row>
    <x:row r="771" ht="24" customHeight="1">
      <x:c r="A771" s="2" t="str">
        <x:v>D040_T04_C080_G075</x:v>
      </x:c>
      <x:c r="B771" s="2" t="str">
        <x:v>A0012</x:v>
      </x:c>
      <x:c r="C771" s="2" t="str">
        <x:v>inside</x:v>
      </x:c>
      <x:c r="D771" s="2" t="n">
        <x:v>4</x:v>
      </x:c>
      <x:c r="E771" s="2" t="n">
        <x:v>1</x:v>
      </x:c>
      <x:c r="F771" s="2" t="n">
        <x:v>4</x:v>
      </x:c>
      <x:c r="G771" s="2" t="str">
        <x:v>observed_post_release</x:v>
      </x:c>
      <x:c r="H771" s="2" t="n">
        <x:f>IF(AND(ISNUMBER(F771),F771&gt;=D771),1,0)</x:f>
        <x:v>1</x:v>
      </x:c>
      <x:c r="I771" s="2" t="n">
        <x:f>IF(AND(ISNUMBER(F771),F771&gt;D771),1,0)</x:f>
        <x:v>0</x:v>
      </x:c>
      <x:c r="J771" s="2" t="n">
        <x:f>IF(H771=1,F771-D771,"")</x:f>
        <x:v>0</x:v>
      </x:c>
      <x:c r="K771" s="2" t="n">
        <x:f>IF(H771=1,F771-E771,"")</x:f>
        <x:v>3</x:v>
      </x:c>
      <x:c r="L771" s="2" t="n">
        <x:v>9</x:v>
      </x:c>
      <x:c r="M771" s="2" t="n">
        <x:v>4</x:v>
      </x:c>
      <x:c r="N771" s="20" t="n">
        <x:v>0.4</x:v>
      </x:c>
      <x:c r="O771" s="20" t="n">
        <x:v>0.8</x:v>
      </x:c>
      <x:c r="P771" s="20" t="n">
        <x:v>0.75</x:v>
      </x:c>
      <x:c r="Q771" s="2" t="n">
        <x:v>38</x:v>
      </x:c>
      <x:c r="R771" s="2" t="str">
        <x:v>ESFP</x:v>
      </x:c>
      <x:c r="S771" s="2" t="str">
        <x:v>华中</x:v>
      </x:c>
      <x:c r="T771" s="2" t="str">
        <x:v>行政或办公室岗位</x:v>
      </x:c>
    </x:row>
    <x:row r="772" ht="24" customHeight="1">
      <x:c r="A772" s="2" t="str">
        <x:v>D040_T04_C080_G075</x:v>
      </x:c>
      <x:c r="B772" s="2" t="str">
        <x:v>A0017</x:v>
      </x:c>
      <x:c r="C772" s="2" t="str">
        <x:v>inside</x:v>
      </x:c>
      <x:c r="D772" s="2" t="n">
        <x:v>4</x:v>
      </x:c>
      <x:c r="E772" s="2" t="n">
        <x:v>1</x:v>
      </x:c>
      <x:c r="F772" s="2" t="n">
        <x:v>5</x:v>
      </x:c>
      <x:c r="G772" s="2" t="str">
        <x:v>observed_post_release</x:v>
      </x:c>
      <x:c r="H772" s="2" t="n">
        <x:f>IF(AND(ISNUMBER(F772),F772&gt;=D772),1,0)</x:f>
        <x:v>1</x:v>
      </x:c>
      <x:c r="I772" s="2" t="n">
        <x:f>IF(AND(ISNUMBER(F772),F772&gt;D772),1,0)</x:f>
        <x:v>1</x:v>
      </x:c>
      <x:c r="J772" s="2" t="n">
        <x:f>IF(H772=1,F772-D772,"")</x:f>
        <x:v>1</x:v>
      </x:c>
      <x:c r="K772" s="2" t="n">
        <x:f>IF(H772=1,F772-E772,"")</x:f>
        <x:v>4</x:v>
      </x:c>
      <x:c r="L772" s="2" t="n">
        <x:v>9</x:v>
      </x:c>
      <x:c r="M772" s="2" t="n">
        <x:v>5</x:v>
      </x:c>
      <x:c r="N772" s="20" t="n">
        <x:v>0.4</x:v>
      </x:c>
      <x:c r="O772" s="20" t="n">
        <x:v>0.8</x:v>
      </x:c>
      <x:c r="P772" s="20" t="n">
        <x:v>0.75</x:v>
      </x:c>
      <x:c r="Q772" s="2" t="n">
        <x:v>30</x:v>
      </x:c>
      <x:c r="R772" s="2" t="str">
        <x:v>ISTJ</x:v>
      </x:c>
      <x:c r="S772" s="2" t="str">
        <x:v>华东</x:v>
      </x:c>
      <x:c r="T772" s="2" t="str">
        <x:v>商业服务岗位</x:v>
      </x:c>
    </x:row>
    <x:row r="773" ht="24" customHeight="1">
      <x:c r="A773" s="2" t="str">
        <x:v>D040_T04_C080_G075</x:v>
      </x:c>
      <x:c r="B773" s="2" t="str">
        <x:v>A0018</x:v>
      </x:c>
      <x:c r="C773" s="2" t="str">
        <x:v>inside</x:v>
      </x:c>
      <x:c r="D773" s="2" t="n">
        <x:v>4</x:v>
      </x:c>
      <x:c r="E773" s="2" t="n">
        <x:v>1</x:v>
      </x:c>
      <x:c r="F773" s="2" t="n">
        <x:v>4</x:v>
      </x:c>
      <x:c r="G773" s="2" t="str">
        <x:v>observed_post_release</x:v>
      </x:c>
      <x:c r="H773" s="2" t="n">
        <x:f>IF(AND(ISNUMBER(F773),F773&gt;=D773),1,0)</x:f>
        <x:v>1</x:v>
      </x:c>
      <x:c r="I773" s="2" t="n">
        <x:f>IF(AND(ISNUMBER(F773),F773&gt;D773),1,0)</x:f>
        <x:v>0</x:v>
      </x:c>
      <x:c r="J773" s="2" t="n">
        <x:f>IF(H773=1,F773-D773,"")</x:f>
        <x:v>0</x:v>
      </x:c>
      <x:c r="K773" s="2" t="n">
        <x:f>IF(H773=1,F773-E773,"")</x:f>
        <x:v>3</x:v>
      </x:c>
      <x:c r="L773" s="2" t="n">
        <x:v>9</x:v>
      </x:c>
      <x:c r="M773" s="2" t="n">
        <x:v>4</x:v>
      </x:c>
      <x:c r="N773" s="20" t="n">
        <x:v>0.4</x:v>
      </x:c>
      <x:c r="O773" s="20" t="n">
        <x:v>0.8</x:v>
      </x:c>
      <x:c r="P773" s="20" t="n">
        <x:v>0.75</x:v>
      </x:c>
      <x:c r="Q773" s="2" t="n">
        <x:v>60</x:v>
      </x:c>
      <x:c r="R773" s="2" t="str">
        <x:v>INTJ</x:v>
      </x:c>
      <x:c r="S773" s="2" t="str">
        <x:v>华南</x:v>
      </x:c>
      <x:c r="T773" s="2" t="str">
        <x:v>专业技术岗位</x:v>
      </x:c>
    </x:row>
    <x:row r="774" ht="24" customHeight="1">
      <x:c r="A774" s="2" t="str">
        <x:v>D040_T04_C080_G075</x:v>
      </x:c>
      <x:c r="B774" s="2" t="str">
        <x:v>A0019</x:v>
      </x:c>
      <x:c r="C774" s="2" t="str">
        <x:v>inside</x:v>
      </x:c>
      <x:c r="D774" s="2" t="n">
        <x:v>4</x:v>
      </x:c>
      <x:c r="E774" s="2" t="n">
        <x:v>1</x:v>
      </x:c>
      <x:c r="F774" s="2" t="n">
        <x:v>4</x:v>
      </x:c>
      <x:c r="G774" s="2" t="str">
        <x:v>observed_post_release</x:v>
      </x:c>
      <x:c r="H774" s="2" t="n">
        <x:f>IF(AND(ISNUMBER(F774),F774&gt;=D774),1,0)</x:f>
        <x:v>1</x:v>
      </x:c>
      <x:c r="I774" s="2" t="n">
        <x:f>IF(AND(ISNUMBER(F774),F774&gt;D774),1,0)</x:f>
        <x:v>0</x:v>
      </x:c>
      <x:c r="J774" s="2" t="n">
        <x:f>IF(H774=1,F774-D774,"")</x:f>
        <x:v>0</x:v>
      </x:c>
      <x:c r="K774" s="2" t="n">
        <x:f>IF(H774=1,F774-E774,"")</x:f>
        <x:v>3</x:v>
      </x:c>
      <x:c r="L774" s="2" t="n">
        <x:v>9</x:v>
      </x:c>
      <x:c r="M774" s="2" t="n">
        <x:v>4</x:v>
      </x:c>
      <x:c r="N774" s="20" t="n">
        <x:v>0.4</x:v>
      </x:c>
      <x:c r="O774" s="20" t="n">
        <x:v>0.8</x:v>
      </x:c>
      <x:c r="P774" s="20" t="n">
        <x:v>0.75</x:v>
      </x:c>
      <x:c r="Q774" s="2" t="n">
        <x:v>19</x:v>
      </x:c>
      <x:c r="R774" s="2" t="str">
        <x:v>INTJ</x:v>
      </x:c>
      <x:c r="S774" s="2" t="str">
        <x:v>西南</x:v>
      </x:c>
      <x:c r="T774" s="2" t="str">
        <x:v>行政或办公室岗位</x:v>
      </x:c>
    </x:row>
    <x:row r="775" ht="24" customHeight="1">
      <x:c r="A775" s="2" t="str">
        <x:v>D040_T04_C080_G075</x:v>
      </x:c>
      <x:c r="B775" s="2" t="str">
        <x:v>A0022</x:v>
      </x:c>
      <x:c r="C775" s="2" t="str">
        <x:v>inside</x:v>
      </x:c>
      <x:c r="D775" s="2" t="n">
        <x:v>4</x:v>
      </x:c>
      <x:c r="E775" s="2" t="n">
        <x:v>1</x:v>
      </x:c>
      <x:c r="F775" s="2" t="n">
        <x:v>4</x:v>
      </x:c>
      <x:c r="G775" s="2" t="str">
        <x:v>observed_post_release</x:v>
      </x:c>
      <x:c r="H775" s="2" t="n">
        <x:f>IF(AND(ISNUMBER(F775),F775&gt;=D775),1,0)</x:f>
        <x:v>1</x:v>
      </x:c>
      <x:c r="I775" s="2" t="n">
        <x:f>IF(AND(ISNUMBER(F775),F775&gt;D775),1,0)</x:f>
        <x:v>0</x:v>
      </x:c>
      <x:c r="J775" s="2" t="n">
        <x:f>IF(H775=1,F775-D775,"")</x:f>
        <x:v>0</x:v>
      </x:c>
      <x:c r="K775" s="2" t="n">
        <x:f>IF(H775=1,F775-E775,"")</x:f>
        <x:v>3</x:v>
      </x:c>
      <x:c r="L775" s="2" t="n">
        <x:v>9</x:v>
      </x:c>
      <x:c r="M775" s="2" t="n">
        <x:v>4</x:v>
      </x:c>
      <x:c r="N775" s="20" t="n">
        <x:v>0.4</x:v>
      </x:c>
      <x:c r="O775" s="20" t="n">
        <x:v>0.8</x:v>
      </x:c>
      <x:c r="P775" s="20" t="n">
        <x:v>0.75</x:v>
      </x:c>
      <x:c r="Q775" s="2" t="n">
        <x:v>51</x:v>
      </x:c>
      <x:c r="R775" s="2" t="str">
        <x:v>INFJ</x:v>
      </x:c>
      <x:c r="S775" s="2" t="str">
        <x:v>西南</x:v>
      </x:c>
      <x:c r="T775" s="2" t="str">
        <x:v>个体经营或自由职业</x:v>
      </x:c>
    </x:row>
    <x:row r="776" ht="24" customHeight="1">
      <x:c r="A776" s="2" t="str">
        <x:v>D040_T04_C080_G075</x:v>
      </x:c>
      <x:c r="B776" s="2" t="str">
        <x:v>A0023</x:v>
      </x:c>
      <x:c r="C776" s="2" t="str">
        <x:v>inside</x:v>
      </x:c>
      <x:c r="D776" s="2" t="n">
        <x:v>4</x:v>
      </x:c>
      <x:c r="E776" s="2" t="n">
        <x:v>1</x:v>
      </x:c>
      <x:c r="F776" s="2" t="n">
        <x:v>4</x:v>
      </x:c>
      <x:c r="G776" s="2" t="str">
        <x:v>observed_post_release</x:v>
      </x:c>
      <x:c r="H776" s="2" t="n">
        <x:f>IF(AND(ISNUMBER(F776),F776&gt;=D776),1,0)</x:f>
        <x:v>1</x:v>
      </x:c>
      <x:c r="I776" s="2" t="n">
        <x:f>IF(AND(ISNUMBER(F776),F776&gt;D776),1,0)</x:f>
        <x:v>0</x:v>
      </x:c>
      <x:c r="J776" s="2" t="n">
        <x:f>IF(H776=1,F776-D776,"")</x:f>
        <x:v>0</x:v>
      </x:c>
      <x:c r="K776" s="2" t="n">
        <x:f>IF(H776=1,F776-E776,"")</x:f>
        <x:v>3</x:v>
      </x:c>
      <x:c r="L776" s="2" t="n">
        <x:v>9</x:v>
      </x:c>
      <x:c r="M776" s="2" t="n">
        <x:v>4</x:v>
      </x:c>
      <x:c r="N776" s="20" t="n">
        <x:v>0.4</x:v>
      </x:c>
      <x:c r="O776" s="20" t="n">
        <x:v>0.8</x:v>
      </x:c>
      <x:c r="P776" s="20" t="n">
        <x:v>0.75</x:v>
      </x:c>
      <x:c r="Q776" s="2" t="n">
        <x:v>56</x:v>
      </x:c>
      <x:c r="R776" s="2" t="str">
        <x:v>INFP</x:v>
      </x:c>
      <x:c r="S776" s="2" t="str">
        <x:v>东北</x:v>
      </x:c>
      <x:c r="T776" s="2" t="str">
        <x:v>行政或办公室岗位</x:v>
      </x:c>
    </x:row>
    <x:row r="777" ht="24" customHeight="1">
      <x:c r="A777" s="2" t="str">
        <x:v>D040_T04_C080_G075</x:v>
      </x:c>
      <x:c r="B777" s="2" t="str">
        <x:v>A0024</x:v>
      </x:c>
      <x:c r="C777" s="2" t="str">
        <x:v>inside</x:v>
      </x:c>
      <x:c r="D777" s="2" t="n">
        <x:v>4</x:v>
      </x:c>
      <x:c r="E777" s="2" t="n">
        <x:v>1</x:v>
      </x:c>
      <x:c r="F777" s="2" t="n">
        <x:v>5</x:v>
      </x:c>
      <x:c r="G777" s="2" t="str">
        <x:v>observed_post_release</x:v>
      </x:c>
      <x:c r="H777" s="2" t="n">
        <x:f>IF(AND(ISNUMBER(F777),F777&gt;=D777),1,0)</x:f>
        <x:v>1</x:v>
      </x:c>
      <x:c r="I777" s="2" t="n">
        <x:f>IF(AND(ISNUMBER(F777),F777&gt;D777),1,0)</x:f>
        <x:v>1</x:v>
      </x:c>
      <x:c r="J777" s="2" t="n">
        <x:f>IF(H777=1,F777-D777,"")</x:f>
        <x:v>1</x:v>
      </x:c>
      <x:c r="K777" s="2" t="n">
        <x:f>IF(H777=1,F777-E777,"")</x:f>
        <x:v>4</x:v>
      </x:c>
      <x:c r="L777" s="2" t="n">
        <x:v>9</x:v>
      </x:c>
      <x:c r="M777" s="2" t="n">
        <x:v>4</x:v>
      </x:c>
      <x:c r="N777" s="20" t="n">
        <x:v>0.4</x:v>
      </x:c>
      <x:c r="O777" s="20" t="n">
        <x:v>0.8</x:v>
      </x:c>
      <x:c r="P777" s="20" t="n">
        <x:v>0.75</x:v>
      </x:c>
      <x:c r="Q777" s="2" t="n">
        <x:v>31</x:v>
      </x:c>
      <x:c r="R777" s="2" t="str">
        <x:v>ESTP</x:v>
      </x:c>
      <x:c r="S777" s="2" t="str">
        <x:v>华北</x:v>
      </x:c>
      <x:c r="T777" s="2" t="str">
        <x:v>商业服务岗位</x:v>
      </x:c>
    </x:row>
    <x:row r="778" ht="24" customHeight="1">
      <x:c r="A778" s="2" t="str">
        <x:v>D040_T04_C080_G075</x:v>
      </x:c>
      <x:c r="B778" s="2" t="str">
        <x:v>A0025</x:v>
      </x:c>
      <x:c r="C778" s="2" t="str">
        <x:v>inside</x:v>
      </x:c>
      <x:c r="D778" s="2" t="n">
        <x:v>4</x:v>
      </x:c>
      <x:c r="E778" s="2" t="n">
        <x:v>1</x:v>
      </x:c>
      <x:c r="F778" s="2" t="n">
        <x:v>4</x:v>
      </x:c>
      <x:c r="G778" s="2" t="str">
        <x:v>observed_post_release</x:v>
      </x:c>
      <x:c r="H778" s="2" t="n">
        <x:f>IF(AND(ISNUMBER(F778),F778&gt;=D778),1,0)</x:f>
        <x:v>1</x:v>
      </x:c>
      <x:c r="I778" s="2" t="n">
        <x:f>IF(AND(ISNUMBER(F778),F778&gt;D778),1,0)</x:f>
        <x:v>0</x:v>
      </x:c>
      <x:c r="J778" s="2" t="n">
        <x:f>IF(H778=1,F778-D778,"")</x:f>
        <x:v>0</x:v>
      </x:c>
      <x:c r="K778" s="2" t="n">
        <x:f>IF(H778=1,F778-E778,"")</x:f>
        <x:v>3</x:v>
      </x:c>
      <x:c r="L778" s="2" t="n">
        <x:v>9</x:v>
      </x:c>
      <x:c r="M778" s="2" t="n">
        <x:v>4</x:v>
      </x:c>
      <x:c r="N778" s="20" t="n">
        <x:v>0.4</x:v>
      </x:c>
      <x:c r="O778" s="20" t="n">
        <x:v>0.8</x:v>
      </x:c>
      <x:c r="P778" s="20" t="n">
        <x:v>0.75</x:v>
      </x:c>
      <x:c r="Q778" s="2" t="n">
        <x:v>23</x:v>
      </x:c>
      <x:c r="R778" s="2" t="str">
        <x:v>ISTP</x:v>
      </x:c>
      <x:c r="S778" s="2" t="str">
        <x:v>华南</x:v>
      </x:c>
      <x:c r="T778" s="2" t="str">
        <x:v>行政或办公室岗位</x:v>
      </x:c>
    </x:row>
    <x:row r="779" ht="24" customHeight="1">
      <x:c r="A779" s="2" t="str">
        <x:v>D040_T04_C080_G075</x:v>
      </x:c>
      <x:c r="B779" s="2" t="str">
        <x:v>A0027</x:v>
      </x:c>
      <x:c r="C779" s="2" t="str">
        <x:v>inside</x:v>
      </x:c>
      <x:c r="D779" s="2" t="n">
        <x:v>4</x:v>
      </x:c>
      <x:c r="E779" s="2" t="n">
        <x:v>1</x:v>
      </x:c>
      <x:c r="F779" s="2" t="n">
        <x:v>4</x:v>
      </x:c>
      <x:c r="G779" s="2" t="str">
        <x:v>observed_post_release</x:v>
      </x:c>
      <x:c r="H779" s="2" t="n">
        <x:f>IF(AND(ISNUMBER(F779),F779&gt;=D779),1,0)</x:f>
        <x:v>1</x:v>
      </x:c>
      <x:c r="I779" s="2" t="n">
        <x:f>IF(AND(ISNUMBER(F779),F779&gt;D779),1,0)</x:f>
        <x:v>0</x:v>
      </x:c>
      <x:c r="J779" s="2" t="n">
        <x:f>IF(H779=1,F779-D779,"")</x:f>
        <x:v>0</x:v>
      </x:c>
      <x:c r="K779" s="2" t="n">
        <x:f>IF(H779=1,F779-E779,"")</x:f>
        <x:v>3</x:v>
      </x:c>
      <x:c r="L779" s="2" t="n">
        <x:v>9</x:v>
      </x:c>
      <x:c r="M779" s="2" t="n">
        <x:v>4</x:v>
      </x:c>
      <x:c r="N779" s="20" t="n">
        <x:v>0.4</x:v>
      </x:c>
      <x:c r="O779" s="20" t="n">
        <x:v>0.8</x:v>
      </x:c>
      <x:c r="P779" s="20" t="n">
        <x:v>0.75</x:v>
      </x:c>
      <x:c r="Q779" s="2" t="n">
        <x:v>25</x:v>
      </x:c>
      <x:c r="R779" s="2" t="str">
        <x:v>ESFP</x:v>
      </x:c>
      <x:c r="S779" s="2" t="str">
        <x:v>西北</x:v>
      </x:c>
      <x:c r="T779" s="2" t="str">
        <x:v>暂未就业或家庭照料</x:v>
      </x:c>
    </x:row>
    <x:row r="780" ht="24" customHeight="1">
      <x:c r="A780" s="2" t="str">
        <x:v>D040_T04_C080_G075</x:v>
      </x:c>
      <x:c r="B780" s="2" t="str">
        <x:v>A0029</x:v>
      </x:c>
      <x:c r="C780" s="2" t="str">
        <x:v>inside</x:v>
      </x:c>
      <x:c r="D780" s="2" t="n">
        <x:v>4</x:v>
      </x:c>
      <x:c r="E780" s="2" t="n">
        <x:v>1</x:v>
      </x:c>
      <x:c r="F780" s="2" t="n">
        <x:v>4</x:v>
      </x:c>
      <x:c r="G780" s="2" t="str">
        <x:v>observed_post_release</x:v>
      </x:c>
      <x:c r="H780" s="2" t="n">
        <x:f>IF(AND(ISNUMBER(F780),F780&gt;=D780),1,0)</x:f>
        <x:v>1</x:v>
      </x:c>
      <x:c r="I780" s="2" t="n">
        <x:f>IF(AND(ISNUMBER(F780),F780&gt;D780),1,0)</x:f>
        <x:v>0</x:v>
      </x:c>
      <x:c r="J780" s="2" t="n">
        <x:f>IF(H780=1,F780-D780,"")</x:f>
        <x:v>0</x:v>
      </x:c>
      <x:c r="K780" s="2" t="n">
        <x:f>IF(H780=1,F780-E780,"")</x:f>
        <x:v>3</x:v>
      </x:c>
      <x:c r="L780" s="2" t="n">
        <x:v>9</x:v>
      </x:c>
      <x:c r="M780" s="2" t="n">
        <x:v>4</x:v>
      </x:c>
      <x:c r="N780" s="20" t="n">
        <x:v>0.4</x:v>
      </x:c>
      <x:c r="O780" s="20" t="n">
        <x:v>0.8</x:v>
      </x:c>
      <x:c r="P780" s="20" t="n">
        <x:v>0.75</x:v>
      </x:c>
      <x:c r="Q780" s="2" t="n">
        <x:v>69</x:v>
      </x:c>
      <x:c r="R780" s="2" t="str">
        <x:v>ENTP</x:v>
      </x:c>
      <x:c r="S780" s="2" t="str">
        <x:v>华东</x:v>
      </x:c>
      <x:c r="T780" s="2" t="str">
        <x:v>退休人员</x:v>
      </x:c>
    </x:row>
    <x:row r="781" ht="24" customHeight="1">
      <x:c r="A781" s="2" t="str">
        <x:v>D040_T04_C080_G075</x:v>
      </x:c>
      <x:c r="B781" s="2" t="str">
        <x:v>A0030</x:v>
      </x:c>
      <x:c r="C781" s="2" t="str">
        <x:v>inside</x:v>
      </x:c>
      <x:c r="D781" s="2" t="n">
        <x:v>4</x:v>
      </x:c>
      <x:c r="E781" s="2" t="n">
        <x:v>1</x:v>
      </x:c>
      <x:c r="F781" s="2" t="n">
        <x:v>4</x:v>
      </x:c>
      <x:c r="G781" s="2" t="str">
        <x:v>observed_post_release</x:v>
      </x:c>
      <x:c r="H781" s="2" t="n">
        <x:f>IF(AND(ISNUMBER(F781),F781&gt;=D781),1,0)</x:f>
        <x:v>1</x:v>
      </x:c>
      <x:c r="I781" s="2" t="n">
        <x:f>IF(AND(ISNUMBER(F781),F781&gt;D781),1,0)</x:f>
        <x:v>0</x:v>
      </x:c>
      <x:c r="J781" s="2" t="n">
        <x:f>IF(H781=1,F781-D781,"")</x:f>
        <x:v>0</x:v>
      </x:c>
      <x:c r="K781" s="2" t="n">
        <x:f>IF(H781=1,F781-E781,"")</x:f>
        <x:v>3</x:v>
      </x:c>
      <x:c r="L781" s="2" t="n">
        <x:v>9</x:v>
      </x:c>
      <x:c r="M781" s="2" t="n">
        <x:v>4</x:v>
      </x:c>
      <x:c r="N781" s="20" t="n">
        <x:v>0.4</x:v>
      </x:c>
      <x:c r="O781" s="20" t="n">
        <x:v>0.8</x:v>
      </x:c>
      <x:c r="P781" s="20" t="n">
        <x:v>0.75</x:v>
      </x:c>
      <x:c r="Q781" s="2" t="n">
        <x:v>23</x:v>
      </x:c>
      <x:c r="R781" s="2" t="str">
        <x:v>ISFP</x:v>
      </x:c>
      <x:c r="S781" s="2" t="str">
        <x:v>华东</x:v>
      </x:c>
      <x:c r="T781" s="2" t="str">
        <x:v>在校学生</x:v>
      </x:c>
    </x:row>
    <x:row r="782" ht="24" customHeight="1">
      <x:c r="A782" s="2" t="str">
        <x:v>D040_T04_C080_G075</x:v>
      </x:c>
      <x:c r="B782" s="2" t="str">
        <x:v>A0032</x:v>
      </x:c>
      <x:c r="C782" s="2" t="str">
        <x:v>inside</x:v>
      </x:c>
      <x:c r="D782" s="2" t="n">
        <x:v>4</x:v>
      </x:c>
      <x:c r="E782" s="2" t="n">
        <x:v>1</x:v>
      </x:c>
      <x:c r="F782" s="2" t="n">
        <x:v>4</x:v>
      </x:c>
      <x:c r="G782" s="2" t="str">
        <x:v>observed_post_release</x:v>
      </x:c>
      <x:c r="H782" s="2" t="n">
        <x:f>IF(AND(ISNUMBER(F782),F782&gt;=D782),1,0)</x:f>
        <x:v>1</x:v>
      </x:c>
      <x:c r="I782" s="2" t="n">
        <x:f>IF(AND(ISNUMBER(F782),F782&gt;D782),1,0)</x:f>
        <x:v>0</x:v>
      </x:c>
      <x:c r="J782" s="2" t="n">
        <x:f>IF(H782=1,F782-D782,"")</x:f>
        <x:v>0</x:v>
      </x:c>
      <x:c r="K782" s="2" t="n">
        <x:f>IF(H782=1,F782-E782,"")</x:f>
        <x:v>3</x:v>
      </x:c>
      <x:c r="L782" s="2" t="n">
        <x:v>9</x:v>
      </x:c>
      <x:c r="M782" s="2" t="n">
        <x:v>4</x:v>
      </x:c>
      <x:c r="N782" s="20" t="n">
        <x:v>0.4</x:v>
      </x:c>
      <x:c r="O782" s="20" t="n">
        <x:v>0.8</x:v>
      </x:c>
      <x:c r="P782" s="20" t="n">
        <x:v>0.75</x:v>
      </x:c>
      <x:c r="Q782" s="2" t="n">
        <x:v>53</x:v>
      </x:c>
      <x:c r="R782" s="2" t="str">
        <x:v>INTP</x:v>
      </x:c>
      <x:c r="S782" s="2" t="str">
        <x:v>华北</x:v>
      </x:c>
      <x:c r="T782" s="2" t="str">
        <x:v>个体经营或自由职业</x:v>
      </x:c>
    </x:row>
    <x:row r="783" ht="24" customHeight="1">
      <x:c r="A783" s="2" t="str">
        <x:v>D040_T04_C080_G075</x:v>
      </x:c>
      <x:c r="B783" s="2" t="str">
        <x:v>A0033</x:v>
      </x:c>
      <x:c r="C783" s="2" t="str">
        <x:v>inside</x:v>
      </x:c>
      <x:c r="D783" s="2" t="n">
        <x:v>4</x:v>
      </x:c>
      <x:c r="E783" s="2" t="n">
        <x:v>1</x:v>
      </x:c>
      <x:c r="F783" s="2" t="n">
        <x:v>4</x:v>
      </x:c>
      <x:c r="G783" s="2" t="str">
        <x:v>observed_post_release</x:v>
      </x:c>
      <x:c r="H783" s="2" t="n">
        <x:f>IF(AND(ISNUMBER(F783),F783&gt;=D783),1,0)</x:f>
        <x:v>1</x:v>
      </x:c>
      <x:c r="I783" s="2" t="n">
        <x:f>IF(AND(ISNUMBER(F783),F783&gt;D783),1,0)</x:f>
        <x:v>0</x:v>
      </x:c>
      <x:c r="J783" s="2" t="n">
        <x:f>IF(H783=1,F783-D783,"")</x:f>
        <x:v>0</x:v>
      </x:c>
      <x:c r="K783" s="2" t="n">
        <x:f>IF(H783=1,F783-E783,"")</x:f>
        <x:v>3</x:v>
      </x:c>
      <x:c r="L783" s="2" t="n">
        <x:v>9</x:v>
      </x:c>
      <x:c r="M783" s="2" t="n">
        <x:v>4</x:v>
      </x:c>
      <x:c r="N783" s="20" t="n">
        <x:v>0.4</x:v>
      </x:c>
      <x:c r="O783" s="20" t="n">
        <x:v>0.8</x:v>
      </x:c>
      <x:c r="P783" s="20" t="n">
        <x:v>0.75</x:v>
      </x:c>
      <x:c r="Q783" s="2" t="n">
        <x:v>55</x:v>
      </x:c>
      <x:c r="R783" s="2" t="str">
        <x:v>ENFP</x:v>
      </x:c>
      <x:c r="S783" s="2" t="str">
        <x:v>华南</x:v>
      </x:c>
      <x:c r="T783" s="2" t="str">
        <x:v>个体经营或自由职业</x:v>
      </x:c>
    </x:row>
    <x:row r="784" ht="24" customHeight="1">
      <x:c r="A784" s="2" t="str">
        <x:v>D040_T04_C080_G075</x:v>
      </x:c>
      <x:c r="B784" s="2" t="str">
        <x:v>A0035</x:v>
      </x:c>
      <x:c r="C784" s="2" t="str">
        <x:v>inside</x:v>
      </x:c>
      <x:c r="D784" s="2" t="n">
        <x:v>4</x:v>
      </x:c>
      <x:c r="E784" s="2" t="n">
        <x:v>1</x:v>
      </x:c>
      <x:c r="F784" s="2" t="n">
        <x:v>4</x:v>
      </x:c>
      <x:c r="G784" s="2" t="str">
        <x:v>observed_post_release</x:v>
      </x:c>
      <x:c r="H784" s="2" t="n">
        <x:f>IF(AND(ISNUMBER(F784),F784&gt;=D784),1,0)</x:f>
        <x:v>1</x:v>
      </x:c>
      <x:c r="I784" s="2" t="n">
        <x:f>IF(AND(ISNUMBER(F784),F784&gt;D784),1,0)</x:f>
        <x:v>0</x:v>
      </x:c>
      <x:c r="J784" s="2" t="n">
        <x:f>IF(H784=1,F784-D784,"")</x:f>
        <x:v>0</x:v>
      </x:c>
      <x:c r="K784" s="2" t="n">
        <x:f>IF(H784=1,F784-E784,"")</x:f>
        <x:v>3</x:v>
      </x:c>
      <x:c r="L784" s="2" t="n">
        <x:v>9</x:v>
      </x:c>
      <x:c r="M784" s="2" t="n">
        <x:v>4</x:v>
      </x:c>
      <x:c r="N784" s="20" t="n">
        <x:v>0.4</x:v>
      </x:c>
      <x:c r="O784" s="20" t="n">
        <x:v>0.8</x:v>
      </x:c>
      <x:c r="P784" s="20" t="n">
        <x:v>0.75</x:v>
      </x:c>
      <x:c r="Q784" s="2" t="n">
        <x:v>42</x:v>
      </x:c>
      <x:c r="R784" s="2" t="str">
        <x:v>ISFJ</x:v>
      </x:c>
      <x:c r="S784" s="2" t="str">
        <x:v>华南</x:v>
      </x:c>
      <x:c r="T784" s="2" t="str">
        <x:v>专业技术岗位</x:v>
      </x:c>
    </x:row>
    <x:row r="785" ht="24" customHeight="1">
      <x:c r="A785" s="2" t="str">
        <x:v>D040_T04_C080_G075</x:v>
      </x:c>
      <x:c r="B785" s="2" t="str">
        <x:v>A0036</x:v>
      </x:c>
      <x:c r="C785" s="2" t="str">
        <x:v>inside</x:v>
      </x:c>
      <x:c r="D785" s="2" t="n">
        <x:v>4</x:v>
      </x:c>
      <x:c r="E785" s="2" t="n">
        <x:v>1</x:v>
      </x:c>
      <x:c r="F785" s="2" t="n">
        <x:v>4</x:v>
      </x:c>
      <x:c r="G785" s="2" t="str">
        <x:v>observed_post_release</x:v>
      </x:c>
      <x:c r="H785" s="2" t="n">
        <x:f>IF(AND(ISNUMBER(F785),F785&gt;=D785),1,0)</x:f>
        <x:v>1</x:v>
      </x:c>
      <x:c r="I785" s="2" t="n">
        <x:f>IF(AND(ISNUMBER(F785),F785&gt;D785),1,0)</x:f>
        <x:v>0</x:v>
      </x:c>
      <x:c r="J785" s="2" t="n">
        <x:f>IF(H785=1,F785-D785,"")</x:f>
        <x:v>0</x:v>
      </x:c>
      <x:c r="K785" s="2" t="n">
        <x:f>IF(H785=1,F785-E785,"")</x:f>
        <x:v>3</x:v>
      </x:c>
      <x:c r="L785" s="2" t="n">
        <x:v>9</x:v>
      </x:c>
      <x:c r="M785" s="2" t="n">
        <x:v>4</x:v>
      </x:c>
      <x:c r="N785" s="20" t="n">
        <x:v>0.4</x:v>
      </x:c>
      <x:c r="O785" s="20" t="n">
        <x:v>0.8</x:v>
      </x:c>
      <x:c r="P785" s="20" t="n">
        <x:v>0.75</x:v>
      </x:c>
      <x:c r="Q785" s="2" t="n">
        <x:v>43</x:v>
      </x:c>
      <x:c r="R785" s="2" t="str">
        <x:v>ISFJ</x:v>
      </x:c>
      <x:c r="S785" s="2" t="str">
        <x:v>华东</x:v>
      </x:c>
      <x:c r="T785" s="2" t="str">
        <x:v>生产运输或体力岗位</x:v>
      </x:c>
    </x:row>
    <x:row r="786" ht="24" customHeight="1">
      <x:c r="A786" s="2" t="str">
        <x:v>D040_T04_C080_G075</x:v>
      </x:c>
      <x:c r="B786" s="2" t="str">
        <x:v>A0037</x:v>
      </x:c>
      <x:c r="C786" s="2" t="str">
        <x:v>inside</x:v>
      </x:c>
      <x:c r="D786" s="2" t="n">
        <x:v>4</x:v>
      </x:c>
      <x:c r="E786" s="2" t="n">
        <x:v>1</x:v>
      </x:c>
      <x:c r="F786" s="2" t="n">
        <x:v>5</x:v>
      </x:c>
      <x:c r="G786" s="2" t="str">
        <x:v>observed_post_release</x:v>
      </x:c>
      <x:c r="H786" s="2" t="n">
        <x:f>IF(AND(ISNUMBER(F786),F786&gt;=D786),1,0)</x:f>
        <x:v>1</x:v>
      </x:c>
      <x:c r="I786" s="2" t="n">
        <x:f>IF(AND(ISNUMBER(F786),F786&gt;D786),1,0)</x:f>
        <x:v>1</x:v>
      </x:c>
      <x:c r="J786" s="2" t="n">
        <x:f>IF(H786=1,F786-D786,"")</x:f>
        <x:v>1</x:v>
      </x:c>
      <x:c r="K786" s="2" t="n">
        <x:f>IF(H786=1,F786-E786,"")</x:f>
        <x:v>4</x:v>
      </x:c>
      <x:c r="L786" s="2" t="n">
        <x:v>9</x:v>
      </x:c>
      <x:c r="M786" s="2" t="n">
        <x:v>4</x:v>
      </x:c>
      <x:c r="N786" s="20" t="n">
        <x:v>0.4</x:v>
      </x:c>
      <x:c r="O786" s="20" t="n">
        <x:v>0.8</x:v>
      </x:c>
      <x:c r="P786" s="20" t="n">
        <x:v>0.75</x:v>
      </x:c>
      <x:c r="Q786" s="2" t="n">
        <x:v>24</x:v>
      </x:c>
      <x:c r="R786" s="2" t="str">
        <x:v>ENTP</x:v>
      </x:c>
      <x:c r="S786" s="2" t="str">
        <x:v>华南</x:v>
      </x:c>
      <x:c r="T786" s="2" t="str">
        <x:v>在校学生</x:v>
      </x:c>
    </x:row>
    <x:row r="787" ht="24" customHeight="1">
      <x:c r="A787" s="2" t="str">
        <x:v>D040_T04_C080_G075</x:v>
      </x:c>
      <x:c r="B787" s="2" t="str">
        <x:v>A0038</x:v>
      </x:c>
      <x:c r="C787" s="2" t="str">
        <x:v>inside</x:v>
      </x:c>
      <x:c r="D787" s="2" t="n">
        <x:v>4</x:v>
      </x:c>
      <x:c r="E787" s="2" t="n">
        <x:v>1</x:v>
      </x:c>
      <x:c r="F787" s="2" t="n">
        <x:v>5</x:v>
      </x:c>
      <x:c r="G787" s="2" t="str">
        <x:v>observed_post_release</x:v>
      </x:c>
      <x:c r="H787" s="2" t="n">
        <x:f>IF(AND(ISNUMBER(F787),F787&gt;=D787),1,0)</x:f>
        <x:v>1</x:v>
      </x:c>
      <x:c r="I787" s="2" t="n">
        <x:f>IF(AND(ISNUMBER(F787),F787&gt;D787),1,0)</x:f>
        <x:v>1</x:v>
      </x:c>
      <x:c r="J787" s="2" t="n">
        <x:f>IF(H787=1,F787-D787,"")</x:f>
        <x:v>1</x:v>
      </x:c>
      <x:c r="K787" s="2" t="n">
        <x:f>IF(H787=1,F787-E787,"")</x:f>
        <x:v>4</x:v>
      </x:c>
      <x:c r="L787" s="2" t="n">
        <x:v>9</x:v>
      </x:c>
      <x:c r="M787" s="2" t="n">
        <x:v>4</x:v>
      </x:c>
      <x:c r="N787" s="20" t="n">
        <x:v>0.4</x:v>
      </x:c>
      <x:c r="O787" s="20" t="n">
        <x:v>0.8</x:v>
      </x:c>
      <x:c r="P787" s="20" t="n">
        <x:v>0.75</x:v>
      </x:c>
      <x:c r="Q787" s="2" t="n">
        <x:v>46</x:v>
      </x:c>
      <x:c r="R787" s="2" t="str">
        <x:v>ISTP</x:v>
      </x:c>
      <x:c r="S787" s="2" t="str">
        <x:v>华东</x:v>
      </x:c>
      <x:c r="T787" s="2" t="str">
        <x:v>行政或办公室岗位</x:v>
      </x:c>
    </x:row>
    <x:row r="788" ht="24" customHeight="1">
      <x:c r="A788" s="2" t="str">
        <x:v>D040_T04_C080_G075</x:v>
      </x:c>
      <x:c r="B788" s="2" t="str">
        <x:v>A0040</x:v>
      </x:c>
      <x:c r="C788" s="2" t="str">
        <x:v>inside</x:v>
      </x:c>
      <x:c r="D788" s="2" t="n">
        <x:v>4</x:v>
      </x:c>
      <x:c r="E788" s="2" t="n">
        <x:v>1</x:v>
      </x:c>
      <x:c r="F788" s="2" t="n">
        <x:v>4</x:v>
      </x:c>
      <x:c r="G788" s="2" t="str">
        <x:v>observed_post_release</x:v>
      </x:c>
      <x:c r="H788" s="2" t="n">
        <x:f>IF(AND(ISNUMBER(F788),F788&gt;=D788),1,0)</x:f>
        <x:v>1</x:v>
      </x:c>
      <x:c r="I788" s="2" t="n">
        <x:f>IF(AND(ISNUMBER(F788),F788&gt;D788),1,0)</x:f>
        <x:v>0</x:v>
      </x:c>
      <x:c r="J788" s="2" t="n">
        <x:f>IF(H788=1,F788-D788,"")</x:f>
        <x:v>0</x:v>
      </x:c>
      <x:c r="K788" s="2" t="n">
        <x:f>IF(H788=1,F788-E788,"")</x:f>
        <x:v>3</x:v>
      </x:c>
      <x:c r="L788" s="2" t="n">
        <x:v>9</x:v>
      </x:c>
      <x:c r="M788" s="2" t="n">
        <x:v>4</x:v>
      </x:c>
      <x:c r="N788" s="20" t="n">
        <x:v>0.4</x:v>
      </x:c>
      <x:c r="O788" s="20" t="n">
        <x:v>0.8</x:v>
      </x:c>
      <x:c r="P788" s="20" t="n">
        <x:v>0.75</x:v>
      </x:c>
      <x:c r="Q788" s="2" t="n">
        <x:v>48</x:v>
      </x:c>
      <x:c r="R788" s="2" t="str">
        <x:v>INFP</x:v>
      </x:c>
      <x:c r="S788" s="2" t="str">
        <x:v>西北</x:v>
      </x:c>
      <x:c r="T788" s="2" t="str">
        <x:v>个体经营或自由职业</x:v>
      </x:c>
    </x:row>
    <x:row r="789" ht="24" customHeight="1">
      <x:c r="A789" s="2" t="str">
        <x:v>D040_T04_C080_G075</x:v>
      </x:c>
      <x:c r="B789" s="2" t="str">
        <x:v>A0041</x:v>
      </x:c>
      <x:c r="C789" s="2" t="str">
        <x:v>inside</x:v>
      </x:c>
      <x:c r="D789" s="2" t="n">
        <x:v>4</x:v>
      </x:c>
      <x:c r="E789" s="2" t="n">
        <x:v>1</x:v>
      </x:c>
      <x:c r="F789" s="2" t="n">
        <x:v>4</x:v>
      </x:c>
      <x:c r="G789" s="2" t="str">
        <x:v>observed_post_release</x:v>
      </x:c>
      <x:c r="H789" s="2" t="n">
        <x:f>IF(AND(ISNUMBER(F789),F789&gt;=D789),1,0)</x:f>
        <x:v>1</x:v>
      </x:c>
      <x:c r="I789" s="2" t="n">
        <x:f>IF(AND(ISNUMBER(F789),F789&gt;D789),1,0)</x:f>
        <x:v>0</x:v>
      </x:c>
      <x:c r="J789" s="2" t="n">
        <x:f>IF(H789=1,F789-D789,"")</x:f>
        <x:v>0</x:v>
      </x:c>
      <x:c r="K789" s="2" t="n">
        <x:f>IF(H789=1,F789-E789,"")</x:f>
        <x:v>3</x:v>
      </x:c>
      <x:c r="L789" s="2" t="n">
        <x:v>9</x:v>
      </x:c>
      <x:c r="M789" s="2" t="n">
        <x:v>4</x:v>
      </x:c>
      <x:c r="N789" s="20" t="n">
        <x:v>0.4</x:v>
      </x:c>
      <x:c r="O789" s="20" t="n">
        <x:v>0.8</x:v>
      </x:c>
      <x:c r="P789" s="20" t="n">
        <x:v>0.75</x:v>
      </x:c>
      <x:c r="Q789" s="2" t="n">
        <x:v>62</x:v>
      </x:c>
      <x:c r="R789" s="2" t="str">
        <x:v>ISFJ</x:v>
      </x:c>
      <x:c r="S789" s="2" t="str">
        <x:v>西北</x:v>
      </x:c>
      <x:c r="T789" s="2" t="str">
        <x:v>个体经营或自由职业</x:v>
      </x:c>
    </x:row>
    <x:row r="790" ht="24" customHeight="1">
      <x:c r="A790" s="2" t="str">
        <x:v>D040_T04_C080_G075</x:v>
      </x:c>
      <x:c r="B790" s="2" t="str">
        <x:v>A0071</x:v>
      </x:c>
      <x:c r="C790" s="2" t="str">
        <x:v>inside</x:v>
      </x:c>
      <x:c r="D790" s="2" t="n">
        <x:v>4</x:v>
      </x:c>
      <x:c r="E790" s="2" t="n">
        <x:v>1</x:v>
      </x:c>
      <x:c r="F790" s="2" t="n">
        <x:v>5</x:v>
      </x:c>
      <x:c r="G790" s="2" t="str">
        <x:v>observed_post_release</x:v>
      </x:c>
      <x:c r="H790" s="2" t="n">
        <x:f>IF(AND(ISNUMBER(F790),F790&gt;=D790),1,0)</x:f>
        <x:v>1</x:v>
      </x:c>
      <x:c r="I790" s="2" t="n">
        <x:f>IF(AND(ISNUMBER(F790),F790&gt;D790),1,0)</x:f>
        <x:v>1</x:v>
      </x:c>
      <x:c r="J790" s="2" t="n">
        <x:f>IF(H790=1,F790-D790,"")</x:f>
        <x:v>1</x:v>
      </x:c>
      <x:c r="K790" s="2" t="n">
        <x:f>IF(H790=1,F790-E790,"")</x:f>
        <x:v>4</x:v>
      </x:c>
      <x:c r="L790" s="2" t="n">
        <x:v>9</x:v>
      </x:c>
      <x:c r="M790" s="2" t="n">
        <x:v>4</x:v>
      </x:c>
      <x:c r="N790" s="20" t="n">
        <x:v>0.4</x:v>
      </x:c>
      <x:c r="O790" s="20" t="n">
        <x:v>0.8</x:v>
      </x:c>
      <x:c r="P790" s="20" t="n">
        <x:v>0.75</x:v>
      </x:c>
      <x:c r="Q790" s="2" t="n">
        <x:v>33</x:v>
      </x:c>
      <x:c r="R790" s="2" t="str">
        <x:v>ISTJ</x:v>
      </x:c>
      <x:c r="S790" s="2" t="str">
        <x:v>华东</x:v>
      </x:c>
      <x:c r="T790" s="2" t="str">
        <x:v>商业服务岗位</x:v>
      </x:c>
    </x:row>
    <x:row r="791" ht="24" customHeight="1">
      <x:c r="A791" s="2" t="str">
        <x:v>D040_T04_C080_G075</x:v>
      </x:c>
      <x:c r="B791" s="2" t="str">
        <x:v>A0189</x:v>
      </x:c>
      <x:c r="C791" s="2" t="str">
        <x:v>inside</x:v>
      </x:c>
      <x:c r="D791" s="2" t="n">
        <x:v>4</x:v>
      </x:c>
      <x:c r="E791" s="2" t="n">
        <x:v>1</x:v>
      </x:c>
      <x:c r="F791" s="2" t="n">
        <x:v>5</x:v>
      </x:c>
      <x:c r="G791" s="2" t="str">
        <x:v>observed_post_release</x:v>
      </x:c>
      <x:c r="H791" s="2" t="n">
        <x:f>IF(AND(ISNUMBER(F791),F791&gt;=D791),1,0)</x:f>
        <x:v>1</x:v>
      </x:c>
      <x:c r="I791" s="2" t="n">
        <x:f>IF(AND(ISNUMBER(F791),F791&gt;D791),1,0)</x:f>
        <x:v>1</x:v>
      </x:c>
      <x:c r="J791" s="2" t="n">
        <x:f>IF(H791=1,F791-D791,"")</x:f>
        <x:v>1</x:v>
      </x:c>
      <x:c r="K791" s="2" t="n">
        <x:f>IF(H791=1,F791-E791,"")</x:f>
        <x:v>4</x:v>
      </x:c>
      <x:c r="L791" s="2" t="n">
        <x:v>9</x:v>
      </x:c>
      <x:c r="M791" s="2" t="n">
        <x:v>5</x:v>
      </x:c>
      <x:c r="N791" s="20" t="n">
        <x:v>0.4</x:v>
      </x:c>
      <x:c r="O791" s="20" t="n">
        <x:v>0.8</x:v>
      </x:c>
      <x:c r="P791" s="20" t="n">
        <x:v>0.75</x:v>
      </x:c>
      <x:c r="Q791" s="2" t="n">
        <x:v>45</x:v>
      </x:c>
      <x:c r="R791" s="2" t="str">
        <x:v>ISFJ</x:v>
      </x:c>
      <x:c r="S791" s="2" t="str">
        <x:v>西北</x:v>
      </x:c>
      <x:c r="T791" s="2" t="str">
        <x:v>生产运输或体力岗位</x:v>
      </x:c>
    </x:row>
    <x:row r="792" ht="24" customHeight="1">
      <x:c r="A792" s="2" t="str">
        <x:v>D040_T04_C080_G075</x:v>
      </x:c>
      <x:c r="B792" s="2" t="str">
        <x:v>A0206</x:v>
      </x:c>
      <x:c r="C792" s="2" t="str">
        <x:v>inside</x:v>
      </x:c>
      <x:c r="D792" s="2" t="n">
        <x:v>4</x:v>
      </x:c>
      <x:c r="E792" s="2" t="n">
        <x:v>1</x:v>
      </x:c>
      <x:c r="F792" s="2" t="n">
        <x:v>4</x:v>
      </x:c>
      <x:c r="G792" s="2" t="str">
        <x:v>observed_post_release</x:v>
      </x:c>
      <x:c r="H792" s="2" t="n">
        <x:f>IF(AND(ISNUMBER(F792),F792&gt;=D792),1,0)</x:f>
        <x:v>1</x:v>
      </x:c>
      <x:c r="I792" s="2" t="n">
        <x:f>IF(AND(ISNUMBER(F792),F792&gt;D792),1,0)</x:f>
        <x:v>0</x:v>
      </x:c>
      <x:c r="J792" s="2" t="n">
        <x:f>IF(H792=1,F792-D792,"")</x:f>
        <x:v>0</x:v>
      </x:c>
      <x:c r="K792" s="2" t="n">
        <x:f>IF(H792=1,F792-E792,"")</x:f>
        <x:v>3</x:v>
      </x:c>
      <x:c r="L792" s="2" t="n">
        <x:v>9</x:v>
      </x:c>
      <x:c r="M792" s="2" t="n">
        <x:v>4</x:v>
      </x:c>
      <x:c r="N792" s="20" t="n">
        <x:v>0.4</x:v>
      </x:c>
      <x:c r="O792" s="20" t="n">
        <x:v>0.8</x:v>
      </x:c>
      <x:c r="P792" s="20" t="n">
        <x:v>0.75</x:v>
      </x:c>
      <x:c r="Q792" s="2" t="n">
        <x:v>21</x:v>
      </x:c>
      <x:c r="R792" s="2" t="str">
        <x:v>ESTP</x:v>
      </x:c>
      <x:c r="S792" s="2" t="str">
        <x:v>西北</x:v>
      </x:c>
      <x:c r="T792" s="2" t="str">
        <x:v>暂未就业或家庭照料</x:v>
      </x:c>
    </x:row>
    <x:row r="793" ht="24" customHeight="1">
      <x:c r="A793" s="2" t="str">
        <x:v>D040_T07_C020_G025</x:v>
      </x:c>
      <x:c r="B793" s="2" t="str">
        <x:v>A0001</x:v>
      </x:c>
      <x:c r="C793" s="2" t="str">
        <x:v>inside</x:v>
      </x:c>
      <x:c r="D793" s="2" t="n">
        <x:v>7</x:v>
      </x:c>
      <x:c r="E793" s="2" t="n">
        <x:v>1</x:v>
      </x:c>
      <x:c r="F793" s="2" t="n">
        <x:v>9</x:v>
      </x:c>
      <x:c r="G793" s="2" t="str">
        <x:v>observed_post_release</x:v>
      </x:c>
      <x:c r="H793" s="2" t="n">
        <x:f>IF(AND(ISNUMBER(F793),F793&gt;=D793),1,0)</x:f>
        <x:v>1</x:v>
      </x:c>
      <x:c r="I793" s="2" t="n">
        <x:f>IF(AND(ISNUMBER(F793),F793&gt;D793),1,0)</x:f>
        <x:v>1</x:v>
      </x:c>
      <x:c r="J793" s="2" t="n">
        <x:f>IF(H793=1,F793-D793,"")</x:f>
        <x:v>2</x:v>
      </x:c>
      <x:c r="K793" s="2" t="n">
        <x:f>IF(H793=1,F793-E793,"")</x:f>
        <x:v>8</x:v>
      </x:c>
      <x:c r="L793" s="2" t="n">
        <x:v>9</x:v>
      </x:c>
      <x:c r="M793" s="2" t="n">
        <x:v>9</x:v>
      </x:c>
      <x:c r="N793" s="20" t="n">
        <x:v>0.4</x:v>
      </x:c>
      <x:c r="O793" s="20" t="n">
        <x:v>0.2</x:v>
      </x:c>
      <x:c r="P793" s="20" t="n">
        <x:v>0.25</x:v>
      </x:c>
      <x:c r="Q793" s="2" t="n">
        <x:v>22</x:v>
      </x:c>
      <x:c r="R793" s="2" t="str">
        <x:v>ESTJ</x:v>
      </x:c>
      <x:c r="S793" s="2" t="str">
        <x:v>华南</x:v>
      </x:c>
      <x:c r="T793" s="2" t="str">
        <x:v>在校学生</x:v>
      </x:c>
    </x:row>
    <x:row r="794" ht="24" customHeight="1">
      <x:c r="A794" s="2" t="str">
        <x:v>D040_T07_C020_G025</x:v>
      </x:c>
      <x:c r="B794" s="2" t="str">
        <x:v>A0002</x:v>
      </x:c>
      <x:c r="C794" s="2" t="str">
        <x:v>inside</x:v>
      </x:c>
      <x:c r="D794" s="2" t="n">
        <x:v>7</x:v>
      </x:c>
      <x:c r="E794" s="2" t="n">
        <x:v>1</x:v>
      </x:c>
      <x:c r="F794" s="2"/>
      <x:c r="G794" s="2" t="str">
        <x:v>right_censored</x:v>
      </x:c>
      <x:c r="H794" s="2" t="n">
        <x:f>IF(AND(ISNUMBER(F794),F794&gt;=D794),1,0)</x:f>
        <x:v>0</x:v>
      </x:c>
      <x:c r="I794" s="2" t="n">
        <x:f>IF(AND(ISNUMBER(F794),F794&gt;D794),1,0)</x:f>
        <x:v>0</x:v>
      </x:c>
      <x:c r="J794" s="2" t="str">
        <x:f>IF(H794=1,F794-D794,"")</x:f>
      </x:c>
      <x:c r="K794" s="2" t="str">
        <x:f>IF(H794=1,F794-E794,"")</x:f>
      </x:c>
      <x:c r="L794" s="2" t="n">
        <x:v>9</x:v>
      </x:c>
      <x:c r="M794" s="2"/>
      <x:c r="N794" s="20" t="n">
        <x:v>0.4</x:v>
      </x:c>
      <x:c r="O794" s="20" t="n">
        <x:v>0.2</x:v>
      </x:c>
      <x:c r="P794" s="20" t="n">
        <x:v>0.25</x:v>
      </x:c>
      <x:c r="Q794" s="2" t="n">
        <x:v>19</x:v>
      </x:c>
      <x:c r="R794" s="2" t="str">
        <x:v>ESTP</x:v>
      </x:c>
      <x:c r="S794" s="2" t="str">
        <x:v>华南</x:v>
      </x:c>
      <x:c r="T794" s="2" t="str">
        <x:v>商业服务岗位</x:v>
      </x:c>
    </x:row>
    <x:row r="795" ht="24" customHeight="1">
      <x:c r="A795" s="2" t="str">
        <x:v>D040_T07_C020_G025</x:v>
      </x:c>
      <x:c r="B795" s="2" t="str">
        <x:v>A0005</x:v>
      </x:c>
      <x:c r="C795" s="2" t="str">
        <x:v>inside</x:v>
      </x:c>
      <x:c r="D795" s="2" t="n">
        <x:v>7</x:v>
      </x:c>
      <x:c r="E795" s="2" t="n">
        <x:v>1</x:v>
      </x:c>
      <x:c r="F795" s="2"/>
      <x:c r="G795" s="2" t="str">
        <x:v>right_censored</x:v>
      </x:c>
      <x:c r="H795" s="2" t="n">
        <x:f>IF(AND(ISNUMBER(F795),F795&gt;=D795),1,0)</x:f>
        <x:v>0</x:v>
      </x:c>
      <x:c r="I795" s="2" t="n">
        <x:f>IF(AND(ISNUMBER(F795),F795&gt;D795),1,0)</x:f>
        <x:v>0</x:v>
      </x:c>
      <x:c r="J795" s="2" t="str">
        <x:f>IF(H795=1,F795-D795,"")</x:f>
      </x:c>
      <x:c r="K795" s="2" t="str">
        <x:f>IF(H795=1,F795-E795,"")</x:f>
      </x:c>
      <x:c r="L795" s="2" t="n">
        <x:v>9</x:v>
      </x:c>
      <x:c r="M795" s="2" t="n">
        <x:v>9</x:v>
      </x:c>
      <x:c r="N795" s="20" t="n">
        <x:v>0.4</x:v>
      </x:c>
      <x:c r="O795" s="20" t="n">
        <x:v>0.2</x:v>
      </x:c>
      <x:c r="P795" s="20" t="n">
        <x:v>0.25</x:v>
      </x:c>
      <x:c r="Q795" s="2" t="n">
        <x:v>51</x:v>
      </x:c>
      <x:c r="R795" s="2" t="str">
        <x:v>ISTP</x:v>
      </x:c>
      <x:c r="S795" s="2" t="str">
        <x:v>华南</x:v>
      </x:c>
      <x:c r="T795" s="2" t="str">
        <x:v>生产运输或体力岗位</x:v>
      </x:c>
    </x:row>
    <x:row r="796" ht="24" customHeight="1">
      <x:c r="A796" s="2" t="str">
        <x:v>D040_T07_C020_G025</x:v>
      </x:c>
      <x:c r="B796" s="2" t="str">
        <x:v>A0008</x:v>
      </x:c>
      <x:c r="C796" s="2" t="str">
        <x:v>inside</x:v>
      </x:c>
      <x:c r="D796" s="2" t="n">
        <x:v>7</x:v>
      </x:c>
      <x:c r="E796" s="2" t="n">
        <x:v>1</x:v>
      </x:c>
      <x:c r="F796" s="2"/>
      <x:c r="G796" s="2" t="str">
        <x:v>right_censored</x:v>
      </x:c>
      <x:c r="H796" s="2" t="n">
        <x:f>IF(AND(ISNUMBER(F796),F796&gt;=D796),1,0)</x:f>
        <x:v>0</x:v>
      </x:c>
      <x:c r="I796" s="2" t="n">
        <x:f>IF(AND(ISNUMBER(F796),F796&gt;D796),1,0)</x:f>
        <x:v>0</x:v>
      </x:c>
      <x:c r="J796" s="2" t="str">
        <x:f>IF(H796=1,F796-D796,"")</x:f>
      </x:c>
      <x:c r="K796" s="2" t="str">
        <x:f>IF(H796=1,F796-E796,"")</x:f>
      </x:c>
      <x:c r="L796" s="2" t="n">
        <x:v>9</x:v>
      </x:c>
      <x:c r="M796" s="2" t="n">
        <x:v>9</x:v>
      </x:c>
      <x:c r="N796" s="20" t="n">
        <x:v>0.4</x:v>
      </x:c>
      <x:c r="O796" s="20" t="n">
        <x:v>0.2</x:v>
      </x:c>
      <x:c r="P796" s="20" t="n">
        <x:v>0.25</x:v>
      </x:c>
      <x:c r="Q796" s="2" t="n">
        <x:v>36</x:v>
      </x:c>
      <x:c r="R796" s="2" t="str">
        <x:v>ISFP</x:v>
      </x:c>
      <x:c r="S796" s="2" t="str">
        <x:v>华南</x:v>
      </x:c>
      <x:c r="T796" s="2" t="str">
        <x:v>生产运输或体力岗位</x:v>
      </x:c>
    </x:row>
    <x:row r="797" ht="24" customHeight="1">
      <x:c r="A797" s="2" t="str">
        <x:v>D040_T07_C020_G025</x:v>
      </x:c>
      <x:c r="B797" s="2" t="str">
        <x:v>A0009</x:v>
      </x:c>
      <x:c r="C797" s="2" t="str">
        <x:v>inside</x:v>
      </x:c>
      <x:c r="D797" s="2" t="n">
        <x:v>7</x:v>
      </x:c>
      <x:c r="E797" s="2" t="n">
        <x:v>1</x:v>
      </x:c>
      <x:c r="F797" s="2"/>
      <x:c r="G797" s="2" t="str">
        <x:v>right_censored</x:v>
      </x:c>
      <x:c r="H797" s="2" t="n">
        <x:f>IF(AND(ISNUMBER(F797),F797&gt;=D797),1,0)</x:f>
        <x:v>0</x:v>
      </x:c>
      <x:c r="I797" s="2" t="n">
        <x:f>IF(AND(ISNUMBER(F797),F797&gt;D797),1,0)</x:f>
        <x:v>0</x:v>
      </x:c>
      <x:c r="J797" s="2" t="str">
        <x:f>IF(H797=1,F797-D797,"")</x:f>
      </x:c>
      <x:c r="K797" s="2" t="str">
        <x:f>IF(H797=1,F797-E797,"")</x:f>
      </x:c>
      <x:c r="L797" s="2" t="n">
        <x:v>9</x:v>
      </x:c>
      <x:c r="M797" s="2" t="n">
        <x:v>8</x:v>
      </x:c>
      <x:c r="N797" s="20" t="n">
        <x:v>0.4</x:v>
      </x:c>
      <x:c r="O797" s="20" t="n">
        <x:v>0.2</x:v>
      </x:c>
      <x:c r="P797" s="20" t="n">
        <x:v>0.25</x:v>
      </x:c>
      <x:c r="Q797" s="2" t="n">
        <x:v>32</x:v>
      </x:c>
      <x:c r="R797" s="2" t="str">
        <x:v>ENFJ</x:v>
      </x:c>
      <x:c r="S797" s="2" t="str">
        <x:v>华东</x:v>
      </x:c>
      <x:c r="T797" s="2" t="str">
        <x:v>商业服务岗位</x:v>
      </x:c>
    </x:row>
    <x:row r="798" ht="24" customHeight="1">
      <x:c r="A798" s="2" t="str">
        <x:v>D040_T07_C020_G025</x:v>
      </x:c>
      <x:c r="B798" s="2" t="str">
        <x:v>A0010</x:v>
      </x:c>
      <x:c r="C798" s="2" t="str">
        <x:v>inside</x:v>
      </x:c>
      <x:c r="D798" s="2" t="n">
        <x:v>7</x:v>
      </x:c>
      <x:c r="E798" s="2" t="n">
        <x:v>7</x:v>
      </x:c>
      <x:c r="F798" s="2"/>
      <x:c r="G798" s="2" t="str">
        <x:v>right_censored</x:v>
      </x:c>
      <x:c r="H798" s="2" t="n">
        <x:f>IF(AND(ISNUMBER(F798),F798&gt;=D798),1,0)</x:f>
        <x:v>0</x:v>
      </x:c>
      <x:c r="I798" s="2" t="n">
        <x:f>IF(AND(ISNUMBER(F798),F798&gt;D798),1,0)</x:f>
        <x:v>0</x:v>
      </x:c>
      <x:c r="J798" s="2" t="str">
        <x:f>IF(H798=1,F798-D798,"")</x:f>
      </x:c>
      <x:c r="K798" s="2" t="str">
        <x:f>IF(H798=1,F798-E798,"")</x:f>
      </x:c>
      <x:c r="L798" s="2" t="n">
        <x:v>3</x:v>
      </x:c>
      <x:c r="M798" s="2"/>
      <x:c r="N798" s="20" t="n">
        <x:v>0.4</x:v>
      </x:c>
      <x:c r="O798" s="20" t="n">
        <x:v>0.2</x:v>
      </x:c>
      <x:c r="P798" s="20" t="n">
        <x:v>0.25</x:v>
      </x:c>
      <x:c r="Q798" s="2" t="n">
        <x:v>23</x:v>
      </x:c>
      <x:c r="R798" s="2" t="str">
        <x:v>INFP</x:v>
      </x:c>
      <x:c r="S798" s="2" t="str">
        <x:v>华东</x:v>
      </x:c>
      <x:c r="T798" s="2" t="str">
        <x:v>在校学生</x:v>
      </x:c>
    </x:row>
    <x:row r="799" ht="24" customHeight="1">
      <x:c r="A799" s="2" t="str">
        <x:v>D040_T07_C020_G025</x:v>
      </x:c>
      <x:c r="B799" s="2" t="str">
        <x:v>A0011</x:v>
      </x:c>
      <x:c r="C799" s="2" t="str">
        <x:v>inside</x:v>
      </x:c>
      <x:c r="D799" s="2" t="n">
        <x:v>7</x:v>
      </x:c>
      <x:c r="E799" s="2" t="n">
        <x:v>1</x:v>
      </x:c>
      <x:c r="F799" s="2"/>
      <x:c r="G799" s="2" t="str">
        <x:v>right_censored</x:v>
      </x:c>
      <x:c r="H799" s="2" t="n">
        <x:f>IF(AND(ISNUMBER(F799),F799&gt;=D799),1,0)</x:f>
        <x:v>0</x:v>
      </x:c>
      <x:c r="I799" s="2" t="n">
        <x:f>IF(AND(ISNUMBER(F799),F799&gt;D799),1,0)</x:f>
        <x:v>0</x:v>
      </x:c>
      <x:c r="J799" s="2" t="str">
        <x:f>IF(H799=1,F799-D799,"")</x:f>
      </x:c>
      <x:c r="K799" s="2" t="str">
        <x:f>IF(H799=1,F799-E799,"")</x:f>
      </x:c>
      <x:c r="L799" s="2" t="n">
        <x:v>9</x:v>
      </x:c>
      <x:c r="M799" s="2" t="n">
        <x:v>7</x:v>
      </x:c>
      <x:c r="N799" s="20" t="n">
        <x:v>0.4</x:v>
      </x:c>
      <x:c r="O799" s="20" t="n">
        <x:v>0.2</x:v>
      </x:c>
      <x:c r="P799" s="20" t="n">
        <x:v>0.25</x:v>
      </x:c>
      <x:c r="Q799" s="2" t="n">
        <x:v>42</x:v>
      </x:c>
      <x:c r="R799" s="2" t="str">
        <x:v>ENFJ</x:v>
      </x:c>
      <x:c r="S799" s="2" t="str">
        <x:v>西南</x:v>
      </x:c>
      <x:c r="T799" s="2" t="str">
        <x:v>行政或办公室岗位</x:v>
      </x:c>
    </x:row>
    <x:row r="800" ht="24" customHeight="1">
      <x:c r="A800" s="2" t="str">
        <x:v>D040_T07_C020_G025</x:v>
      </x:c>
      <x:c r="B800" s="2" t="str">
        <x:v>A0012</x:v>
      </x:c>
      <x:c r="C800" s="2" t="str">
        <x:v>inside</x:v>
      </x:c>
      <x:c r="D800" s="2" t="n">
        <x:v>7</x:v>
      </x:c>
      <x:c r="E800" s="2" t="n">
        <x:v>1</x:v>
      </x:c>
      <x:c r="F800" s="2"/>
      <x:c r="G800" s="2" t="str">
        <x:v>right_censored</x:v>
      </x:c>
      <x:c r="H800" s="2" t="n">
        <x:f>IF(AND(ISNUMBER(F800),F800&gt;=D800),1,0)</x:f>
        <x:v>0</x:v>
      </x:c>
      <x:c r="I800" s="2" t="n">
        <x:f>IF(AND(ISNUMBER(F800),F800&gt;D800),1,0)</x:f>
        <x:v>0</x:v>
      </x:c>
      <x:c r="J800" s="2" t="str">
        <x:f>IF(H800=1,F800-D800,"")</x:f>
      </x:c>
      <x:c r="K800" s="2" t="str">
        <x:f>IF(H800=1,F800-E800,"")</x:f>
      </x:c>
      <x:c r="L800" s="2" t="n">
        <x:v>9</x:v>
      </x:c>
      <x:c r="M800" s="2" t="n">
        <x:v>8</x:v>
      </x:c>
      <x:c r="N800" s="20" t="n">
        <x:v>0.4</x:v>
      </x:c>
      <x:c r="O800" s="20" t="n">
        <x:v>0.2</x:v>
      </x:c>
      <x:c r="P800" s="20" t="n">
        <x:v>0.25</x:v>
      </x:c>
      <x:c r="Q800" s="2" t="n">
        <x:v>38</x:v>
      </x:c>
      <x:c r="R800" s="2" t="str">
        <x:v>ESFP</x:v>
      </x:c>
      <x:c r="S800" s="2" t="str">
        <x:v>华中</x:v>
      </x:c>
      <x:c r="T800" s="2" t="str">
        <x:v>行政或办公室岗位</x:v>
      </x:c>
    </x:row>
    <x:row r="801" ht="24" customHeight="1">
      <x:c r="A801" s="2" t="str">
        <x:v>D040_T07_C020_G025</x:v>
      </x:c>
      <x:c r="B801" s="2" t="str">
        <x:v>A0014</x:v>
      </x:c>
      <x:c r="C801" s="2" t="str">
        <x:v>inside</x:v>
      </x:c>
      <x:c r="D801" s="2" t="n">
        <x:v>7</x:v>
      </x:c>
      <x:c r="E801" s="2" t="n">
        <x:v>1</x:v>
      </x:c>
      <x:c r="F801" s="2" t="n">
        <x:v>9</x:v>
      </x:c>
      <x:c r="G801" s="2" t="str">
        <x:v>observed_post_release</x:v>
      </x:c>
      <x:c r="H801" s="2" t="n">
        <x:f>IF(AND(ISNUMBER(F801),F801&gt;=D801),1,0)</x:f>
        <x:v>1</x:v>
      </x:c>
      <x:c r="I801" s="2" t="n">
        <x:f>IF(AND(ISNUMBER(F801),F801&gt;D801),1,0)</x:f>
        <x:v>1</x:v>
      </x:c>
      <x:c r="J801" s="2" t="n">
        <x:f>IF(H801=1,F801-D801,"")</x:f>
        <x:v>2</x:v>
      </x:c>
      <x:c r="K801" s="2" t="n">
        <x:f>IF(H801=1,F801-E801,"")</x:f>
        <x:v>8</x:v>
      </x:c>
      <x:c r="L801" s="2" t="n">
        <x:v>9</x:v>
      </x:c>
      <x:c r="M801" s="2" t="n">
        <x:v>7</x:v>
      </x:c>
      <x:c r="N801" s="20" t="n">
        <x:v>0.4</x:v>
      </x:c>
      <x:c r="O801" s="20" t="n">
        <x:v>0.2</x:v>
      </x:c>
      <x:c r="P801" s="20" t="n">
        <x:v>0.25</x:v>
      </x:c>
      <x:c r="Q801" s="2" t="n">
        <x:v>52</x:v>
      </x:c>
      <x:c r="R801" s="2" t="str">
        <x:v>INFJ</x:v>
      </x:c>
      <x:c r="S801" s="2" t="str">
        <x:v>华东</x:v>
      </x:c>
      <x:c r="T801" s="2" t="str">
        <x:v>生产运输或体力岗位</x:v>
      </x:c>
    </x:row>
    <x:row r="802" ht="24" customHeight="1">
      <x:c r="A802" s="2" t="str">
        <x:v>D040_T07_C020_G025</x:v>
      </x:c>
      <x:c r="B802" s="2" t="str">
        <x:v>A0016</x:v>
      </x:c>
      <x:c r="C802" s="2" t="str">
        <x:v>inside</x:v>
      </x:c>
      <x:c r="D802" s="2" t="n">
        <x:v>7</x:v>
      </x:c>
      <x:c r="E802" s="2" t="n">
        <x:v>1</x:v>
      </x:c>
      <x:c r="F802" s="2"/>
      <x:c r="G802" s="2" t="str">
        <x:v>right_censored</x:v>
      </x:c>
      <x:c r="H802" s="2" t="n">
        <x:f>IF(AND(ISNUMBER(F802),F802&gt;=D802),1,0)</x:f>
        <x:v>0</x:v>
      </x:c>
      <x:c r="I802" s="2" t="n">
        <x:f>IF(AND(ISNUMBER(F802),F802&gt;D802),1,0)</x:f>
        <x:v>0</x:v>
      </x:c>
      <x:c r="J802" s="2" t="str">
        <x:f>IF(H802=1,F802-D802,"")</x:f>
      </x:c>
      <x:c r="K802" s="2" t="str">
        <x:f>IF(H802=1,F802-E802,"")</x:f>
      </x:c>
      <x:c r="L802" s="2" t="n">
        <x:v>9</x:v>
      </x:c>
      <x:c r="M802" s="2" t="n">
        <x:v>9</x:v>
      </x:c>
      <x:c r="N802" s="20" t="n">
        <x:v>0.4</x:v>
      </x:c>
      <x:c r="O802" s="20" t="n">
        <x:v>0.2</x:v>
      </x:c>
      <x:c r="P802" s="20" t="n">
        <x:v>0.25</x:v>
      </x:c>
      <x:c r="Q802" s="2" t="n">
        <x:v>60</x:v>
      </x:c>
      <x:c r="R802" s="2" t="str">
        <x:v>ESFJ</x:v>
      </x:c>
      <x:c r="S802" s="2" t="str">
        <x:v>华北</x:v>
      </x:c>
      <x:c r="T802" s="2" t="str">
        <x:v>个体经营或自由职业</x:v>
      </x:c>
    </x:row>
    <x:row r="803" ht="24" customHeight="1">
      <x:c r="A803" s="2" t="str">
        <x:v>D040_T07_C020_G025</x:v>
      </x:c>
      <x:c r="B803" s="2" t="str">
        <x:v>A0017</x:v>
      </x:c>
      <x:c r="C803" s="2" t="str">
        <x:v>inside</x:v>
      </x:c>
      <x:c r="D803" s="2" t="n">
        <x:v>7</x:v>
      </x:c>
      <x:c r="E803" s="2" t="n">
        <x:v>1</x:v>
      </x:c>
      <x:c r="F803" s="2"/>
      <x:c r="G803" s="2" t="str">
        <x:v>right_censored</x:v>
      </x:c>
      <x:c r="H803" s="2" t="n">
        <x:f>IF(AND(ISNUMBER(F803),F803&gt;=D803),1,0)</x:f>
        <x:v>0</x:v>
      </x:c>
      <x:c r="I803" s="2" t="n">
        <x:f>IF(AND(ISNUMBER(F803),F803&gt;D803),1,0)</x:f>
        <x:v>0</x:v>
      </x:c>
      <x:c r="J803" s="2" t="str">
        <x:f>IF(H803=1,F803-D803,"")</x:f>
      </x:c>
      <x:c r="K803" s="2" t="str">
        <x:f>IF(H803=1,F803-E803,"")</x:f>
      </x:c>
      <x:c r="L803" s="2" t="n">
        <x:v>9</x:v>
      </x:c>
      <x:c r="M803" s="2" t="n">
        <x:v>9</x:v>
      </x:c>
      <x:c r="N803" s="20" t="n">
        <x:v>0.4</x:v>
      </x:c>
      <x:c r="O803" s="20" t="n">
        <x:v>0.2</x:v>
      </x:c>
      <x:c r="P803" s="20" t="n">
        <x:v>0.25</x:v>
      </x:c>
      <x:c r="Q803" s="2" t="n">
        <x:v>30</x:v>
      </x:c>
      <x:c r="R803" s="2" t="str">
        <x:v>ISTJ</x:v>
      </x:c>
      <x:c r="S803" s="2" t="str">
        <x:v>华东</x:v>
      </x:c>
      <x:c r="T803" s="2" t="str">
        <x:v>商业服务岗位</x:v>
      </x:c>
    </x:row>
    <x:row r="804" ht="24" customHeight="1">
      <x:c r="A804" s="2" t="str">
        <x:v>D040_T07_C020_G025</x:v>
      </x:c>
      <x:c r="B804" s="2" t="str">
        <x:v>A0018</x:v>
      </x:c>
      <x:c r="C804" s="2" t="str">
        <x:v>inside</x:v>
      </x:c>
      <x:c r="D804" s="2" t="n">
        <x:v>7</x:v>
      </x:c>
      <x:c r="E804" s="2" t="n">
        <x:v>1</x:v>
      </x:c>
      <x:c r="F804" s="2"/>
      <x:c r="G804" s="2" t="str">
        <x:v>right_censored</x:v>
      </x:c>
      <x:c r="H804" s="2" t="n">
        <x:f>IF(AND(ISNUMBER(F804),F804&gt;=D804),1,0)</x:f>
        <x:v>0</x:v>
      </x:c>
      <x:c r="I804" s="2" t="n">
        <x:f>IF(AND(ISNUMBER(F804),F804&gt;D804),1,0)</x:f>
        <x:v>0</x:v>
      </x:c>
      <x:c r="J804" s="2" t="str">
        <x:f>IF(H804=1,F804-D804,"")</x:f>
      </x:c>
      <x:c r="K804" s="2" t="str">
        <x:f>IF(H804=1,F804-E804,"")</x:f>
      </x:c>
      <x:c r="L804" s="2" t="n">
        <x:v>9</x:v>
      </x:c>
      <x:c r="M804" s="2" t="n">
        <x:v>9</x:v>
      </x:c>
      <x:c r="N804" s="20" t="n">
        <x:v>0.4</x:v>
      </x:c>
      <x:c r="O804" s="20" t="n">
        <x:v>0.2</x:v>
      </x:c>
      <x:c r="P804" s="20" t="n">
        <x:v>0.25</x:v>
      </x:c>
      <x:c r="Q804" s="2" t="n">
        <x:v>60</x:v>
      </x:c>
      <x:c r="R804" s="2" t="str">
        <x:v>INTJ</x:v>
      </x:c>
      <x:c r="S804" s="2" t="str">
        <x:v>华南</x:v>
      </x:c>
      <x:c r="T804" s="2" t="str">
        <x:v>专业技术岗位</x:v>
      </x:c>
    </x:row>
    <x:row r="805" ht="24" customHeight="1">
      <x:c r="A805" s="2" t="str">
        <x:v>D040_T07_C020_G025</x:v>
      </x:c>
      <x:c r="B805" s="2" t="str">
        <x:v>A0019</x:v>
      </x:c>
      <x:c r="C805" s="2" t="str">
        <x:v>inside</x:v>
      </x:c>
      <x:c r="D805" s="2" t="n">
        <x:v>7</x:v>
      </x:c>
      <x:c r="E805" s="2" t="n">
        <x:v>1</x:v>
      </x:c>
      <x:c r="F805" s="2"/>
      <x:c r="G805" s="2" t="str">
        <x:v>right_censored</x:v>
      </x:c>
      <x:c r="H805" s="2" t="n">
        <x:f>IF(AND(ISNUMBER(F805),F805&gt;=D805),1,0)</x:f>
        <x:v>0</x:v>
      </x:c>
      <x:c r="I805" s="2" t="n">
        <x:f>IF(AND(ISNUMBER(F805),F805&gt;D805),1,0)</x:f>
        <x:v>0</x:v>
      </x:c>
      <x:c r="J805" s="2" t="str">
        <x:f>IF(H805=1,F805-D805,"")</x:f>
      </x:c>
      <x:c r="K805" s="2" t="str">
        <x:f>IF(H805=1,F805-E805,"")</x:f>
      </x:c>
      <x:c r="L805" s="2" t="n">
        <x:v>9</x:v>
      </x:c>
      <x:c r="M805" s="2"/>
      <x:c r="N805" s="20" t="n">
        <x:v>0.4</x:v>
      </x:c>
      <x:c r="O805" s="20" t="n">
        <x:v>0.2</x:v>
      </x:c>
      <x:c r="P805" s="20" t="n">
        <x:v>0.25</x:v>
      </x:c>
      <x:c r="Q805" s="2" t="n">
        <x:v>19</x:v>
      </x:c>
      <x:c r="R805" s="2" t="str">
        <x:v>INTJ</x:v>
      </x:c>
      <x:c r="S805" s="2" t="str">
        <x:v>西南</x:v>
      </x:c>
      <x:c r="T805" s="2" t="str">
        <x:v>行政或办公室岗位</x:v>
      </x:c>
    </x:row>
    <x:row r="806" ht="24" customHeight="1">
      <x:c r="A806" s="2" t="str">
        <x:v>D040_T07_C020_G025</x:v>
      </x:c>
      <x:c r="B806" s="2" t="str">
        <x:v>A0020</x:v>
      </x:c>
      <x:c r="C806" s="2" t="str">
        <x:v>inside</x:v>
      </x:c>
      <x:c r="D806" s="2" t="n">
        <x:v>7</x:v>
      </x:c>
      <x:c r="E806" s="2" t="n">
        <x:v>1</x:v>
      </x:c>
      <x:c r="F806" s="2"/>
      <x:c r="G806" s="2" t="str">
        <x:v>right_censored</x:v>
      </x:c>
      <x:c r="H806" s="2" t="n">
        <x:f>IF(AND(ISNUMBER(F806),F806&gt;=D806),1,0)</x:f>
        <x:v>0</x:v>
      </x:c>
      <x:c r="I806" s="2" t="n">
        <x:f>IF(AND(ISNUMBER(F806),F806&gt;D806),1,0)</x:f>
        <x:v>0</x:v>
      </x:c>
      <x:c r="J806" s="2" t="str">
        <x:f>IF(H806=1,F806-D806,"")</x:f>
      </x:c>
      <x:c r="K806" s="2" t="str">
        <x:f>IF(H806=1,F806-E806,"")</x:f>
      </x:c>
      <x:c r="L806" s="2" t="n">
        <x:v>9</x:v>
      </x:c>
      <x:c r="M806" s="2" t="n">
        <x:v>7</x:v>
      </x:c>
      <x:c r="N806" s="20" t="n">
        <x:v>0.4</x:v>
      </x:c>
      <x:c r="O806" s="20" t="n">
        <x:v>0.2</x:v>
      </x:c>
      <x:c r="P806" s="20" t="n">
        <x:v>0.25</x:v>
      </x:c>
      <x:c r="Q806" s="2" t="n">
        <x:v>42</x:v>
      </x:c>
      <x:c r="R806" s="2" t="str">
        <x:v>ENTJ</x:v>
      </x:c>
      <x:c r="S806" s="2" t="str">
        <x:v>西南</x:v>
      </x:c>
      <x:c r="T806" s="2" t="str">
        <x:v>行政或办公室岗位</x:v>
      </x:c>
    </x:row>
    <x:row r="807" ht="24" customHeight="1">
      <x:c r="A807" s="2" t="str">
        <x:v>D040_T07_C020_G025</x:v>
      </x:c>
      <x:c r="B807" s="2" t="str">
        <x:v>A0022</x:v>
      </x:c>
      <x:c r="C807" s="2" t="str">
        <x:v>inside</x:v>
      </x:c>
      <x:c r="D807" s="2" t="n">
        <x:v>7</x:v>
      </x:c>
      <x:c r="E807" s="2" t="n">
        <x:v>1</x:v>
      </x:c>
      <x:c r="F807" s="2"/>
      <x:c r="G807" s="2" t="str">
        <x:v>right_censored</x:v>
      </x:c>
      <x:c r="H807" s="2" t="n">
        <x:f>IF(AND(ISNUMBER(F807),F807&gt;=D807),1,0)</x:f>
        <x:v>0</x:v>
      </x:c>
      <x:c r="I807" s="2" t="n">
        <x:f>IF(AND(ISNUMBER(F807),F807&gt;D807),1,0)</x:f>
        <x:v>0</x:v>
      </x:c>
      <x:c r="J807" s="2" t="str">
        <x:f>IF(H807=1,F807-D807,"")</x:f>
      </x:c>
      <x:c r="K807" s="2" t="str">
        <x:f>IF(H807=1,F807-E807,"")</x:f>
      </x:c>
      <x:c r="L807" s="2" t="n">
        <x:v>9</x:v>
      </x:c>
      <x:c r="M807" s="2" t="n">
        <x:v>9</x:v>
      </x:c>
      <x:c r="N807" s="20" t="n">
        <x:v>0.4</x:v>
      </x:c>
      <x:c r="O807" s="20" t="n">
        <x:v>0.2</x:v>
      </x:c>
      <x:c r="P807" s="20" t="n">
        <x:v>0.25</x:v>
      </x:c>
      <x:c r="Q807" s="2" t="n">
        <x:v>51</x:v>
      </x:c>
      <x:c r="R807" s="2" t="str">
        <x:v>INFJ</x:v>
      </x:c>
      <x:c r="S807" s="2" t="str">
        <x:v>西南</x:v>
      </x:c>
      <x:c r="T807" s="2" t="str">
        <x:v>个体经营或自由职业</x:v>
      </x:c>
    </x:row>
    <x:row r="808" ht="24" customHeight="1">
      <x:c r="A808" s="2" t="str">
        <x:v>D040_T07_C020_G025</x:v>
      </x:c>
      <x:c r="B808" s="2" t="str">
        <x:v>A0023</x:v>
      </x:c>
      <x:c r="C808" s="2" t="str">
        <x:v>inside</x:v>
      </x:c>
      <x:c r="D808" s="2" t="n">
        <x:v>7</x:v>
      </x:c>
      <x:c r="E808" s="2" t="n">
        <x:v>6</x:v>
      </x:c>
      <x:c r="F808" s="2" t="n">
        <x:v>9</x:v>
      </x:c>
      <x:c r="G808" s="2" t="str">
        <x:v>observed_post_release</x:v>
      </x:c>
      <x:c r="H808" s="2" t="n">
        <x:f>IF(AND(ISNUMBER(F808),F808&gt;=D808),1,0)</x:f>
        <x:v>1</x:v>
      </x:c>
      <x:c r="I808" s="2" t="n">
        <x:f>IF(AND(ISNUMBER(F808),F808&gt;D808),1,0)</x:f>
        <x:v>1</x:v>
      </x:c>
      <x:c r="J808" s="2" t="n">
        <x:f>IF(H808=1,F808-D808,"")</x:f>
        <x:v>2</x:v>
      </x:c>
      <x:c r="K808" s="2" t="n">
        <x:f>IF(H808=1,F808-E808,"")</x:f>
        <x:v>3</x:v>
      </x:c>
      <x:c r="L808" s="2" t="n">
        <x:v>4</x:v>
      </x:c>
      <x:c r="M808" s="2" t="n">
        <x:v>9</x:v>
      </x:c>
      <x:c r="N808" s="20" t="n">
        <x:v>0.4</x:v>
      </x:c>
      <x:c r="O808" s="20" t="n">
        <x:v>0.2</x:v>
      </x:c>
      <x:c r="P808" s="20" t="n">
        <x:v>0.25</x:v>
      </x:c>
      <x:c r="Q808" s="2" t="n">
        <x:v>56</x:v>
      </x:c>
      <x:c r="R808" s="2" t="str">
        <x:v>INFP</x:v>
      </x:c>
      <x:c r="S808" s="2" t="str">
        <x:v>东北</x:v>
      </x:c>
      <x:c r="T808" s="2" t="str">
        <x:v>行政或办公室岗位</x:v>
      </x:c>
    </x:row>
    <x:row r="809" ht="24" customHeight="1">
      <x:c r="A809" s="2" t="str">
        <x:v>D040_T07_C020_G025</x:v>
      </x:c>
      <x:c r="B809" s="2" t="str">
        <x:v>A0024</x:v>
      </x:c>
      <x:c r="C809" s="2" t="str">
        <x:v>inside</x:v>
      </x:c>
      <x:c r="D809" s="2" t="n">
        <x:v>7</x:v>
      </x:c>
      <x:c r="E809" s="2" t="n">
        <x:v>1</x:v>
      </x:c>
      <x:c r="F809" s="2"/>
      <x:c r="G809" s="2" t="str">
        <x:v>right_censored</x:v>
      </x:c>
      <x:c r="H809" s="2" t="n">
        <x:f>IF(AND(ISNUMBER(F809),F809&gt;=D809),1,0)</x:f>
        <x:v>0</x:v>
      </x:c>
      <x:c r="I809" s="2" t="n">
        <x:f>IF(AND(ISNUMBER(F809),F809&gt;D809),1,0)</x:f>
        <x:v>0</x:v>
      </x:c>
      <x:c r="J809" s="2" t="str">
        <x:f>IF(H809=1,F809-D809,"")</x:f>
      </x:c>
      <x:c r="K809" s="2" t="str">
        <x:f>IF(H809=1,F809-E809,"")</x:f>
      </x:c>
      <x:c r="L809" s="2" t="n">
        <x:v>9</x:v>
      </x:c>
      <x:c r="M809" s="2" t="n">
        <x:v>9</x:v>
      </x:c>
      <x:c r="N809" s="20" t="n">
        <x:v>0.4</x:v>
      </x:c>
      <x:c r="O809" s="20" t="n">
        <x:v>0.2</x:v>
      </x:c>
      <x:c r="P809" s="20" t="n">
        <x:v>0.25</x:v>
      </x:c>
      <x:c r="Q809" s="2" t="n">
        <x:v>31</x:v>
      </x:c>
      <x:c r="R809" s="2" t="str">
        <x:v>ESTP</x:v>
      </x:c>
      <x:c r="S809" s="2" t="str">
        <x:v>华北</x:v>
      </x:c>
      <x:c r="T809" s="2" t="str">
        <x:v>商业服务岗位</x:v>
      </x:c>
    </x:row>
    <x:row r="810" ht="24" customHeight="1">
      <x:c r="A810" s="2" t="str">
        <x:v>D040_T07_C020_G025</x:v>
      </x:c>
      <x:c r="B810" s="2" t="str">
        <x:v>A0025</x:v>
      </x:c>
      <x:c r="C810" s="2" t="str">
        <x:v>inside</x:v>
      </x:c>
      <x:c r="D810" s="2" t="n">
        <x:v>7</x:v>
      </x:c>
      <x:c r="E810" s="2" t="n">
        <x:v>1</x:v>
      </x:c>
      <x:c r="F810" s="2"/>
      <x:c r="G810" s="2" t="str">
        <x:v>right_censored</x:v>
      </x:c>
      <x:c r="H810" s="2" t="n">
        <x:f>IF(AND(ISNUMBER(F810),F810&gt;=D810),1,0)</x:f>
        <x:v>0</x:v>
      </x:c>
      <x:c r="I810" s="2" t="n">
        <x:f>IF(AND(ISNUMBER(F810),F810&gt;D810),1,0)</x:f>
        <x:v>0</x:v>
      </x:c>
      <x:c r="J810" s="2" t="str">
        <x:f>IF(H810=1,F810-D810,"")</x:f>
      </x:c>
      <x:c r="K810" s="2" t="str">
        <x:f>IF(H810=1,F810-E810,"")</x:f>
      </x:c>
      <x:c r="L810" s="2" t="n">
        <x:v>9</x:v>
      </x:c>
      <x:c r="M810" s="2" t="n">
        <x:v>7</x:v>
      </x:c>
      <x:c r="N810" s="20" t="n">
        <x:v>0.4</x:v>
      </x:c>
      <x:c r="O810" s="20" t="n">
        <x:v>0.2</x:v>
      </x:c>
      <x:c r="P810" s="20" t="n">
        <x:v>0.25</x:v>
      </x:c>
      <x:c r="Q810" s="2" t="n">
        <x:v>23</x:v>
      </x:c>
      <x:c r="R810" s="2" t="str">
        <x:v>ISTP</x:v>
      </x:c>
      <x:c r="S810" s="2" t="str">
        <x:v>华南</x:v>
      </x:c>
      <x:c r="T810" s="2" t="str">
        <x:v>行政或办公室岗位</x:v>
      </x:c>
    </x:row>
    <x:row r="811" ht="24" customHeight="1">
      <x:c r="A811" s="2" t="str">
        <x:v>D040_T07_C020_G025</x:v>
      </x:c>
      <x:c r="B811" s="2" t="str">
        <x:v>A0026</x:v>
      </x:c>
      <x:c r="C811" s="2" t="str">
        <x:v>inside</x:v>
      </x:c>
      <x:c r="D811" s="2" t="n">
        <x:v>7</x:v>
      </x:c>
      <x:c r="E811" s="2" t="n">
        <x:v>1</x:v>
      </x:c>
      <x:c r="F811" s="2"/>
      <x:c r="G811" s="2" t="str">
        <x:v>right_censored</x:v>
      </x:c>
      <x:c r="H811" s="2" t="n">
        <x:f>IF(AND(ISNUMBER(F811),F811&gt;=D811),1,0)</x:f>
        <x:v>0</x:v>
      </x:c>
      <x:c r="I811" s="2" t="n">
        <x:f>IF(AND(ISNUMBER(F811),F811&gt;D811),1,0)</x:f>
        <x:v>0</x:v>
      </x:c>
      <x:c r="J811" s="2" t="str">
        <x:f>IF(H811=1,F811-D811,"")</x:f>
      </x:c>
      <x:c r="K811" s="2" t="str">
        <x:f>IF(H811=1,F811-E811,"")</x:f>
      </x:c>
      <x:c r="L811" s="2" t="n">
        <x:v>9</x:v>
      </x:c>
      <x:c r="M811" s="2" t="n">
        <x:v>7</x:v>
      </x:c>
      <x:c r="N811" s="20" t="n">
        <x:v>0.4</x:v>
      </x:c>
      <x:c r="O811" s="20" t="n">
        <x:v>0.2</x:v>
      </x:c>
      <x:c r="P811" s="20" t="n">
        <x:v>0.25</x:v>
      </x:c>
      <x:c r="Q811" s="2" t="n">
        <x:v>36</x:v>
      </x:c>
      <x:c r="R811" s="2" t="str">
        <x:v>ISFP</x:v>
      </x:c>
      <x:c r="S811" s="2" t="str">
        <x:v>西北</x:v>
      </x:c>
      <x:c r="T811" s="2" t="str">
        <x:v>个体经营或自由职业</x:v>
      </x:c>
    </x:row>
    <x:row r="812" ht="24" customHeight="1">
      <x:c r="A812" s="2" t="str">
        <x:v>D040_T07_C020_G025</x:v>
      </x:c>
      <x:c r="B812" s="2" t="str">
        <x:v>A0027</x:v>
      </x:c>
      <x:c r="C812" s="2" t="str">
        <x:v>inside</x:v>
      </x:c>
      <x:c r="D812" s="2" t="n">
        <x:v>7</x:v>
      </x:c>
      <x:c r="E812" s="2" t="n">
        <x:v>1</x:v>
      </x:c>
      <x:c r="F812" s="2"/>
      <x:c r="G812" s="2" t="str">
        <x:v>right_censored</x:v>
      </x:c>
      <x:c r="H812" s="2" t="n">
        <x:f>IF(AND(ISNUMBER(F812),F812&gt;=D812),1,0)</x:f>
        <x:v>0</x:v>
      </x:c>
      <x:c r="I812" s="2" t="n">
        <x:f>IF(AND(ISNUMBER(F812),F812&gt;D812),1,0)</x:f>
        <x:v>0</x:v>
      </x:c>
      <x:c r="J812" s="2" t="str">
        <x:f>IF(H812=1,F812-D812,"")</x:f>
      </x:c>
      <x:c r="K812" s="2" t="str">
        <x:f>IF(H812=1,F812-E812,"")</x:f>
      </x:c>
      <x:c r="L812" s="2" t="n">
        <x:v>9</x:v>
      </x:c>
      <x:c r="M812" s="2" t="n">
        <x:v>8</x:v>
      </x:c>
      <x:c r="N812" s="20" t="n">
        <x:v>0.4</x:v>
      </x:c>
      <x:c r="O812" s="20" t="n">
        <x:v>0.2</x:v>
      </x:c>
      <x:c r="P812" s="20" t="n">
        <x:v>0.25</x:v>
      </x:c>
      <x:c r="Q812" s="2" t="n">
        <x:v>25</x:v>
      </x:c>
      <x:c r="R812" s="2" t="str">
        <x:v>ESFP</x:v>
      </x:c>
      <x:c r="S812" s="2" t="str">
        <x:v>西北</x:v>
      </x:c>
      <x:c r="T812" s="2" t="str">
        <x:v>暂未就业或家庭照料</x:v>
      </x:c>
    </x:row>
    <x:row r="813" ht="24" customHeight="1">
      <x:c r="A813" s="2" t="str">
        <x:v>D040_T07_C020_G025</x:v>
      </x:c>
      <x:c r="B813" s="2" t="str">
        <x:v>A0029</x:v>
      </x:c>
      <x:c r="C813" s="2" t="str">
        <x:v>inside</x:v>
      </x:c>
      <x:c r="D813" s="2" t="n">
        <x:v>7</x:v>
      </x:c>
      <x:c r="E813" s="2" t="n">
        <x:v>1</x:v>
      </x:c>
      <x:c r="F813" s="2"/>
      <x:c r="G813" s="2" t="str">
        <x:v>right_censored</x:v>
      </x:c>
      <x:c r="H813" s="2" t="n">
        <x:f>IF(AND(ISNUMBER(F813),F813&gt;=D813),1,0)</x:f>
        <x:v>0</x:v>
      </x:c>
      <x:c r="I813" s="2" t="n">
        <x:f>IF(AND(ISNUMBER(F813),F813&gt;D813),1,0)</x:f>
        <x:v>0</x:v>
      </x:c>
      <x:c r="J813" s="2" t="str">
        <x:f>IF(H813=1,F813-D813,"")</x:f>
      </x:c>
      <x:c r="K813" s="2" t="str">
        <x:f>IF(H813=1,F813-E813,"")</x:f>
      </x:c>
      <x:c r="L813" s="2" t="n">
        <x:v>9</x:v>
      </x:c>
      <x:c r="M813" s="2" t="n">
        <x:v>8</x:v>
      </x:c>
      <x:c r="N813" s="20" t="n">
        <x:v>0.4</x:v>
      </x:c>
      <x:c r="O813" s="20" t="n">
        <x:v>0.2</x:v>
      </x:c>
      <x:c r="P813" s="20" t="n">
        <x:v>0.25</x:v>
      </x:c>
      <x:c r="Q813" s="2" t="n">
        <x:v>69</x:v>
      </x:c>
      <x:c r="R813" s="2" t="str">
        <x:v>ENTP</x:v>
      </x:c>
      <x:c r="S813" s="2" t="str">
        <x:v>华东</x:v>
      </x:c>
      <x:c r="T813" s="2" t="str">
        <x:v>退休人员</x:v>
      </x:c>
    </x:row>
    <x:row r="814" ht="24" customHeight="1">
      <x:c r="A814" s="2" t="str">
        <x:v>D040_T07_C020_G025</x:v>
      </x:c>
      <x:c r="B814" s="2" t="str">
        <x:v>A0030</x:v>
      </x:c>
      <x:c r="C814" s="2" t="str">
        <x:v>inside</x:v>
      </x:c>
      <x:c r="D814" s="2" t="n">
        <x:v>7</x:v>
      </x:c>
      <x:c r="E814" s="2" t="n">
        <x:v>1</x:v>
      </x:c>
      <x:c r="F814" s="2"/>
      <x:c r="G814" s="2" t="str">
        <x:v>right_censored</x:v>
      </x:c>
      <x:c r="H814" s="2" t="n">
        <x:f>IF(AND(ISNUMBER(F814),F814&gt;=D814),1,0)</x:f>
        <x:v>0</x:v>
      </x:c>
      <x:c r="I814" s="2" t="n">
        <x:f>IF(AND(ISNUMBER(F814),F814&gt;D814),1,0)</x:f>
        <x:v>0</x:v>
      </x:c>
      <x:c r="J814" s="2" t="str">
        <x:f>IF(H814=1,F814-D814,"")</x:f>
      </x:c>
      <x:c r="K814" s="2" t="str">
        <x:f>IF(H814=1,F814-E814,"")</x:f>
      </x:c>
      <x:c r="L814" s="2" t="n">
        <x:v>9</x:v>
      </x:c>
      <x:c r="M814" s="2"/>
      <x:c r="N814" s="20" t="n">
        <x:v>0.4</x:v>
      </x:c>
      <x:c r="O814" s="20" t="n">
        <x:v>0.2</x:v>
      </x:c>
      <x:c r="P814" s="20" t="n">
        <x:v>0.25</x:v>
      </x:c>
      <x:c r="Q814" s="2" t="n">
        <x:v>23</x:v>
      </x:c>
      <x:c r="R814" s="2" t="str">
        <x:v>ISFP</x:v>
      </x:c>
      <x:c r="S814" s="2" t="str">
        <x:v>华东</x:v>
      </x:c>
      <x:c r="T814" s="2" t="str">
        <x:v>在校学生</x:v>
      </x:c>
    </x:row>
    <x:row r="815" ht="24" customHeight="1">
      <x:c r="A815" s="2" t="str">
        <x:v>D040_T07_C020_G025</x:v>
      </x:c>
      <x:c r="B815" s="2" t="str">
        <x:v>A0031</x:v>
      </x:c>
      <x:c r="C815" s="2" t="str">
        <x:v>inside</x:v>
      </x:c>
      <x:c r="D815" s="2" t="n">
        <x:v>7</x:v>
      </x:c>
      <x:c r="E815" s="2" t="n">
        <x:v>1</x:v>
      </x:c>
      <x:c r="F815" s="2" t="n">
        <x:v>9</x:v>
      </x:c>
      <x:c r="G815" s="2" t="str">
        <x:v>observed_post_release</x:v>
      </x:c>
      <x:c r="H815" s="2" t="n">
        <x:f>IF(AND(ISNUMBER(F815),F815&gt;=D815),1,0)</x:f>
        <x:v>1</x:v>
      </x:c>
      <x:c r="I815" s="2" t="n">
        <x:f>IF(AND(ISNUMBER(F815),F815&gt;D815),1,0)</x:f>
        <x:v>1</x:v>
      </x:c>
      <x:c r="J815" s="2" t="n">
        <x:f>IF(H815=1,F815-D815,"")</x:f>
        <x:v>2</x:v>
      </x:c>
      <x:c r="K815" s="2" t="n">
        <x:f>IF(H815=1,F815-E815,"")</x:f>
        <x:v>8</x:v>
      </x:c>
      <x:c r="L815" s="2" t="n">
        <x:v>9</x:v>
      </x:c>
      <x:c r="M815" s="2" t="n">
        <x:v>8</x:v>
      </x:c>
      <x:c r="N815" s="20" t="n">
        <x:v>0.4</x:v>
      </x:c>
      <x:c r="O815" s="20" t="n">
        <x:v>0.2</x:v>
      </x:c>
      <x:c r="P815" s="20" t="n">
        <x:v>0.25</x:v>
      </x:c>
      <x:c r="Q815" s="2" t="n">
        <x:v>34</x:v>
      </x:c>
      <x:c r="R815" s="2" t="str">
        <x:v>ENTJ</x:v>
      </x:c>
      <x:c r="S815" s="2" t="str">
        <x:v>西南</x:v>
      </x:c>
      <x:c r="T815" s="2" t="str">
        <x:v>个体经营或自由职业</x:v>
      </x:c>
    </x:row>
    <x:row r="816" ht="24" customHeight="1">
      <x:c r="A816" s="2" t="str">
        <x:v>D040_T07_C020_G025</x:v>
      </x:c>
      <x:c r="B816" s="2" t="str">
        <x:v>A0032</x:v>
      </x:c>
      <x:c r="C816" s="2" t="str">
        <x:v>inside</x:v>
      </x:c>
      <x:c r="D816" s="2" t="n">
        <x:v>7</x:v>
      </x:c>
      <x:c r="E816" s="2" t="n">
        <x:v>1</x:v>
      </x:c>
      <x:c r="F816" s="2"/>
      <x:c r="G816" s="2" t="str">
        <x:v>right_censored</x:v>
      </x:c>
      <x:c r="H816" s="2" t="n">
        <x:f>IF(AND(ISNUMBER(F816),F816&gt;=D816),1,0)</x:f>
        <x:v>0</x:v>
      </x:c>
      <x:c r="I816" s="2" t="n">
        <x:f>IF(AND(ISNUMBER(F816),F816&gt;D816),1,0)</x:f>
        <x:v>0</x:v>
      </x:c>
      <x:c r="J816" s="2" t="str">
        <x:f>IF(H816=1,F816-D816,"")</x:f>
      </x:c>
      <x:c r="K816" s="2" t="str">
        <x:f>IF(H816=1,F816-E816,"")</x:f>
      </x:c>
      <x:c r="L816" s="2" t="n">
        <x:v>9</x:v>
      </x:c>
      <x:c r="M816" s="2" t="n">
        <x:v>7</x:v>
      </x:c>
      <x:c r="N816" s="20" t="n">
        <x:v>0.4</x:v>
      </x:c>
      <x:c r="O816" s="20" t="n">
        <x:v>0.2</x:v>
      </x:c>
      <x:c r="P816" s="20" t="n">
        <x:v>0.25</x:v>
      </x:c>
      <x:c r="Q816" s="2" t="n">
        <x:v>53</x:v>
      </x:c>
      <x:c r="R816" s="2" t="str">
        <x:v>INTP</x:v>
      </x:c>
      <x:c r="S816" s="2" t="str">
        <x:v>华北</x:v>
      </x:c>
      <x:c r="T816" s="2" t="str">
        <x:v>个体经营或自由职业</x:v>
      </x:c>
    </x:row>
    <x:row r="817" ht="24" customHeight="1">
      <x:c r="A817" s="2" t="str">
        <x:v>D040_T07_C020_G025</x:v>
      </x:c>
      <x:c r="B817" s="2" t="str">
        <x:v>A0033</x:v>
      </x:c>
      <x:c r="C817" s="2" t="str">
        <x:v>inside</x:v>
      </x:c>
      <x:c r="D817" s="2" t="n">
        <x:v>7</x:v>
      </x:c>
      <x:c r="E817" s="2" t="n">
        <x:v>1</x:v>
      </x:c>
      <x:c r="F817" s="2"/>
      <x:c r="G817" s="2" t="str">
        <x:v>right_censored</x:v>
      </x:c>
      <x:c r="H817" s="2" t="n">
        <x:f>IF(AND(ISNUMBER(F817),F817&gt;=D817),1,0)</x:f>
        <x:v>0</x:v>
      </x:c>
      <x:c r="I817" s="2" t="n">
        <x:f>IF(AND(ISNUMBER(F817),F817&gt;D817),1,0)</x:f>
        <x:v>0</x:v>
      </x:c>
      <x:c r="J817" s="2" t="str">
        <x:f>IF(H817=1,F817-D817,"")</x:f>
      </x:c>
      <x:c r="K817" s="2" t="str">
        <x:f>IF(H817=1,F817-E817,"")</x:f>
      </x:c>
      <x:c r="L817" s="2" t="n">
        <x:v>9</x:v>
      </x:c>
      <x:c r="M817" s="2"/>
      <x:c r="N817" s="20" t="n">
        <x:v>0.4</x:v>
      </x:c>
      <x:c r="O817" s="20" t="n">
        <x:v>0.2</x:v>
      </x:c>
      <x:c r="P817" s="20" t="n">
        <x:v>0.25</x:v>
      </x:c>
      <x:c r="Q817" s="2" t="n">
        <x:v>55</x:v>
      </x:c>
      <x:c r="R817" s="2" t="str">
        <x:v>ENFP</x:v>
      </x:c>
      <x:c r="S817" s="2" t="str">
        <x:v>华南</x:v>
      </x:c>
      <x:c r="T817" s="2" t="str">
        <x:v>个体经营或自由职业</x:v>
      </x:c>
    </x:row>
    <x:row r="818" ht="24" customHeight="1">
      <x:c r="A818" s="2" t="str">
        <x:v>D040_T07_C020_G025</x:v>
      </x:c>
      <x:c r="B818" s="2" t="str">
        <x:v>A0035</x:v>
      </x:c>
      <x:c r="C818" s="2" t="str">
        <x:v>inside</x:v>
      </x:c>
      <x:c r="D818" s="2" t="n">
        <x:v>7</x:v>
      </x:c>
      <x:c r="E818" s="2" t="n">
        <x:v>1</x:v>
      </x:c>
      <x:c r="F818" s="2"/>
      <x:c r="G818" s="2" t="str">
        <x:v>right_censored</x:v>
      </x:c>
      <x:c r="H818" s="2" t="n">
        <x:f>IF(AND(ISNUMBER(F818),F818&gt;=D818),1,0)</x:f>
        <x:v>0</x:v>
      </x:c>
      <x:c r="I818" s="2" t="n">
        <x:f>IF(AND(ISNUMBER(F818),F818&gt;D818),1,0)</x:f>
        <x:v>0</x:v>
      </x:c>
      <x:c r="J818" s="2" t="str">
        <x:f>IF(H818=1,F818-D818,"")</x:f>
      </x:c>
      <x:c r="K818" s="2" t="str">
        <x:f>IF(H818=1,F818-E818,"")</x:f>
      </x:c>
      <x:c r="L818" s="2" t="n">
        <x:v>9</x:v>
      </x:c>
      <x:c r="M818" s="2" t="n">
        <x:v>8</x:v>
      </x:c>
      <x:c r="N818" s="20" t="n">
        <x:v>0.4</x:v>
      </x:c>
      <x:c r="O818" s="20" t="n">
        <x:v>0.2</x:v>
      </x:c>
      <x:c r="P818" s="20" t="n">
        <x:v>0.25</x:v>
      </x:c>
      <x:c r="Q818" s="2" t="n">
        <x:v>42</x:v>
      </x:c>
      <x:c r="R818" s="2" t="str">
        <x:v>ISFJ</x:v>
      </x:c>
      <x:c r="S818" s="2" t="str">
        <x:v>华南</x:v>
      </x:c>
      <x:c r="T818" s="2" t="str">
        <x:v>专业技术岗位</x:v>
      </x:c>
    </x:row>
    <x:row r="819" ht="24" customHeight="1">
      <x:c r="A819" s="2" t="str">
        <x:v>D040_T07_C020_G025</x:v>
      </x:c>
      <x:c r="B819" s="2" t="str">
        <x:v>A0036</x:v>
      </x:c>
      <x:c r="C819" s="2" t="str">
        <x:v>inside</x:v>
      </x:c>
      <x:c r="D819" s="2" t="n">
        <x:v>7</x:v>
      </x:c>
      <x:c r="E819" s="2" t="n">
        <x:v>1</x:v>
      </x:c>
      <x:c r="F819" s="2"/>
      <x:c r="G819" s="2" t="str">
        <x:v>right_censored</x:v>
      </x:c>
      <x:c r="H819" s="2" t="n">
        <x:f>IF(AND(ISNUMBER(F819),F819&gt;=D819),1,0)</x:f>
        <x:v>0</x:v>
      </x:c>
      <x:c r="I819" s="2" t="n">
        <x:f>IF(AND(ISNUMBER(F819),F819&gt;D819),1,0)</x:f>
        <x:v>0</x:v>
      </x:c>
      <x:c r="J819" s="2" t="str">
        <x:f>IF(H819=1,F819-D819,"")</x:f>
      </x:c>
      <x:c r="K819" s="2" t="str">
        <x:f>IF(H819=1,F819-E819,"")</x:f>
      </x:c>
      <x:c r="L819" s="2" t="n">
        <x:v>9</x:v>
      </x:c>
      <x:c r="M819" s="2" t="n">
        <x:v>10</x:v>
      </x:c>
      <x:c r="N819" s="20" t="n">
        <x:v>0.4</x:v>
      </x:c>
      <x:c r="O819" s="20" t="n">
        <x:v>0.2</x:v>
      </x:c>
      <x:c r="P819" s="20" t="n">
        <x:v>0.25</x:v>
      </x:c>
      <x:c r="Q819" s="2" t="n">
        <x:v>43</x:v>
      </x:c>
      <x:c r="R819" s="2" t="str">
        <x:v>ISFJ</x:v>
      </x:c>
      <x:c r="S819" s="2" t="str">
        <x:v>华东</x:v>
      </x:c>
      <x:c r="T819" s="2" t="str">
        <x:v>生产运输或体力岗位</x:v>
      </x:c>
    </x:row>
    <x:row r="820" ht="24" customHeight="1">
      <x:c r="A820" s="2" t="str">
        <x:v>D040_T07_C020_G025</x:v>
      </x:c>
      <x:c r="B820" s="2" t="str">
        <x:v>A0037</x:v>
      </x:c>
      <x:c r="C820" s="2" t="str">
        <x:v>inside</x:v>
      </x:c>
      <x:c r="D820" s="2" t="n">
        <x:v>7</x:v>
      </x:c>
      <x:c r="E820" s="2" t="n">
        <x:v>1</x:v>
      </x:c>
      <x:c r="F820" s="2"/>
      <x:c r="G820" s="2" t="str">
        <x:v>right_censored</x:v>
      </x:c>
      <x:c r="H820" s="2" t="n">
        <x:f>IF(AND(ISNUMBER(F820),F820&gt;=D820),1,0)</x:f>
        <x:v>0</x:v>
      </x:c>
      <x:c r="I820" s="2" t="n">
        <x:f>IF(AND(ISNUMBER(F820),F820&gt;D820),1,0)</x:f>
        <x:v>0</x:v>
      </x:c>
      <x:c r="J820" s="2" t="str">
        <x:f>IF(H820=1,F820-D820,"")</x:f>
      </x:c>
      <x:c r="K820" s="2" t="str">
        <x:f>IF(H820=1,F820-E820,"")</x:f>
      </x:c>
      <x:c r="L820" s="2" t="n">
        <x:v>9</x:v>
      </x:c>
      <x:c r="M820" s="2" t="n">
        <x:v>8</x:v>
      </x:c>
      <x:c r="N820" s="20" t="n">
        <x:v>0.4</x:v>
      </x:c>
      <x:c r="O820" s="20" t="n">
        <x:v>0.2</x:v>
      </x:c>
      <x:c r="P820" s="20" t="n">
        <x:v>0.25</x:v>
      </x:c>
      <x:c r="Q820" s="2" t="n">
        <x:v>24</x:v>
      </x:c>
      <x:c r="R820" s="2" t="str">
        <x:v>ENTP</x:v>
      </x:c>
      <x:c r="S820" s="2" t="str">
        <x:v>华南</x:v>
      </x:c>
      <x:c r="T820" s="2" t="str">
        <x:v>在校学生</x:v>
      </x:c>
    </x:row>
    <x:row r="821" ht="24" customHeight="1">
      <x:c r="A821" s="2" t="str">
        <x:v>D040_T07_C020_G025</x:v>
      </x:c>
      <x:c r="B821" s="2" t="str">
        <x:v>A0038</x:v>
      </x:c>
      <x:c r="C821" s="2" t="str">
        <x:v>inside</x:v>
      </x:c>
      <x:c r="D821" s="2" t="n">
        <x:v>7</x:v>
      </x:c>
      <x:c r="E821" s="2" t="n">
        <x:v>1</x:v>
      </x:c>
      <x:c r="F821" s="2"/>
      <x:c r="G821" s="2" t="str">
        <x:v>right_censored</x:v>
      </x:c>
      <x:c r="H821" s="2" t="n">
        <x:f>IF(AND(ISNUMBER(F821),F821&gt;=D821),1,0)</x:f>
        <x:v>0</x:v>
      </x:c>
      <x:c r="I821" s="2" t="n">
        <x:f>IF(AND(ISNUMBER(F821),F821&gt;D821),1,0)</x:f>
        <x:v>0</x:v>
      </x:c>
      <x:c r="J821" s="2" t="str">
        <x:f>IF(H821=1,F821-D821,"")</x:f>
      </x:c>
      <x:c r="K821" s="2" t="str">
        <x:f>IF(H821=1,F821-E821,"")</x:f>
      </x:c>
      <x:c r="L821" s="2" t="n">
        <x:v>9</x:v>
      </x:c>
      <x:c r="M821" s="2"/>
      <x:c r="N821" s="20" t="n">
        <x:v>0.4</x:v>
      </x:c>
      <x:c r="O821" s="20" t="n">
        <x:v>0.2</x:v>
      </x:c>
      <x:c r="P821" s="20" t="n">
        <x:v>0.25</x:v>
      </x:c>
      <x:c r="Q821" s="2" t="n">
        <x:v>46</x:v>
      </x:c>
      <x:c r="R821" s="2" t="str">
        <x:v>ISTP</x:v>
      </x:c>
      <x:c r="S821" s="2" t="str">
        <x:v>华东</x:v>
      </x:c>
      <x:c r="T821" s="2" t="str">
        <x:v>行政或办公室岗位</x:v>
      </x:c>
    </x:row>
    <x:row r="822" ht="24" customHeight="1">
      <x:c r="A822" s="2" t="str">
        <x:v>D040_T07_C020_G025</x:v>
      </x:c>
      <x:c r="B822" s="2" t="str">
        <x:v>A0039</x:v>
      </x:c>
      <x:c r="C822" s="2" t="str">
        <x:v>inside</x:v>
      </x:c>
      <x:c r="D822" s="2" t="n">
        <x:v>7</x:v>
      </x:c>
      <x:c r="E822" s="2" t="n">
        <x:v>1</x:v>
      </x:c>
      <x:c r="F822" s="2" t="n">
        <x:v>10</x:v>
      </x:c>
      <x:c r="G822" s="2" t="str">
        <x:v>observed_post_release</x:v>
      </x:c>
      <x:c r="H822" s="2" t="n">
        <x:f>IF(AND(ISNUMBER(F822),F822&gt;=D822),1,0)</x:f>
        <x:v>1</x:v>
      </x:c>
      <x:c r="I822" s="2" t="n">
        <x:f>IF(AND(ISNUMBER(F822),F822&gt;D822),1,0)</x:f>
        <x:v>1</x:v>
      </x:c>
      <x:c r="J822" s="2" t="n">
        <x:f>IF(H822=1,F822-D822,"")</x:f>
        <x:v>3</x:v>
      </x:c>
      <x:c r="K822" s="2" t="n">
        <x:f>IF(H822=1,F822-E822,"")</x:f>
        <x:v>9</x:v>
      </x:c>
      <x:c r="L822" s="2" t="n">
        <x:v>9</x:v>
      </x:c>
      <x:c r="M822" s="2" t="n">
        <x:v>9</x:v>
      </x:c>
      <x:c r="N822" s="20" t="n">
        <x:v>0.4</x:v>
      </x:c>
      <x:c r="O822" s="20" t="n">
        <x:v>0.2</x:v>
      </x:c>
      <x:c r="P822" s="20" t="n">
        <x:v>0.25</x:v>
      </x:c>
      <x:c r="Q822" s="2" t="n">
        <x:v>33</x:v>
      </x:c>
      <x:c r="R822" s="2" t="str">
        <x:v>ISTJ</x:v>
      </x:c>
      <x:c r="S822" s="2" t="str">
        <x:v>华南</x:v>
      </x:c>
      <x:c r="T822" s="2" t="str">
        <x:v>专业技术岗位</x:v>
      </x:c>
    </x:row>
    <x:row r="823" ht="24" customHeight="1">
      <x:c r="A823" s="2" t="str">
        <x:v>D040_T07_C020_G025</x:v>
      </x:c>
      <x:c r="B823" s="2" t="str">
        <x:v>A0040</x:v>
      </x:c>
      <x:c r="C823" s="2" t="str">
        <x:v>inside</x:v>
      </x:c>
      <x:c r="D823" s="2" t="n">
        <x:v>7</x:v>
      </x:c>
      <x:c r="E823" s="2" t="n">
        <x:v>1</x:v>
      </x:c>
      <x:c r="F823" s="2"/>
      <x:c r="G823" s="2" t="str">
        <x:v>right_censored</x:v>
      </x:c>
      <x:c r="H823" s="2" t="n">
        <x:f>IF(AND(ISNUMBER(F823),F823&gt;=D823),1,0)</x:f>
        <x:v>0</x:v>
      </x:c>
      <x:c r="I823" s="2" t="n">
        <x:f>IF(AND(ISNUMBER(F823),F823&gt;D823),1,0)</x:f>
        <x:v>0</x:v>
      </x:c>
      <x:c r="J823" s="2" t="str">
        <x:f>IF(H823=1,F823-D823,"")</x:f>
      </x:c>
      <x:c r="K823" s="2" t="str">
        <x:f>IF(H823=1,F823-E823,"")</x:f>
      </x:c>
      <x:c r="L823" s="2" t="n">
        <x:v>9</x:v>
      </x:c>
      <x:c r="M823" s="2" t="n">
        <x:v>9</x:v>
      </x:c>
      <x:c r="N823" s="20" t="n">
        <x:v>0.4</x:v>
      </x:c>
      <x:c r="O823" s="20" t="n">
        <x:v>0.2</x:v>
      </x:c>
      <x:c r="P823" s="20" t="n">
        <x:v>0.25</x:v>
      </x:c>
      <x:c r="Q823" s="2" t="n">
        <x:v>48</x:v>
      </x:c>
      <x:c r="R823" s="2" t="str">
        <x:v>INFP</x:v>
      </x:c>
      <x:c r="S823" s="2" t="str">
        <x:v>西北</x:v>
      </x:c>
      <x:c r="T823" s="2" t="str">
        <x:v>个体经营或自由职业</x:v>
      </x:c>
    </x:row>
    <x:row r="824" ht="24" customHeight="1">
      <x:c r="A824" s="2" t="str">
        <x:v>D040_T07_C020_G025</x:v>
      </x:c>
      <x:c r="B824" s="2" t="str">
        <x:v>A0041</x:v>
      </x:c>
      <x:c r="C824" s="2" t="str">
        <x:v>inside</x:v>
      </x:c>
      <x:c r="D824" s="2" t="n">
        <x:v>7</x:v>
      </x:c>
      <x:c r="E824" s="2" t="n">
        <x:v>1</x:v>
      </x:c>
      <x:c r="F824" s="2"/>
      <x:c r="G824" s="2" t="str">
        <x:v>right_censored</x:v>
      </x:c>
      <x:c r="H824" s="2" t="n">
        <x:f>IF(AND(ISNUMBER(F824),F824&gt;=D824),1,0)</x:f>
        <x:v>0</x:v>
      </x:c>
      <x:c r="I824" s="2" t="n">
        <x:f>IF(AND(ISNUMBER(F824),F824&gt;D824),1,0)</x:f>
        <x:v>0</x:v>
      </x:c>
      <x:c r="J824" s="2" t="str">
        <x:f>IF(H824=1,F824-D824,"")</x:f>
      </x:c>
      <x:c r="K824" s="2" t="str">
        <x:f>IF(H824=1,F824-E824,"")</x:f>
      </x:c>
      <x:c r="L824" s="2" t="n">
        <x:v>9</x:v>
      </x:c>
      <x:c r="M824" s="2" t="n">
        <x:v>9</x:v>
      </x:c>
      <x:c r="N824" s="20" t="n">
        <x:v>0.4</x:v>
      </x:c>
      <x:c r="O824" s="20" t="n">
        <x:v>0.2</x:v>
      </x:c>
      <x:c r="P824" s="20" t="n">
        <x:v>0.25</x:v>
      </x:c>
      <x:c r="Q824" s="2" t="n">
        <x:v>62</x:v>
      </x:c>
      <x:c r="R824" s="2" t="str">
        <x:v>ISFJ</x:v>
      </x:c>
      <x:c r="S824" s="2" t="str">
        <x:v>西北</x:v>
      </x:c>
      <x:c r="T824" s="2" t="str">
        <x:v>个体经营或自由职业</x:v>
      </x:c>
    </x:row>
    <x:row r="825" ht="24" customHeight="1">
      <x:c r="A825" s="2" t="str">
        <x:v>D040_T07_C020_G025</x:v>
      </x:c>
      <x:c r="B825" s="2" t="str">
        <x:v>A0071</x:v>
      </x:c>
      <x:c r="C825" s="2" t="str">
        <x:v>inside</x:v>
      </x:c>
      <x:c r="D825" s="2" t="n">
        <x:v>7</x:v>
      </x:c>
      <x:c r="E825" s="2" t="n">
        <x:v>1</x:v>
      </x:c>
      <x:c r="F825" s="2"/>
      <x:c r="G825" s="2" t="str">
        <x:v>right_censored</x:v>
      </x:c>
      <x:c r="H825" s="2" t="n">
        <x:f>IF(AND(ISNUMBER(F825),F825&gt;=D825),1,0)</x:f>
        <x:v>0</x:v>
      </x:c>
      <x:c r="I825" s="2" t="n">
        <x:f>IF(AND(ISNUMBER(F825),F825&gt;D825),1,0)</x:f>
        <x:v>0</x:v>
      </x:c>
      <x:c r="J825" s="2" t="str">
        <x:f>IF(H825=1,F825-D825,"")</x:f>
      </x:c>
      <x:c r="K825" s="2" t="str">
        <x:f>IF(H825=1,F825-E825,"")</x:f>
      </x:c>
      <x:c r="L825" s="2" t="n">
        <x:v>9</x:v>
      </x:c>
      <x:c r="M825" s="2" t="n">
        <x:v>8</x:v>
      </x:c>
      <x:c r="N825" s="20" t="n">
        <x:v>0.4</x:v>
      </x:c>
      <x:c r="O825" s="20" t="n">
        <x:v>0.2</x:v>
      </x:c>
      <x:c r="P825" s="20" t="n">
        <x:v>0.25</x:v>
      </x:c>
      <x:c r="Q825" s="2" t="n">
        <x:v>33</x:v>
      </x:c>
      <x:c r="R825" s="2" t="str">
        <x:v>ISTJ</x:v>
      </x:c>
      <x:c r="S825" s="2" t="str">
        <x:v>华东</x:v>
      </x:c>
      <x:c r="T825" s="2" t="str">
        <x:v>商业服务岗位</x:v>
      </x:c>
    </x:row>
    <x:row r="826" ht="24" customHeight="1">
      <x:c r="A826" s="2" t="str">
        <x:v>D040_T07_C020_G025</x:v>
      </x:c>
      <x:c r="B826" s="2" t="str">
        <x:v>A0090</x:v>
      </x:c>
      <x:c r="C826" s="2" t="str">
        <x:v>inside</x:v>
      </x:c>
      <x:c r="D826" s="2" t="n">
        <x:v>7</x:v>
      </x:c>
      <x:c r="E826" s="2" t="n">
        <x:v>1</x:v>
      </x:c>
      <x:c r="F826" s="2"/>
      <x:c r="G826" s="2" t="str">
        <x:v>right_censored</x:v>
      </x:c>
      <x:c r="H826" s="2" t="n">
        <x:f>IF(AND(ISNUMBER(F826),F826&gt;=D826),1,0)</x:f>
        <x:v>0</x:v>
      </x:c>
      <x:c r="I826" s="2" t="n">
        <x:f>IF(AND(ISNUMBER(F826),F826&gt;D826),1,0)</x:f>
        <x:v>0</x:v>
      </x:c>
      <x:c r="J826" s="2" t="str">
        <x:f>IF(H826=1,F826-D826,"")</x:f>
      </x:c>
      <x:c r="K826" s="2" t="str">
        <x:f>IF(H826=1,F826-E826,"")</x:f>
      </x:c>
      <x:c r="L826" s="2" t="n">
        <x:v>9</x:v>
      </x:c>
      <x:c r="M826" s="2"/>
      <x:c r="N826" s="20" t="n">
        <x:v>0.4</x:v>
      </x:c>
      <x:c r="O826" s="20" t="n">
        <x:v>0.2</x:v>
      </x:c>
      <x:c r="P826" s="20" t="n">
        <x:v>0.25</x:v>
      </x:c>
      <x:c r="Q826" s="2" t="n">
        <x:v>46</x:v>
      </x:c>
      <x:c r="R826" s="2" t="str">
        <x:v>ENFJ</x:v>
      </x:c>
      <x:c r="S826" s="2" t="str">
        <x:v>西北</x:v>
      </x:c>
      <x:c r="T826" s="2" t="str">
        <x:v>个体经营或自由职业</x:v>
      </x:c>
    </x:row>
    <x:row r="827" ht="24" customHeight="1">
      <x:c r="A827" s="2" t="str">
        <x:v>D040_T07_C020_G025</x:v>
      </x:c>
      <x:c r="B827" s="2" t="str">
        <x:v>A0206</x:v>
      </x:c>
      <x:c r="C827" s="2" t="str">
        <x:v>inside</x:v>
      </x:c>
      <x:c r="D827" s="2" t="n">
        <x:v>7</x:v>
      </x:c>
      <x:c r="E827" s="2" t="n">
        <x:v>1</x:v>
      </x:c>
      <x:c r="F827" s="2" t="n">
        <x:v>8</x:v>
      </x:c>
      <x:c r="G827" s="2" t="str">
        <x:v>observed_post_release</x:v>
      </x:c>
      <x:c r="H827" s="2" t="n">
        <x:f>IF(AND(ISNUMBER(F827),F827&gt;=D827),1,0)</x:f>
        <x:v>1</x:v>
      </x:c>
      <x:c r="I827" s="2" t="n">
        <x:f>IF(AND(ISNUMBER(F827),F827&gt;D827),1,0)</x:f>
        <x:v>1</x:v>
      </x:c>
      <x:c r="J827" s="2" t="n">
        <x:f>IF(H827=1,F827-D827,"")</x:f>
        <x:v>1</x:v>
      </x:c>
      <x:c r="K827" s="2" t="n">
        <x:f>IF(H827=1,F827-E827,"")</x:f>
        <x:v>7</x:v>
      </x:c>
      <x:c r="L827" s="2" t="n">
        <x:v>9</x:v>
      </x:c>
      <x:c r="M827" s="2" t="n">
        <x:v>7</x:v>
      </x:c>
      <x:c r="N827" s="20" t="n">
        <x:v>0.4</x:v>
      </x:c>
      <x:c r="O827" s="20" t="n">
        <x:v>0.2</x:v>
      </x:c>
      <x:c r="P827" s="20" t="n">
        <x:v>0.25</x:v>
      </x:c>
      <x:c r="Q827" s="2" t="n">
        <x:v>21</x:v>
      </x:c>
      <x:c r="R827" s="2" t="str">
        <x:v>ESTP</x:v>
      </x:c>
      <x:c r="S827" s="2" t="str">
        <x:v>西北</x:v>
      </x:c>
      <x:c r="T827" s="2" t="str">
        <x:v>暂未就业或家庭照料</x:v>
      </x:c>
    </x:row>
    <x:row r="828" ht="24" customHeight="1">
      <x:c r="A828" s="2" t="str">
        <x:v>D040_T07_C020_G050</x:v>
      </x:c>
      <x:c r="B828" s="2" t="str">
        <x:v>A0001</x:v>
      </x:c>
      <x:c r="C828" s="2" t="str">
        <x:v>inside</x:v>
      </x:c>
      <x:c r="D828" s="2" t="n">
        <x:v>7</x:v>
      </x:c>
      <x:c r="E828" s="2" t="n">
        <x:v>1</x:v>
      </x:c>
      <x:c r="F828" s="2" t="n">
        <x:v>8</x:v>
      </x:c>
      <x:c r="G828" s="2" t="str">
        <x:v>observed_post_release</x:v>
      </x:c>
      <x:c r="H828" s="2" t="n">
        <x:f>IF(AND(ISNUMBER(F828),F828&gt;=D828),1,0)</x:f>
        <x:v>1</x:v>
      </x:c>
      <x:c r="I828" s="2" t="n">
        <x:f>IF(AND(ISNUMBER(F828),F828&gt;D828),1,0)</x:f>
        <x:v>1</x:v>
      </x:c>
      <x:c r="J828" s="2" t="n">
        <x:f>IF(H828=1,F828-D828,"")</x:f>
        <x:v>1</x:v>
      </x:c>
      <x:c r="K828" s="2" t="n">
        <x:f>IF(H828=1,F828-E828,"")</x:f>
        <x:v>7</x:v>
      </x:c>
      <x:c r="L828" s="2" t="n">
        <x:v>9</x:v>
      </x:c>
      <x:c r="M828" s="2" t="n">
        <x:v>8</x:v>
      </x:c>
      <x:c r="N828" s="20" t="n">
        <x:v>0.4</x:v>
      </x:c>
      <x:c r="O828" s="20" t="n">
        <x:v>0.2</x:v>
      </x:c>
      <x:c r="P828" s="20" t="n">
        <x:v>0.5</x:v>
      </x:c>
      <x:c r="Q828" s="2" t="n">
        <x:v>22</x:v>
      </x:c>
      <x:c r="R828" s="2" t="str">
        <x:v>ESTJ</x:v>
      </x:c>
      <x:c r="S828" s="2" t="str">
        <x:v>华南</x:v>
      </x:c>
      <x:c r="T828" s="2" t="str">
        <x:v>在校学生</x:v>
      </x:c>
    </x:row>
    <x:row r="829" ht="24" customHeight="1">
      <x:c r="A829" s="2" t="str">
        <x:v>D040_T07_C020_G050</x:v>
      </x:c>
      <x:c r="B829" s="2" t="str">
        <x:v>A0005</x:v>
      </x:c>
      <x:c r="C829" s="2" t="str">
        <x:v>inside</x:v>
      </x:c>
      <x:c r="D829" s="2" t="n">
        <x:v>7</x:v>
      </x:c>
      <x:c r="E829" s="2" t="n">
        <x:v>1</x:v>
      </x:c>
      <x:c r="F829" s="2"/>
      <x:c r="G829" s="2" t="str">
        <x:v>right_censored</x:v>
      </x:c>
      <x:c r="H829" s="2" t="n">
        <x:f>IF(AND(ISNUMBER(F829),F829&gt;=D829),1,0)</x:f>
        <x:v>0</x:v>
      </x:c>
      <x:c r="I829" s="2" t="n">
        <x:f>IF(AND(ISNUMBER(F829),F829&gt;D829),1,0)</x:f>
        <x:v>0</x:v>
      </x:c>
      <x:c r="J829" s="2" t="str">
        <x:f>IF(H829=1,F829-D829,"")</x:f>
      </x:c>
      <x:c r="K829" s="2" t="str">
        <x:f>IF(H829=1,F829-E829,"")</x:f>
      </x:c>
      <x:c r="L829" s="2" t="n">
        <x:v>9</x:v>
      </x:c>
      <x:c r="M829" s="2" t="n">
        <x:v>10</x:v>
      </x:c>
      <x:c r="N829" s="20" t="n">
        <x:v>0.4</x:v>
      </x:c>
      <x:c r="O829" s="20" t="n">
        <x:v>0.2</x:v>
      </x:c>
      <x:c r="P829" s="20" t="n">
        <x:v>0.5</x:v>
      </x:c>
      <x:c r="Q829" s="2" t="n">
        <x:v>51</x:v>
      </x:c>
      <x:c r="R829" s="2" t="str">
        <x:v>ISTP</x:v>
      </x:c>
      <x:c r="S829" s="2" t="str">
        <x:v>华南</x:v>
      </x:c>
      <x:c r="T829" s="2" t="str">
        <x:v>生产运输或体力岗位</x:v>
      </x:c>
    </x:row>
    <x:row r="830" ht="24" customHeight="1">
      <x:c r="A830" s="2" t="str">
        <x:v>D040_T07_C020_G050</x:v>
      </x:c>
      <x:c r="B830" s="2" t="str">
        <x:v>A0006</x:v>
      </x:c>
      <x:c r="C830" s="2" t="str">
        <x:v>inside</x:v>
      </x:c>
      <x:c r="D830" s="2" t="n">
        <x:v>7</x:v>
      </x:c>
      <x:c r="E830" s="2" t="n">
        <x:v>4</x:v>
      </x:c>
      <x:c r="F830" s="2"/>
      <x:c r="G830" s="2" t="str">
        <x:v>right_censored</x:v>
      </x:c>
      <x:c r="H830" s="2" t="n">
        <x:f>IF(AND(ISNUMBER(F830),F830&gt;=D830),1,0)</x:f>
        <x:v>0</x:v>
      </x:c>
      <x:c r="I830" s="2" t="n">
        <x:f>IF(AND(ISNUMBER(F830),F830&gt;D830),1,0)</x:f>
        <x:v>0</x:v>
      </x:c>
      <x:c r="J830" s="2" t="str">
        <x:f>IF(H830=1,F830-D830,"")</x:f>
      </x:c>
      <x:c r="K830" s="2" t="str">
        <x:f>IF(H830=1,F830-E830,"")</x:f>
      </x:c>
      <x:c r="L830" s="2" t="n">
        <x:v>6</x:v>
      </x:c>
      <x:c r="M830" s="2"/>
      <x:c r="N830" s="20" t="n">
        <x:v>0.4</x:v>
      </x:c>
      <x:c r="O830" s="20" t="n">
        <x:v>0.2</x:v>
      </x:c>
      <x:c r="P830" s="20" t="n">
        <x:v>0.5</x:v>
      </x:c>
      <x:c r="Q830" s="2" t="n">
        <x:v>60</x:v>
      </x:c>
      <x:c r="R830" s="2" t="str">
        <x:v>ENFP</x:v>
      </x:c>
      <x:c r="S830" s="2" t="str">
        <x:v>华中</x:v>
      </x:c>
      <x:c r="T830" s="2" t="str">
        <x:v>行政或办公室岗位</x:v>
      </x:c>
    </x:row>
    <x:row r="831" ht="24" customHeight="1">
      <x:c r="A831" s="2" t="str">
        <x:v>D040_T07_C020_G050</x:v>
      </x:c>
      <x:c r="B831" s="2" t="str">
        <x:v>A0009</x:v>
      </x:c>
      <x:c r="C831" s="2" t="str">
        <x:v>inside</x:v>
      </x:c>
      <x:c r="D831" s="2" t="n">
        <x:v>7</x:v>
      </x:c>
      <x:c r="E831" s="2" t="n">
        <x:v>1</x:v>
      </x:c>
      <x:c r="F831" s="2" t="n">
        <x:v>9</x:v>
      </x:c>
      <x:c r="G831" s="2" t="str">
        <x:v>observed_post_release</x:v>
      </x:c>
      <x:c r="H831" s="2" t="n">
        <x:f>IF(AND(ISNUMBER(F831),F831&gt;=D831),1,0)</x:f>
        <x:v>1</x:v>
      </x:c>
      <x:c r="I831" s="2" t="n">
        <x:f>IF(AND(ISNUMBER(F831),F831&gt;D831),1,0)</x:f>
        <x:v>1</x:v>
      </x:c>
      <x:c r="J831" s="2" t="n">
        <x:f>IF(H831=1,F831-D831,"")</x:f>
        <x:v>2</x:v>
      </x:c>
      <x:c r="K831" s="2" t="n">
        <x:f>IF(H831=1,F831-E831,"")</x:f>
        <x:v>8</x:v>
      </x:c>
      <x:c r="L831" s="2" t="n">
        <x:v>9</x:v>
      </x:c>
      <x:c r="M831" s="2" t="n">
        <x:v>9</x:v>
      </x:c>
      <x:c r="N831" s="20" t="n">
        <x:v>0.4</x:v>
      </x:c>
      <x:c r="O831" s="20" t="n">
        <x:v>0.2</x:v>
      </x:c>
      <x:c r="P831" s="20" t="n">
        <x:v>0.5</x:v>
      </x:c>
      <x:c r="Q831" s="2" t="n">
        <x:v>32</x:v>
      </x:c>
      <x:c r="R831" s="2" t="str">
        <x:v>ENFJ</x:v>
      </x:c>
      <x:c r="S831" s="2" t="str">
        <x:v>华东</x:v>
      </x:c>
      <x:c r="T831" s="2" t="str">
        <x:v>商业服务岗位</x:v>
      </x:c>
    </x:row>
    <x:row r="832" ht="24" customHeight="1">
      <x:c r="A832" s="2" t="str">
        <x:v>D040_T07_C020_G050</x:v>
      </x:c>
      <x:c r="B832" s="2" t="str">
        <x:v>A0011</x:v>
      </x:c>
      <x:c r="C832" s="2" t="str">
        <x:v>inside</x:v>
      </x:c>
      <x:c r="D832" s="2" t="n">
        <x:v>7</x:v>
      </x:c>
      <x:c r="E832" s="2" t="n">
        <x:v>1</x:v>
      </x:c>
      <x:c r="F832" s="2" t="n">
        <x:v>10</x:v>
      </x:c>
      <x:c r="G832" s="2" t="str">
        <x:v>observed_post_release</x:v>
      </x:c>
      <x:c r="H832" s="2" t="n">
        <x:f>IF(AND(ISNUMBER(F832),F832&gt;=D832),1,0)</x:f>
        <x:v>1</x:v>
      </x:c>
      <x:c r="I832" s="2" t="n">
        <x:f>IF(AND(ISNUMBER(F832),F832&gt;D832),1,0)</x:f>
        <x:v>1</x:v>
      </x:c>
      <x:c r="J832" s="2" t="n">
        <x:f>IF(H832=1,F832-D832,"")</x:f>
        <x:v>3</x:v>
      </x:c>
      <x:c r="K832" s="2" t="n">
        <x:f>IF(H832=1,F832-E832,"")</x:f>
        <x:v>9</x:v>
      </x:c>
      <x:c r="L832" s="2" t="n">
        <x:v>9</x:v>
      </x:c>
      <x:c r="M832" s="2" t="n">
        <x:v>7</x:v>
      </x:c>
      <x:c r="N832" s="20" t="n">
        <x:v>0.4</x:v>
      </x:c>
      <x:c r="O832" s="20" t="n">
        <x:v>0.2</x:v>
      </x:c>
      <x:c r="P832" s="20" t="n">
        <x:v>0.5</x:v>
      </x:c>
      <x:c r="Q832" s="2" t="n">
        <x:v>42</x:v>
      </x:c>
      <x:c r="R832" s="2" t="str">
        <x:v>ENFJ</x:v>
      </x:c>
      <x:c r="S832" s="2" t="str">
        <x:v>西南</x:v>
      </x:c>
      <x:c r="T832" s="2" t="str">
        <x:v>行政或办公室岗位</x:v>
      </x:c>
    </x:row>
    <x:row r="833" ht="24" customHeight="1">
      <x:c r="A833" s="2" t="str">
        <x:v>D040_T07_C020_G050</x:v>
      </x:c>
      <x:c r="B833" s="2" t="str">
        <x:v>A0012</x:v>
      </x:c>
      <x:c r="C833" s="2" t="str">
        <x:v>inside</x:v>
      </x:c>
      <x:c r="D833" s="2" t="n">
        <x:v>7</x:v>
      </x:c>
      <x:c r="E833" s="2" t="n">
        <x:v>1</x:v>
      </x:c>
      <x:c r="F833" s="2"/>
      <x:c r="G833" s="2" t="str">
        <x:v>right_censored</x:v>
      </x:c>
      <x:c r="H833" s="2" t="n">
        <x:f>IF(AND(ISNUMBER(F833),F833&gt;=D833),1,0)</x:f>
        <x:v>0</x:v>
      </x:c>
      <x:c r="I833" s="2" t="n">
        <x:f>IF(AND(ISNUMBER(F833),F833&gt;D833),1,0)</x:f>
        <x:v>0</x:v>
      </x:c>
      <x:c r="J833" s="2" t="str">
        <x:f>IF(H833=1,F833-D833,"")</x:f>
      </x:c>
      <x:c r="K833" s="2" t="str">
        <x:f>IF(H833=1,F833-E833,"")</x:f>
      </x:c>
      <x:c r="L833" s="2" t="n">
        <x:v>9</x:v>
      </x:c>
      <x:c r="M833" s="2" t="n">
        <x:v>8</x:v>
      </x:c>
      <x:c r="N833" s="20" t="n">
        <x:v>0.4</x:v>
      </x:c>
      <x:c r="O833" s="20" t="n">
        <x:v>0.2</x:v>
      </x:c>
      <x:c r="P833" s="20" t="n">
        <x:v>0.5</x:v>
      </x:c>
      <x:c r="Q833" s="2" t="n">
        <x:v>38</x:v>
      </x:c>
      <x:c r="R833" s="2" t="str">
        <x:v>ESFP</x:v>
      </x:c>
      <x:c r="S833" s="2" t="str">
        <x:v>华中</x:v>
      </x:c>
      <x:c r="T833" s="2" t="str">
        <x:v>行政或办公室岗位</x:v>
      </x:c>
    </x:row>
    <x:row r="834" ht="24" customHeight="1">
      <x:c r="A834" s="2" t="str">
        <x:v>D040_T07_C020_G050</x:v>
      </x:c>
      <x:c r="B834" s="2" t="str">
        <x:v>A0013</x:v>
      </x:c>
      <x:c r="C834" s="2" t="str">
        <x:v>inside</x:v>
      </x:c>
      <x:c r="D834" s="2" t="n">
        <x:v>7</x:v>
      </x:c>
      <x:c r="E834" s="2" t="n">
        <x:v>1</x:v>
      </x:c>
      <x:c r="F834" s="2" t="n">
        <x:v>8</x:v>
      </x:c>
      <x:c r="G834" s="2" t="str">
        <x:v>observed_post_release</x:v>
      </x:c>
      <x:c r="H834" s="2" t="n">
        <x:f>IF(AND(ISNUMBER(F834),F834&gt;=D834),1,0)</x:f>
        <x:v>1</x:v>
      </x:c>
      <x:c r="I834" s="2" t="n">
        <x:f>IF(AND(ISNUMBER(F834),F834&gt;D834),1,0)</x:f>
        <x:v>1</x:v>
      </x:c>
      <x:c r="J834" s="2" t="n">
        <x:f>IF(H834=1,F834-D834,"")</x:f>
        <x:v>1</x:v>
      </x:c>
      <x:c r="K834" s="2" t="n">
        <x:f>IF(H834=1,F834-E834,"")</x:f>
        <x:v>7</x:v>
      </x:c>
      <x:c r="L834" s="2" t="n">
        <x:v>9</x:v>
      </x:c>
      <x:c r="M834" s="2" t="n">
        <x:v>7</x:v>
      </x:c>
      <x:c r="N834" s="20" t="n">
        <x:v>0.4</x:v>
      </x:c>
      <x:c r="O834" s="20" t="n">
        <x:v>0.2</x:v>
      </x:c>
      <x:c r="P834" s="20" t="n">
        <x:v>0.5</x:v>
      </x:c>
      <x:c r="Q834" s="2" t="n">
        <x:v>53</x:v>
      </x:c>
      <x:c r="R834" s="2" t="str">
        <x:v>ISTJ</x:v>
      </x:c>
      <x:c r="S834" s="2" t="str">
        <x:v>华东</x:v>
      </x:c>
      <x:c r="T834" s="2" t="str">
        <x:v>专业技术岗位</x:v>
      </x:c>
    </x:row>
    <x:row r="835" ht="24" customHeight="1">
      <x:c r="A835" s="2" t="str">
        <x:v>D040_T07_C020_G050</x:v>
      </x:c>
      <x:c r="B835" s="2" t="str">
        <x:v>A0014</x:v>
      </x:c>
      <x:c r="C835" s="2" t="str">
        <x:v>inside</x:v>
      </x:c>
      <x:c r="D835" s="2" t="n">
        <x:v>7</x:v>
      </x:c>
      <x:c r="E835" s="2" t="n">
        <x:v>1</x:v>
      </x:c>
      <x:c r="F835" s="2" t="n">
        <x:v>7</x:v>
      </x:c>
      <x:c r="G835" s="2" t="str">
        <x:v>observed_post_release</x:v>
      </x:c>
      <x:c r="H835" s="2" t="n">
        <x:f>IF(AND(ISNUMBER(F835),F835&gt;=D835),1,0)</x:f>
        <x:v>1</x:v>
      </x:c>
      <x:c r="I835" s="2" t="n">
        <x:f>IF(AND(ISNUMBER(F835),F835&gt;D835),1,0)</x:f>
        <x:v>0</x:v>
      </x:c>
      <x:c r="J835" s="2" t="n">
        <x:f>IF(H835=1,F835-D835,"")</x:f>
        <x:v>0</x:v>
      </x:c>
      <x:c r="K835" s="2" t="n">
        <x:f>IF(H835=1,F835-E835,"")</x:f>
        <x:v>6</x:v>
      </x:c>
      <x:c r="L835" s="2" t="n">
        <x:v>9</x:v>
      </x:c>
      <x:c r="M835" s="2" t="n">
        <x:v>7</x:v>
      </x:c>
      <x:c r="N835" s="20" t="n">
        <x:v>0.4</x:v>
      </x:c>
      <x:c r="O835" s="20" t="n">
        <x:v>0.2</x:v>
      </x:c>
      <x:c r="P835" s="20" t="n">
        <x:v>0.5</x:v>
      </x:c>
      <x:c r="Q835" s="2" t="n">
        <x:v>52</x:v>
      </x:c>
      <x:c r="R835" s="2" t="str">
        <x:v>INFJ</x:v>
      </x:c>
      <x:c r="S835" s="2" t="str">
        <x:v>华东</x:v>
      </x:c>
      <x:c r="T835" s="2" t="str">
        <x:v>生产运输或体力岗位</x:v>
      </x:c>
    </x:row>
    <x:row r="836" ht="24" customHeight="1">
      <x:c r="A836" s="2" t="str">
        <x:v>D040_T07_C020_G050</x:v>
      </x:c>
      <x:c r="B836" s="2" t="str">
        <x:v>A0015</x:v>
      </x:c>
      <x:c r="C836" s="2" t="str">
        <x:v>inside</x:v>
      </x:c>
      <x:c r="D836" s="2" t="n">
        <x:v>7</x:v>
      </x:c>
      <x:c r="E836" s="2" t="n">
        <x:v>8</x:v>
      </x:c>
      <x:c r="F836" s="2" t="n">
        <x:v>9</x:v>
      </x:c>
      <x:c r="G836" s="2" t="str">
        <x:v>observed_post_release</x:v>
      </x:c>
      <x:c r="H836" s="2" t="n">
        <x:f>IF(AND(ISNUMBER(F836),F836&gt;=D836),1,0)</x:f>
        <x:v>1</x:v>
      </x:c>
      <x:c r="I836" s="2" t="n">
        <x:f>IF(AND(ISNUMBER(F836),F836&gt;D836),1,0)</x:f>
        <x:v>1</x:v>
      </x:c>
      <x:c r="J836" s="2" t="n">
        <x:f>IF(H836=1,F836-D836,"")</x:f>
        <x:v>2</x:v>
      </x:c>
      <x:c r="K836" s="2" t="n">
        <x:f>IF(H836=1,F836-E836,"")</x:f>
        <x:v>1</x:v>
      </x:c>
      <x:c r="L836" s="2" t="n">
        <x:v>2</x:v>
      </x:c>
      <x:c r="M836" s="2" t="n">
        <x:v>9</x:v>
      </x:c>
      <x:c r="N836" s="20" t="n">
        <x:v>0.4</x:v>
      </x:c>
      <x:c r="O836" s="20" t="n">
        <x:v>0.2</x:v>
      </x:c>
      <x:c r="P836" s="20" t="n">
        <x:v>0.5</x:v>
      </x:c>
      <x:c r="Q836" s="2" t="n">
        <x:v>29</x:v>
      </x:c>
      <x:c r="R836" s="2" t="str">
        <x:v>ESFP</x:v>
      </x:c>
      <x:c r="S836" s="2" t="str">
        <x:v>华南</x:v>
      </x:c>
      <x:c r="T836" s="2" t="str">
        <x:v>行政或办公室岗位</x:v>
      </x:c>
    </x:row>
    <x:row r="837" ht="24" customHeight="1">
      <x:c r="A837" s="2" t="str">
        <x:v>D040_T07_C020_G050</x:v>
      </x:c>
      <x:c r="B837" s="2" t="str">
        <x:v>A0017</x:v>
      </x:c>
      <x:c r="C837" s="2" t="str">
        <x:v>inside</x:v>
      </x:c>
      <x:c r="D837" s="2" t="n">
        <x:v>7</x:v>
      </x:c>
      <x:c r="E837" s="2" t="n">
        <x:v>1</x:v>
      </x:c>
      <x:c r="F837" s="2" t="n">
        <x:v>9</x:v>
      </x:c>
      <x:c r="G837" s="2" t="str">
        <x:v>observed_post_release</x:v>
      </x:c>
      <x:c r="H837" s="2" t="n">
        <x:f>IF(AND(ISNUMBER(F837),F837&gt;=D837),1,0)</x:f>
        <x:v>1</x:v>
      </x:c>
      <x:c r="I837" s="2" t="n">
        <x:f>IF(AND(ISNUMBER(F837),F837&gt;D837),1,0)</x:f>
        <x:v>1</x:v>
      </x:c>
      <x:c r="J837" s="2" t="n">
        <x:f>IF(H837=1,F837-D837,"")</x:f>
        <x:v>2</x:v>
      </x:c>
      <x:c r="K837" s="2" t="n">
        <x:f>IF(H837=1,F837-E837,"")</x:f>
        <x:v>8</x:v>
      </x:c>
      <x:c r="L837" s="2" t="n">
        <x:v>9</x:v>
      </x:c>
      <x:c r="M837" s="2" t="n">
        <x:v>9</x:v>
      </x:c>
      <x:c r="N837" s="20" t="n">
        <x:v>0.4</x:v>
      </x:c>
      <x:c r="O837" s="20" t="n">
        <x:v>0.2</x:v>
      </x:c>
      <x:c r="P837" s="20" t="n">
        <x:v>0.5</x:v>
      </x:c>
      <x:c r="Q837" s="2" t="n">
        <x:v>30</x:v>
      </x:c>
      <x:c r="R837" s="2" t="str">
        <x:v>ISTJ</x:v>
      </x:c>
      <x:c r="S837" s="2" t="str">
        <x:v>华东</x:v>
      </x:c>
      <x:c r="T837" s="2" t="str">
        <x:v>商业服务岗位</x:v>
      </x:c>
    </x:row>
    <x:row r="838" ht="24" customHeight="1">
      <x:c r="A838" s="2" t="str">
        <x:v>D040_T07_C020_G050</x:v>
      </x:c>
      <x:c r="B838" s="2" t="str">
        <x:v>A0018</x:v>
      </x:c>
      <x:c r="C838" s="2" t="str">
        <x:v>inside</x:v>
      </x:c>
      <x:c r="D838" s="2" t="n">
        <x:v>7</x:v>
      </x:c>
      <x:c r="E838" s="2" t="n">
        <x:v>1</x:v>
      </x:c>
      <x:c r="F838" s="2" t="n">
        <x:v>9</x:v>
      </x:c>
      <x:c r="G838" s="2" t="str">
        <x:v>observed_post_release</x:v>
      </x:c>
      <x:c r="H838" s="2" t="n">
        <x:f>IF(AND(ISNUMBER(F838),F838&gt;=D838),1,0)</x:f>
        <x:v>1</x:v>
      </x:c>
      <x:c r="I838" s="2" t="n">
        <x:f>IF(AND(ISNUMBER(F838),F838&gt;D838),1,0)</x:f>
        <x:v>1</x:v>
      </x:c>
      <x:c r="J838" s="2" t="n">
        <x:f>IF(H838=1,F838-D838,"")</x:f>
        <x:v>2</x:v>
      </x:c>
      <x:c r="K838" s="2" t="n">
        <x:f>IF(H838=1,F838-E838,"")</x:f>
        <x:v>8</x:v>
      </x:c>
      <x:c r="L838" s="2" t="n">
        <x:v>9</x:v>
      </x:c>
      <x:c r="M838" s="2" t="n">
        <x:v>8</x:v>
      </x:c>
      <x:c r="N838" s="20" t="n">
        <x:v>0.4</x:v>
      </x:c>
      <x:c r="O838" s="20" t="n">
        <x:v>0.2</x:v>
      </x:c>
      <x:c r="P838" s="20" t="n">
        <x:v>0.5</x:v>
      </x:c>
      <x:c r="Q838" s="2" t="n">
        <x:v>60</x:v>
      </x:c>
      <x:c r="R838" s="2" t="str">
        <x:v>INTJ</x:v>
      </x:c>
      <x:c r="S838" s="2" t="str">
        <x:v>华南</x:v>
      </x:c>
      <x:c r="T838" s="2" t="str">
        <x:v>专业技术岗位</x:v>
      </x:c>
    </x:row>
    <x:row r="839" ht="24" customHeight="1">
      <x:c r="A839" s="2" t="str">
        <x:v>D040_T07_C020_G050</x:v>
      </x:c>
      <x:c r="B839" s="2" t="str">
        <x:v>A0019</x:v>
      </x:c>
      <x:c r="C839" s="2" t="str">
        <x:v>inside</x:v>
      </x:c>
      <x:c r="D839" s="2" t="n">
        <x:v>7</x:v>
      </x:c>
      <x:c r="E839" s="2" t="n">
        <x:v>1</x:v>
      </x:c>
      <x:c r="F839" s="2"/>
      <x:c r="G839" s="2" t="str">
        <x:v>right_censored</x:v>
      </x:c>
      <x:c r="H839" s="2" t="n">
        <x:f>IF(AND(ISNUMBER(F839),F839&gt;=D839),1,0)</x:f>
        <x:v>0</x:v>
      </x:c>
      <x:c r="I839" s="2" t="n">
        <x:f>IF(AND(ISNUMBER(F839),F839&gt;D839),1,0)</x:f>
        <x:v>0</x:v>
      </x:c>
      <x:c r="J839" s="2" t="str">
        <x:f>IF(H839=1,F839-D839,"")</x:f>
      </x:c>
      <x:c r="K839" s="2" t="str">
        <x:f>IF(H839=1,F839-E839,"")</x:f>
      </x:c>
      <x:c r="L839" s="2" t="n">
        <x:v>9</x:v>
      </x:c>
      <x:c r="M839" s="2"/>
      <x:c r="N839" s="20" t="n">
        <x:v>0.4</x:v>
      </x:c>
      <x:c r="O839" s="20" t="n">
        <x:v>0.2</x:v>
      </x:c>
      <x:c r="P839" s="20" t="n">
        <x:v>0.5</x:v>
      </x:c>
      <x:c r="Q839" s="2" t="n">
        <x:v>19</x:v>
      </x:c>
      <x:c r="R839" s="2" t="str">
        <x:v>INTJ</x:v>
      </x:c>
      <x:c r="S839" s="2" t="str">
        <x:v>西南</x:v>
      </x:c>
      <x:c r="T839" s="2" t="str">
        <x:v>行政或办公室岗位</x:v>
      </x:c>
    </x:row>
    <x:row r="840" ht="24" customHeight="1">
      <x:c r="A840" s="2" t="str">
        <x:v>D040_T07_C020_G050</x:v>
      </x:c>
      <x:c r="B840" s="2" t="str">
        <x:v>A0020</x:v>
      </x:c>
      <x:c r="C840" s="2" t="str">
        <x:v>inside</x:v>
      </x:c>
      <x:c r="D840" s="2" t="n">
        <x:v>7</x:v>
      </x:c>
      <x:c r="E840" s="2" t="n">
        <x:v>1</x:v>
      </x:c>
      <x:c r="F840" s="2" t="n">
        <x:v>8</x:v>
      </x:c>
      <x:c r="G840" s="2" t="str">
        <x:v>observed_post_release</x:v>
      </x:c>
      <x:c r="H840" s="2" t="n">
        <x:f>IF(AND(ISNUMBER(F840),F840&gt;=D840),1,0)</x:f>
        <x:v>1</x:v>
      </x:c>
      <x:c r="I840" s="2" t="n">
        <x:f>IF(AND(ISNUMBER(F840),F840&gt;D840),1,0)</x:f>
        <x:v>1</x:v>
      </x:c>
      <x:c r="J840" s="2" t="n">
        <x:f>IF(H840=1,F840-D840,"")</x:f>
        <x:v>1</x:v>
      </x:c>
      <x:c r="K840" s="2" t="n">
        <x:f>IF(H840=1,F840-E840,"")</x:f>
        <x:v>7</x:v>
      </x:c>
      <x:c r="L840" s="2" t="n">
        <x:v>9</x:v>
      </x:c>
      <x:c r="M840" s="2" t="n">
        <x:v>7</x:v>
      </x:c>
      <x:c r="N840" s="20" t="n">
        <x:v>0.4</x:v>
      </x:c>
      <x:c r="O840" s="20" t="n">
        <x:v>0.2</x:v>
      </x:c>
      <x:c r="P840" s="20" t="n">
        <x:v>0.5</x:v>
      </x:c>
      <x:c r="Q840" s="2" t="n">
        <x:v>42</x:v>
      </x:c>
      <x:c r="R840" s="2" t="str">
        <x:v>ENTJ</x:v>
      </x:c>
      <x:c r="S840" s="2" t="str">
        <x:v>西南</x:v>
      </x:c>
      <x:c r="T840" s="2" t="str">
        <x:v>行政或办公室岗位</x:v>
      </x:c>
    </x:row>
    <x:row r="841" ht="24" customHeight="1">
      <x:c r="A841" s="2" t="str">
        <x:v>D040_T07_C020_G050</x:v>
      </x:c>
      <x:c r="B841" s="2" t="str">
        <x:v>A0023</x:v>
      </x:c>
      <x:c r="C841" s="2" t="str">
        <x:v>inside</x:v>
      </x:c>
      <x:c r="D841" s="2" t="n">
        <x:v>7</x:v>
      </x:c>
      <x:c r="E841" s="2" t="n">
        <x:v>3</x:v>
      </x:c>
      <x:c r="F841" s="2" t="n">
        <x:v>10</x:v>
      </x:c>
      <x:c r="G841" s="2" t="str">
        <x:v>observed_post_release</x:v>
      </x:c>
      <x:c r="H841" s="2" t="n">
        <x:f>IF(AND(ISNUMBER(F841),F841&gt;=D841),1,0)</x:f>
        <x:v>1</x:v>
      </x:c>
      <x:c r="I841" s="2" t="n">
        <x:f>IF(AND(ISNUMBER(F841),F841&gt;D841),1,0)</x:f>
        <x:v>1</x:v>
      </x:c>
      <x:c r="J841" s="2" t="n">
        <x:f>IF(H841=1,F841-D841,"")</x:f>
        <x:v>3</x:v>
      </x:c>
      <x:c r="K841" s="2" t="n">
        <x:f>IF(H841=1,F841-E841,"")</x:f>
        <x:v>7</x:v>
      </x:c>
      <x:c r="L841" s="2" t="n">
        <x:v>7</x:v>
      </x:c>
      <x:c r="M841" s="2" t="n">
        <x:v>10</x:v>
      </x:c>
      <x:c r="N841" s="20" t="n">
        <x:v>0.4</x:v>
      </x:c>
      <x:c r="O841" s="20" t="n">
        <x:v>0.2</x:v>
      </x:c>
      <x:c r="P841" s="20" t="n">
        <x:v>0.5</x:v>
      </x:c>
      <x:c r="Q841" s="2" t="n">
        <x:v>56</x:v>
      </x:c>
      <x:c r="R841" s="2" t="str">
        <x:v>INFP</x:v>
      </x:c>
      <x:c r="S841" s="2" t="str">
        <x:v>东北</x:v>
      </x:c>
      <x:c r="T841" s="2" t="str">
        <x:v>行政或办公室岗位</x:v>
      </x:c>
    </x:row>
    <x:row r="842" ht="24" customHeight="1">
      <x:c r="A842" s="2" t="str">
        <x:v>D040_T07_C020_G050</x:v>
      </x:c>
      <x:c r="B842" s="2" t="str">
        <x:v>A0024</x:v>
      </x:c>
      <x:c r="C842" s="2" t="str">
        <x:v>inside</x:v>
      </x:c>
      <x:c r="D842" s="2" t="n">
        <x:v>7</x:v>
      </x:c>
      <x:c r="E842" s="2" t="n">
        <x:v>1</x:v>
      </x:c>
      <x:c r="F842" s="2"/>
      <x:c r="G842" s="2" t="str">
        <x:v>right_censored</x:v>
      </x:c>
      <x:c r="H842" s="2" t="n">
        <x:f>IF(AND(ISNUMBER(F842),F842&gt;=D842),1,0)</x:f>
        <x:v>0</x:v>
      </x:c>
      <x:c r="I842" s="2" t="n">
        <x:f>IF(AND(ISNUMBER(F842),F842&gt;D842),1,0)</x:f>
        <x:v>0</x:v>
      </x:c>
      <x:c r="J842" s="2" t="str">
        <x:f>IF(H842=1,F842-D842,"")</x:f>
      </x:c>
      <x:c r="K842" s="2" t="str">
        <x:f>IF(H842=1,F842-E842,"")</x:f>
      </x:c>
      <x:c r="L842" s="2" t="n">
        <x:v>9</x:v>
      </x:c>
      <x:c r="M842" s="2" t="n">
        <x:v>8</x:v>
      </x:c>
      <x:c r="N842" s="20" t="n">
        <x:v>0.4</x:v>
      </x:c>
      <x:c r="O842" s="20" t="n">
        <x:v>0.2</x:v>
      </x:c>
      <x:c r="P842" s="20" t="n">
        <x:v>0.5</x:v>
      </x:c>
      <x:c r="Q842" s="2" t="n">
        <x:v>31</x:v>
      </x:c>
      <x:c r="R842" s="2" t="str">
        <x:v>ESTP</x:v>
      </x:c>
      <x:c r="S842" s="2" t="str">
        <x:v>华北</x:v>
      </x:c>
      <x:c r="T842" s="2" t="str">
        <x:v>商业服务岗位</x:v>
      </x:c>
    </x:row>
    <x:row r="843" ht="24" customHeight="1">
      <x:c r="A843" s="2" t="str">
        <x:v>D040_T07_C020_G050</x:v>
      </x:c>
      <x:c r="B843" s="2" t="str">
        <x:v>A0025</x:v>
      </x:c>
      <x:c r="C843" s="2" t="str">
        <x:v>inside</x:v>
      </x:c>
      <x:c r="D843" s="2" t="n">
        <x:v>7</x:v>
      </x:c>
      <x:c r="E843" s="2" t="n">
        <x:v>1</x:v>
      </x:c>
      <x:c r="F843" s="2" t="n">
        <x:v>7</x:v>
      </x:c>
      <x:c r="G843" s="2" t="str">
        <x:v>observed_post_release</x:v>
      </x:c>
      <x:c r="H843" s="2" t="n">
        <x:f>IF(AND(ISNUMBER(F843),F843&gt;=D843),1,0)</x:f>
        <x:v>1</x:v>
      </x:c>
      <x:c r="I843" s="2" t="n">
        <x:f>IF(AND(ISNUMBER(F843),F843&gt;D843),1,0)</x:f>
        <x:v>0</x:v>
      </x:c>
      <x:c r="J843" s="2" t="n">
        <x:f>IF(H843=1,F843-D843,"")</x:f>
        <x:v>0</x:v>
      </x:c>
      <x:c r="K843" s="2" t="n">
        <x:f>IF(H843=1,F843-E843,"")</x:f>
        <x:v>6</x:v>
      </x:c>
      <x:c r="L843" s="2" t="n">
        <x:v>9</x:v>
      </x:c>
      <x:c r="M843" s="2" t="n">
        <x:v>7</x:v>
      </x:c>
      <x:c r="N843" s="20" t="n">
        <x:v>0.4</x:v>
      </x:c>
      <x:c r="O843" s="20" t="n">
        <x:v>0.2</x:v>
      </x:c>
      <x:c r="P843" s="20" t="n">
        <x:v>0.5</x:v>
      </x:c>
      <x:c r="Q843" s="2" t="n">
        <x:v>23</x:v>
      </x:c>
      <x:c r="R843" s="2" t="str">
        <x:v>ISTP</x:v>
      </x:c>
      <x:c r="S843" s="2" t="str">
        <x:v>华南</x:v>
      </x:c>
      <x:c r="T843" s="2" t="str">
        <x:v>行政或办公室岗位</x:v>
      </x:c>
    </x:row>
    <x:row r="844" ht="24" customHeight="1">
      <x:c r="A844" s="2" t="str">
        <x:v>D040_T07_C020_G050</x:v>
      </x:c>
      <x:c r="B844" s="2" t="str">
        <x:v>A0027</x:v>
      </x:c>
      <x:c r="C844" s="2" t="str">
        <x:v>inside</x:v>
      </x:c>
      <x:c r="D844" s="2" t="n">
        <x:v>7</x:v>
      </x:c>
      <x:c r="E844" s="2" t="n">
        <x:v>1</x:v>
      </x:c>
      <x:c r="F844" s="2" t="n">
        <x:v>10</x:v>
      </x:c>
      <x:c r="G844" s="2" t="str">
        <x:v>observed_post_release</x:v>
      </x:c>
      <x:c r="H844" s="2" t="n">
        <x:f>IF(AND(ISNUMBER(F844),F844&gt;=D844),1,0)</x:f>
        <x:v>1</x:v>
      </x:c>
      <x:c r="I844" s="2" t="n">
        <x:f>IF(AND(ISNUMBER(F844),F844&gt;D844),1,0)</x:f>
        <x:v>1</x:v>
      </x:c>
      <x:c r="J844" s="2" t="n">
        <x:f>IF(H844=1,F844-D844,"")</x:f>
        <x:v>3</x:v>
      </x:c>
      <x:c r="K844" s="2" t="n">
        <x:f>IF(H844=1,F844-E844,"")</x:f>
        <x:v>9</x:v>
      </x:c>
      <x:c r="L844" s="2" t="n">
        <x:v>9</x:v>
      </x:c>
      <x:c r="M844" s="2" t="n">
        <x:v>8</x:v>
      </x:c>
      <x:c r="N844" s="20" t="n">
        <x:v>0.4</x:v>
      </x:c>
      <x:c r="O844" s="20" t="n">
        <x:v>0.2</x:v>
      </x:c>
      <x:c r="P844" s="20" t="n">
        <x:v>0.5</x:v>
      </x:c>
      <x:c r="Q844" s="2" t="n">
        <x:v>25</x:v>
      </x:c>
      <x:c r="R844" s="2" t="str">
        <x:v>ESFP</x:v>
      </x:c>
      <x:c r="S844" s="2" t="str">
        <x:v>西北</x:v>
      </x:c>
      <x:c r="T844" s="2" t="str">
        <x:v>暂未就业或家庭照料</x:v>
      </x:c>
    </x:row>
    <x:row r="845" ht="24" customHeight="1">
      <x:c r="A845" s="2" t="str">
        <x:v>D040_T07_C020_G050</x:v>
      </x:c>
      <x:c r="B845" s="2" t="str">
        <x:v>A0029</x:v>
      </x:c>
      <x:c r="C845" s="2" t="str">
        <x:v>inside</x:v>
      </x:c>
      <x:c r="D845" s="2" t="n">
        <x:v>7</x:v>
      </x:c>
      <x:c r="E845" s="2" t="n">
        <x:v>1</x:v>
      </x:c>
      <x:c r="F845" s="2" t="n">
        <x:v>8</x:v>
      </x:c>
      <x:c r="G845" s="2" t="str">
        <x:v>observed_post_release</x:v>
      </x:c>
      <x:c r="H845" s="2" t="n">
        <x:f>IF(AND(ISNUMBER(F845),F845&gt;=D845),1,0)</x:f>
        <x:v>1</x:v>
      </x:c>
      <x:c r="I845" s="2" t="n">
        <x:f>IF(AND(ISNUMBER(F845),F845&gt;D845),1,0)</x:f>
        <x:v>1</x:v>
      </x:c>
      <x:c r="J845" s="2" t="n">
        <x:f>IF(H845=1,F845-D845,"")</x:f>
        <x:v>1</x:v>
      </x:c>
      <x:c r="K845" s="2" t="n">
        <x:f>IF(H845=1,F845-E845,"")</x:f>
        <x:v>7</x:v>
      </x:c>
      <x:c r="L845" s="2" t="n">
        <x:v>9</x:v>
      </x:c>
      <x:c r="M845" s="2" t="n">
        <x:v>8</x:v>
      </x:c>
      <x:c r="N845" s="20" t="n">
        <x:v>0.4</x:v>
      </x:c>
      <x:c r="O845" s="20" t="n">
        <x:v>0.2</x:v>
      </x:c>
      <x:c r="P845" s="20" t="n">
        <x:v>0.5</x:v>
      </x:c>
      <x:c r="Q845" s="2" t="n">
        <x:v>69</x:v>
      </x:c>
      <x:c r="R845" s="2" t="str">
        <x:v>ENTP</x:v>
      </x:c>
      <x:c r="S845" s="2" t="str">
        <x:v>华东</x:v>
      </x:c>
      <x:c r="T845" s="2" t="str">
        <x:v>退休人员</x:v>
      </x:c>
    </x:row>
    <x:row r="846" ht="24" customHeight="1">
      <x:c r="A846" s="2" t="str">
        <x:v>D040_T07_C020_G050</x:v>
      </x:c>
      <x:c r="B846" s="2" t="str">
        <x:v>A0030</x:v>
      </x:c>
      <x:c r="C846" s="2" t="str">
        <x:v>inside</x:v>
      </x:c>
      <x:c r="D846" s="2" t="n">
        <x:v>7</x:v>
      </x:c>
      <x:c r="E846" s="2" t="n">
        <x:v>1</x:v>
      </x:c>
      <x:c r="F846" s="2" t="n">
        <x:v>9</x:v>
      </x:c>
      <x:c r="G846" s="2" t="str">
        <x:v>observed_post_release</x:v>
      </x:c>
      <x:c r="H846" s="2" t="n">
        <x:f>IF(AND(ISNUMBER(F846),F846&gt;=D846),1,0)</x:f>
        <x:v>1</x:v>
      </x:c>
      <x:c r="I846" s="2" t="n">
        <x:f>IF(AND(ISNUMBER(F846),F846&gt;D846),1,0)</x:f>
        <x:v>1</x:v>
      </x:c>
      <x:c r="J846" s="2" t="n">
        <x:f>IF(H846=1,F846-D846,"")</x:f>
        <x:v>2</x:v>
      </x:c>
      <x:c r="K846" s="2" t="n">
        <x:f>IF(H846=1,F846-E846,"")</x:f>
        <x:v>8</x:v>
      </x:c>
      <x:c r="L846" s="2" t="n">
        <x:v>9</x:v>
      </x:c>
      <x:c r="M846" s="2" t="n">
        <x:v>9</x:v>
      </x:c>
      <x:c r="N846" s="20" t="n">
        <x:v>0.4</x:v>
      </x:c>
      <x:c r="O846" s="20" t="n">
        <x:v>0.2</x:v>
      </x:c>
      <x:c r="P846" s="20" t="n">
        <x:v>0.5</x:v>
      </x:c>
      <x:c r="Q846" s="2" t="n">
        <x:v>23</x:v>
      </x:c>
      <x:c r="R846" s="2" t="str">
        <x:v>ISFP</x:v>
      </x:c>
      <x:c r="S846" s="2" t="str">
        <x:v>华东</x:v>
      </x:c>
      <x:c r="T846" s="2" t="str">
        <x:v>在校学生</x:v>
      </x:c>
    </x:row>
    <x:row r="847" ht="24" customHeight="1">
      <x:c r="A847" s="2" t="str">
        <x:v>D040_T07_C020_G050</x:v>
      </x:c>
      <x:c r="B847" s="2" t="str">
        <x:v>A0032</x:v>
      </x:c>
      <x:c r="C847" s="2" t="str">
        <x:v>inside</x:v>
      </x:c>
      <x:c r="D847" s="2" t="n">
        <x:v>7</x:v>
      </x:c>
      <x:c r="E847" s="2" t="n">
        <x:v>1</x:v>
      </x:c>
      <x:c r="F847" s="2" t="n">
        <x:v>7</x:v>
      </x:c>
      <x:c r="G847" s="2" t="str">
        <x:v>observed_post_release</x:v>
      </x:c>
      <x:c r="H847" s="2" t="n">
        <x:f>IF(AND(ISNUMBER(F847),F847&gt;=D847),1,0)</x:f>
        <x:v>1</x:v>
      </x:c>
      <x:c r="I847" s="2" t="n">
        <x:f>IF(AND(ISNUMBER(F847),F847&gt;D847),1,0)</x:f>
        <x:v>0</x:v>
      </x:c>
      <x:c r="J847" s="2" t="n">
        <x:f>IF(H847=1,F847-D847,"")</x:f>
        <x:v>0</x:v>
      </x:c>
      <x:c r="K847" s="2" t="n">
        <x:f>IF(H847=1,F847-E847,"")</x:f>
        <x:v>6</x:v>
      </x:c>
      <x:c r="L847" s="2" t="n">
        <x:v>9</x:v>
      </x:c>
      <x:c r="M847" s="2" t="n">
        <x:v>7</x:v>
      </x:c>
      <x:c r="N847" s="20" t="n">
        <x:v>0.4</x:v>
      </x:c>
      <x:c r="O847" s="20" t="n">
        <x:v>0.2</x:v>
      </x:c>
      <x:c r="P847" s="20" t="n">
        <x:v>0.5</x:v>
      </x:c>
      <x:c r="Q847" s="2" t="n">
        <x:v>53</x:v>
      </x:c>
      <x:c r="R847" s="2" t="str">
        <x:v>INTP</x:v>
      </x:c>
      <x:c r="S847" s="2" t="str">
        <x:v>华北</x:v>
      </x:c>
      <x:c r="T847" s="2" t="str">
        <x:v>个体经营或自由职业</x:v>
      </x:c>
    </x:row>
    <x:row r="848" ht="24" customHeight="1">
      <x:c r="A848" s="2" t="str">
        <x:v>D040_T07_C020_G050</x:v>
      </x:c>
      <x:c r="B848" s="2" t="str">
        <x:v>A0033</x:v>
      </x:c>
      <x:c r="C848" s="2" t="str">
        <x:v>inside</x:v>
      </x:c>
      <x:c r="D848" s="2" t="n">
        <x:v>7</x:v>
      </x:c>
      <x:c r="E848" s="2" t="n">
        <x:v>1</x:v>
      </x:c>
      <x:c r="F848" s="2" t="n">
        <x:v>8</x:v>
      </x:c>
      <x:c r="G848" s="2" t="str">
        <x:v>observed_post_release</x:v>
      </x:c>
      <x:c r="H848" s="2" t="n">
        <x:f>IF(AND(ISNUMBER(F848),F848&gt;=D848),1,0)</x:f>
        <x:v>1</x:v>
      </x:c>
      <x:c r="I848" s="2" t="n">
        <x:f>IF(AND(ISNUMBER(F848),F848&gt;D848),1,0)</x:f>
        <x:v>1</x:v>
      </x:c>
      <x:c r="J848" s="2" t="n">
        <x:f>IF(H848=1,F848-D848,"")</x:f>
        <x:v>1</x:v>
      </x:c>
      <x:c r="K848" s="2" t="n">
        <x:f>IF(H848=1,F848-E848,"")</x:f>
        <x:v>7</x:v>
      </x:c>
      <x:c r="L848" s="2" t="n">
        <x:v>9</x:v>
      </x:c>
      <x:c r="M848" s="2" t="n">
        <x:v>8</x:v>
      </x:c>
      <x:c r="N848" s="20" t="n">
        <x:v>0.4</x:v>
      </x:c>
      <x:c r="O848" s="20" t="n">
        <x:v>0.2</x:v>
      </x:c>
      <x:c r="P848" s="20" t="n">
        <x:v>0.5</x:v>
      </x:c>
      <x:c r="Q848" s="2" t="n">
        <x:v>55</x:v>
      </x:c>
      <x:c r="R848" s="2" t="str">
        <x:v>ENFP</x:v>
      </x:c>
      <x:c r="S848" s="2" t="str">
        <x:v>华南</x:v>
      </x:c>
      <x:c r="T848" s="2" t="str">
        <x:v>个体经营或自由职业</x:v>
      </x:c>
    </x:row>
    <x:row r="849" ht="24" customHeight="1">
      <x:c r="A849" s="2" t="str">
        <x:v>D040_T07_C020_G050</x:v>
      </x:c>
      <x:c r="B849" s="2" t="str">
        <x:v>A0036</x:v>
      </x:c>
      <x:c r="C849" s="2" t="str">
        <x:v>inside</x:v>
      </x:c>
      <x:c r="D849" s="2" t="n">
        <x:v>7</x:v>
      </x:c>
      <x:c r="E849" s="2" t="n">
        <x:v>1</x:v>
      </x:c>
      <x:c r="F849" s="2" t="n">
        <x:v>9</x:v>
      </x:c>
      <x:c r="G849" s="2" t="str">
        <x:v>observed_post_release</x:v>
      </x:c>
      <x:c r="H849" s="2" t="n">
        <x:f>IF(AND(ISNUMBER(F849),F849&gt;=D849),1,0)</x:f>
        <x:v>1</x:v>
      </x:c>
      <x:c r="I849" s="2" t="n">
        <x:f>IF(AND(ISNUMBER(F849),F849&gt;D849),1,0)</x:f>
        <x:v>1</x:v>
      </x:c>
      <x:c r="J849" s="2" t="n">
        <x:f>IF(H849=1,F849-D849,"")</x:f>
        <x:v>2</x:v>
      </x:c>
      <x:c r="K849" s="2" t="n">
        <x:f>IF(H849=1,F849-E849,"")</x:f>
        <x:v>8</x:v>
      </x:c>
      <x:c r="L849" s="2" t="n">
        <x:v>9</x:v>
      </x:c>
      <x:c r="M849" s="2" t="n">
        <x:v>9</x:v>
      </x:c>
      <x:c r="N849" s="20" t="n">
        <x:v>0.4</x:v>
      </x:c>
      <x:c r="O849" s="20" t="n">
        <x:v>0.2</x:v>
      </x:c>
      <x:c r="P849" s="20" t="n">
        <x:v>0.5</x:v>
      </x:c>
      <x:c r="Q849" s="2" t="n">
        <x:v>43</x:v>
      </x:c>
      <x:c r="R849" s="2" t="str">
        <x:v>ISFJ</x:v>
      </x:c>
      <x:c r="S849" s="2" t="str">
        <x:v>华东</x:v>
      </x:c>
      <x:c r="T849" s="2" t="str">
        <x:v>生产运输或体力岗位</x:v>
      </x:c>
    </x:row>
    <x:row r="850" ht="24" customHeight="1">
      <x:c r="A850" s="2" t="str">
        <x:v>D040_T07_C020_G050</x:v>
      </x:c>
      <x:c r="B850" s="2" t="str">
        <x:v>A0037</x:v>
      </x:c>
      <x:c r="C850" s="2" t="str">
        <x:v>inside</x:v>
      </x:c>
      <x:c r="D850" s="2" t="n">
        <x:v>7</x:v>
      </x:c>
      <x:c r="E850" s="2" t="n">
        <x:v>1</x:v>
      </x:c>
      <x:c r="F850" s="2" t="n">
        <x:v>9</x:v>
      </x:c>
      <x:c r="G850" s="2" t="str">
        <x:v>observed_post_release</x:v>
      </x:c>
      <x:c r="H850" s="2" t="n">
        <x:f>IF(AND(ISNUMBER(F850),F850&gt;=D850),1,0)</x:f>
        <x:v>1</x:v>
      </x:c>
      <x:c r="I850" s="2" t="n">
        <x:f>IF(AND(ISNUMBER(F850),F850&gt;D850),1,0)</x:f>
        <x:v>1</x:v>
      </x:c>
      <x:c r="J850" s="2" t="n">
        <x:f>IF(H850=1,F850-D850,"")</x:f>
        <x:v>2</x:v>
      </x:c>
      <x:c r="K850" s="2" t="n">
        <x:f>IF(H850=1,F850-E850,"")</x:f>
        <x:v>8</x:v>
      </x:c>
      <x:c r="L850" s="2" t="n">
        <x:v>9</x:v>
      </x:c>
      <x:c r="M850" s="2" t="n">
        <x:v>9</x:v>
      </x:c>
      <x:c r="N850" s="20" t="n">
        <x:v>0.4</x:v>
      </x:c>
      <x:c r="O850" s="20" t="n">
        <x:v>0.2</x:v>
      </x:c>
      <x:c r="P850" s="20" t="n">
        <x:v>0.5</x:v>
      </x:c>
      <x:c r="Q850" s="2" t="n">
        <x:v>24</x:v>
      </x:c>
      <x:c r="R850" s="2" t="str">
        <x:v>ENTP</x:v>
      </x:c>
      <x:c r="S850" s="2" t="str">
        <x:v>华南</x:v>
      </x:c>
      <x:c r="T850" s="2" t="str">
        <x:v>在校学生</x:v>
      </x:c>
    </x:row>
    <x:row r="851" ht="24" customHeight="1">
      <x:c r="A851" s="2" t="str">
        <x:v>D040_T07_C020_G050</x:v>
      </x:c>
      <x:c r="B851" s="2" t="str">
        <x:v>A0038</x:v>
      </x:c>
      <x:c r="C851" s="2" t="str">
        <x:v>inside</x:v>
      </x:c>
      <x:c r="D851" s="2" t="n">
        <x:v>7</x:v>
      </x:c>
      <x:c r="E851" s="2" t="n">
        <x:v>1</x:v>
      </x:c>
      <x:c r="F851" s="2"/>
      <x:c r="G851" s="2" t="str">
        <x:v>right_censored</x:v>
      </x:c>
      <x:c r="H851" s="2" t="n">
        <x:f>IF(AND(ISNUMBER(F851),F851&gt;=D851),1,0)</x:f>
        <x:v>0</x:v>
      </x:c>
      <x:c r="I851" s="2" t="n">
        <x:f>IF(AND(ISNUMBER(F851),F851&gt;D851),1,0)</x:f>
        <x:v>0</x:v>
      </x:c>
      <x:c r="J851" s="2" t="str">
        <x:f>IF(H851=1,F851-D851,"")</x:f>
      </x:c>
      <x:c r="K851" s="2" t="str">
        <x:f>IF(H851=1,F851-E851,"")</x:f>
      </x:c>
      <x:c r="L851" s="2" t="n">
        <x:v>9</x:v>
      </x:c>
      <x:c r="M851" s="2" t="n">
        <x:v>8</x:v>
      </x:c>
      <x:c r="N851" s="20" t="n">
        <x:v>0.4</x:v>
      </x:c>
      <x:c r="O851" s="20" t="n">
        <x:v>0.2</x:v>
      </x:c>
      <x:c r="P851" s="20" t="n">
        <x:v>0.5</x:v>
      </x:c>
      <x:c r="Q851" s="2" t="n">
        <x:v>46</x:v>
      </x:c>
      <x:c r="R851" s="2" t="str">
        <x:v>ISTP</x:v>
      </x:c>
      <x:c r="S851" s="2" t="str">
        <x:v>华东</x:v>
      </x:c>
      <x:c r="T851" s="2" t="str">
        <x:v>行政或办公室岗位</x:v>
      </x:c>
    </x:row>
    <x:row r="852" ht="24" customHeight="1">
      <x:c r="A852" s="2" t="str">
        <x:v>D040_T07_C020_G050</x:v>
      </x:c>
      <x:c r="B852" s="2" t="str">
        <x:v>A0039</x:v>
      </x:c>
      <x:c r="C852" s="2" t="str">
        <x:v>inside</x:v>
      </x:c>
      <x:c r="D852" s="2" t="n">
        <x:v>7</x:v>
      </x:c>
      <x:c r="E852" s="2" t="n">
        <x:v>5</x:v>
      </x:c>
      <x:c r="F852" s="2" t="n">
        <x:v>10</x:v>
      </x:c>
      <x:c r="G852" s="2" t="str">
        <x:v>observed_post_release</x:v>
      </x:c>
      <x:c r="H852" s="2" t="n">
        <x:f>IF(AND(ISNUMBER(F852),F852&gt;=D852),1,0)</x:f>
        <x:v>1</x:v>
      </x:c>
      <x:c r="I852" s="2" t="n">
        <x:f>IF(AND(ISNUMBER(F852),F852&gt;D852),1,0)</x:f>
        <x:v>1</x:v>
      </x:c>
      <x:c r="J852" s="2" t="n">
        <x:f>IF(H852=1,F852-D852,"")</x:f>
        <x:v>3</x:v>
      </x:c>
      <x:c r="K852" s="2" t="n">
        <x:f>IF(H852=1,F852-E852,"")</x:f>
        <x:v>5</x:v>
      </x:c>
      <x:c r="L852" s="2" t="n">
        <x:v>5</x:v>
      </x:c>
      <x:c r="M852" s="2" t="n">
        <x:v>10</x:v>
      </x:c>
      <x:c r="N852" s="20" t="n">
        <x:v>0.4</x:v>
      </x:c>
      <x:c r="O852" s="20" t="n">
        <x:v>0.2</x:v>
      </x:c>
      <x:c r="P852" s="20" t="n">
        <x:v>0.5</x:v>
      </x:c>
      <x:c r="Q852" s="2" t="n">
        <x:v>33</x:v>
      </x:c>
      <x:c r="R852" s="2" t="str">
        <x:v>ISTJ</x:v>
      </x:c>
      <x:c r="S852" s="2" t="str">
        <x:v>华南</x:v>
      </x:c>
      <x:c r="T852" s="2" t="str">
        <x:v>专业技术岗位</x:v>
      </x:c>
    </x:row>
    <x:row r="853" ht="24" customHeight="1">
      <x:c r="A853" s="2" t="str">
        <x:v>D040_T07_C020_G050</x:v>
      </x:c>
      <x:c r="B853" s="2" t="str">
        <x:v>A0040</x:v>
      </x:c>
      <x:c r="C853" s="2" t="str">
        <x:v>inside</x:v>
      </x:c>
      <x:c r="D853" s="2" t="n">
        <x:v>7</x:v>
      </x:c>
      <x:c r="E853" s="2" t="n">
        <x:v>1</x:v>
      </x:c>
      <x:c r="F853" s="2" t="n">
        <x:v>9</x:v>
      </x:c>
      <x:c r="G853" s="2" t="str">
        <x:v>observed_post_release</x:v>
      </x:c>
      <x:c r="H853" s="2" t="n">
        <x:f>IF(AND(ISNUMBER(F853),F853&gt;=D853),1,0)</x:f>
        <x:v>1</x:v>
      </x:c>
      <x:c r="I853" s="2" t="n">
        <x:f>IF(AND(ISNUMBER(F853),F853&gt;D853),1,0)</x:f>
        <x:v>1</x:v>
      </x:c>
      <x:c r="J853" s="2" t="n">
        <x:f>IF(H853=1,F853-D853,"")</x:f>
        <x:v>2</x:v>
      </x:c>
      <x:c r="K853" s="2" t="n">
        <x:f>IF(H853=1,F853-E853,"")</x:f>
        <x:v>8</x:v>
      </x:c>
      <x:c r="L853" s="2" t="n">
        <x:v>9</x:v>
      </x:c>
      <x:c r="M853" s="2" t="n">
        <x:v>9</x:v>
      </x:c>
      <x:c r="N853" s="20" t="n">
        <x:v>0.4</x:v>
      </x:c>
      <x:c r="O853" s="20" t="n">
        <x:v>0.2</x:v>
      </x:c>
      <x:c r="P853" s="20" t="n">
        <x:v>0.5</x:v>
      </x:c>
      <x:c r="Q853" s="2" t="n">
        <x:v>48</x:v>
      </x:c>
      <x:c r="R853" s="2" t="str">
        <x:v>INFP</x:v>
      </x:c>
      <x:c r="S853" s="2" t="str">
        <x:v>西北</x:v>
      </x:c>
      <x:c r="T853" s="2" t="str">
        <x:v>个体经营或自由职业</x:v>
      </x:c>
    </x:row>
    <x:row r="854" ht="24" customHeight="1">
      <x:c r="A854" s="2" t="str">
        <x:v>D040_T07_C020_G050</x:v>
      </x:c>
      <x:c r="B854" s="2" t="str">
        <x:v>A0041</x:v>
      </x:c>
      <x:c r="C854" s="2" t="str">
        <x:v>inside</x:v>
      </x:c>
      <x:c r="D854" s="2" t="n">
        <x:v>7</x:v>
      </x:c>
      <x:c r="E854" s="2" t="n">
        <x:v>1</x:v>
      </x:c>
      <x:c r="F854" s="2"/>
      <x:c r="G854" s="2" t="str">
        <x:v>right_censored</x:v>
      </x:c>
      <x:c r="H854" s="2" t="n">
        <x:f>IF(AND(ISNUMBER(F854),F854&gt;=D854),1,0)</x:f>
        <x:v>0</x:v>
      </x:c>
      <x:c r="I854" s="2" t="n">
        <x:f>IF(AND(ISNUMBER(F854),F854&gt;D854),1,0)</x:f>
        <x:v>0</x:v>
      </x:c>
      <x:c r="J854" s="2" t="str">
        <x:f>IF(H854=1,F854-D854,"")</x:f>
      </x:c>
      <x:c r="K854" s="2" t="str">
        <x:f>IF(H854=1,F854-E854,"")</x:f>
      </x:c>
      <x:c r="L854" s="2" t="n">
        <x:v>9</x:v>
      </x:c>
      <x:c r="M854" s="2"/>
      <x:c r="N854" s="20" t="n">
        <x:v>0.4</x:v>
      </x:c>
      <x:c r="O854" s="20" t="n">
        <x:v>0.2</x:v>
      </x:c>
      <x:c r="P854" s="20" t="n">
        <x:v>0.5</x:v>
      </x:c>
      <x:c r="Q854" s="2" t="n">
        <x:v>62</x:v>
      </x:c>
      <x:c r="R854" s="2" t="str">
        <x:v>ISFJ</x:v>
      </x:c>
      <x:c r="S854" s="2" t="str">
        <x:v>西北</x:v>
      </x:c>
      <x:c r="T854" s="2" t="str">
        <x:v>个体经营或自由职业</x:v>
      </x:c>
    </x:row>
    <x:row r="855" ht="24" customHeight="1">
      <x:c r="A855" s="2" t="str">
        <x:v>D040_T07_C020_G050</x:v>
      </x:c>
      <x:c r="B855" s="2" t="str">
        <x:v>A0042</x:v>
      </x:c>
      <x:c r="C855" s="2" t="str">
        <x:v>inside</x:v>
      </x:c>
      <x:c r="D855" s="2" t="n">
        <x:v>7</x:v>
      </x:c>
      <x:c r="E855" s="2" t="n">
        <x:v>1</x:v>
      </x:c>
      <x:c r="F855" s="2" t="n">
        <x:v>8</x:v>
      </x:c>
      <x:c r="G855" s="2" t="str">
        <x:v>observed_post_release</x:v>
      </x:c>
      <x:c r="H855" s="2" t="n">
        <x:f>IF(AND(ISNUMBER(F855),F855&gt;=D855),1,0)</x:f>
        <x:v>1</x:v>
      </x:c>
      <x:c r="I855" s="2" t="n">
        <x:f>IF(AND(ISNUMBER(F855),F855&gt;D855),1,0)</x:f>
        <x:v>1</x:v>
      </x:c>
      <x:c r="J855" s="2" t="n">
        <x:f>IF(H855=1,F855-D855,"")</x:f>
        <x:v>1</x:v>
      </x:c>
      <x:c r="K855" s="2" t="n">
        <x:f>IF(H855=1,F855-E855,"")</x:f>
        <x:v>7</x:v>
      </x:c>
      <x:c r="L855" s="2" t="n">
        <x:v>9</x:v>
      </x:c>
      <x:c r="M855" s="2" t="n">
        <x:v>8</x:v>
      </x:c>
      <x:c r="N855" s="20" t="n">
        <x:v>0.4</x:v>
      </x:c>
      <x:c r="O855" s="20" t="n">
        <x:v>0.2</x:v>
      </x:c>
      <x:c r="P855" s="20" t="n">
        <x:v>0.5</x:v>
      </x:c>
      <x:c r="Q855" s="2" t="n">
        <x:v>31</x:v>
      </x:c>
      <x:c r="R855" s="2" t="str">
        <x:v>INTJ</x:v>
      </x:c>
      <x:c r="S855" s="2" t="str">
        <x:v>华东</x:v>
      </x:c>
      <x:c r="T855" s="2" t="str">
        <x:v>生产运输或体力岗位</x:v>
      </x:c>
    </x:row>
    <x:row r="856" ht="24" customHeight="1">
      <x:c r="A856" s="2" t="str">
        <x:v>D040_T07_C020_G050</x:v>
      </x:c>
      <x:c r="B856" s="2" t="str">
        <x:v>A0071</x:v>
      </x:c>
      <x:c r="C856" s="2" t="str">
        <x:v>inside</x:v>
      </x:c>
      <x:c r="D856" s="2" t="n">
        <x:v>7</x:v>
      </x:c>
      <x:c r="E856" s="2" t="n">
        <x:v>1</x:v>
      </x:c>
      <x:c r="F856" s="2"/>
      <x:c r="G856" s="2" t="str">
        <x:v>right_censored</x:v>
      </x:c>
      <x:c r="H856" s="2" t="n">
        <x:f>IF(AND(ISNUMBER(F856),F856&gt;=D856),1,0)</x:f>
        <x:v>0</x:v>
      </x:c>
      <x:c r="I856" s="2" t="n">
        <x:f>IF(AND(ISNUMBER(F856),F856&gt;D856),1,0)</x:f>
        <x:v>0</x:v>
      </x:c>
      <x:c r="J856" s="2" t="str">
        <x:f>IF(H856=1,F856-D856,"")</x:f>
      </x:c>
      <x:c r="K856" s="2" t="str">
        <x:f>IF(H856=1,F856-E856,"")</x:f>
      </x:c>
      <x:c r="L856" s="2" t="n">
        <x:v>9</x:v>
      </x:c>
      <x:c r="M856" s="2" t="n">
        <x:v>10</x:v>
      </x:c>
      <x:c r="N856" s="20" t="n">
        <x:v>0.4</x:v>
      </x:c>
      <x:c r="O856" s="20" t="n">
        <x:v>0.2</x:v>
      </x:c>
      <x:c r="P856" s="20" t="n">
        <x:v>0.5</x:v>
      </x:c>
      <x:c r="Q856" s="2" t="n">
        <x:v>33</x:v>
      </x:c>
      <x:c r="R856" s="2" t="str">
        <x:v>ISTJ</x:v>
      </x:c>
      <x:c r="S856" s="2" t="str">
        <x:v>华东</x:v>
      </x:c>
      <x:c r="T856" s="2" t="str">
        <x:v>商业服务岗位</x:v>
      </x:c>
    </x:row>
    <x:row r="857" ht="24" customHeight="1">
      <x:c r="A857" s="2" t="str">
        <x:v>D040_T07_C020_G050</x:v>
      </x:c>
      <x:c r="B857" s="2" t="str">
        <x:v>A0090</x:v>
      </x:c>
      <x:c r="C857" s="2" t="str">
        <x:v>inside</x:v>
      </x:c>
      <x:c r="D857" s="2" t="n">
        <x:v>7</x:v>
      </x:c>
      <x:c r="E857" s="2" t="n">
        <x:v>1</x:v>
      </x:c>
      <x:c r="F857" s="2" t="n">
        <x:v>8</x:v>
      </x:c>
      <x:c r="G857" s="2" t="str">
        <x:v>observed_post_release</x:v>
      </x:c>
      <x:c r="H857" s="2" t="n">
        <x:f>IF(AND(ISNUMBER(F857),F857&gt;=D857),1,0)</x:f>
        <x:v>1</x:v>
      </x:c>
      <x:c r="I857" s="2" t="n">
        <x:f>IF(AND(ISNUMBER(F857),F857&gt;D857),1,0)</x:f>
        <x:v>1</x:v>
      </x:c>
      <x:c r="J857" s="2" t="n">
        <x:f>IF(H857=1,F857-D857,"")</x:f>
        <x:v>1</x:v>
      </x:c>
      <x:c r="K857" s="2" t="n">
        <x:f>IF(H857=1,F857-E857,"")</x:f>
        <x:v>7</x:v>
      </x:c>
      <x:c r="L857" s="2" t="n">
        <x:v>9</x:v>
      </x:c>
      <x:c r="M857" s="2" t="n">
        <x:v>8</x:v>
      </x:c>
      <x:c r="N857" s="20" t="n">
        <x:v>0.4</x:v>
      </x:c>
      <x:c r="O857" s="20" t="n">
        <x:v>0.2</x:v>
      </x:c>
      <x:c r="P857" s="20" t="n">
        <x:v>0.5</x:v>
      </x:c>
      <x:c r="Q857" s="2" t="n">
        <x:v>46</x:v>
      </x:c>
      <x:c r="R857" s="2" t="str">
        <x:v>ENFJ</x:v>
      </x:c>
      <x:c r="S857" s="2" t="str">
        <x:v>西北</x:v>
      </x:c>
      <x:c r="T857" s="2" t="str">
        <x:v>个体经营或自由职业</x:v>
      </x:c>
    </x:row>
    <x:row r="858" ht="24" customHeight="1">
      <x:c r="A858" s="2" t="str">
        <x:v>D040_T07_C020_G050</x:v>
      </x:c>
      <x:c r="B858" s="2" t="str">
        <x:v>A0189</x:v>
      </x:c>
      <x:c r="C858" s="2" t="str">
        <x:v>inside</x:v>
      </x:c>
      <x:c r="D858" s="2" t="n">
        <x:v>7</x:v>
      </x:c>
      <x:c r="E858" s="2" t="n">
        <x:v>1</x:v>
      </x:c>
      <x:c r="F858" s="2" t="n">
        <x:v>10</x:v>
      </x:c>
      <x:c r="G858" s="2" t="str">
        <x:v>observed_post_release</x:v>
      </x:c>
      <x:c r="H858" s="2" t="n">
        <x:f>IF(AND(ISNUMBER(F858),F858&gt;=D858),1,0)</x:f>
        <x:v>1</x:v>
      </x:c>
      <x:c r="I858" s="2" t="n">
        <x:f>IF(AND(ISNUMBER(F858),F858&gt;D858),1,0)</x:f>
        <x:v>1</x:v>
      </x:c>
      <x:c r="J858" s="2" t="n">
        <x:f>IF(H858=1,F858-D858,"")</x:f>
        <x:v>3</x:v>
      </x:c>
      <x:c r="K858" s="2" t="n">
        <x:f>IF(H858=1,F858-E858,"")</x:f>
        <x:v>9</x:v>
      </x:c>
      <x:c r="L858" s="2" t="n">
        <x:v>9</x:v>
      </x:c>
      <x:c r="M858" s="2" t="n">
        <x:v>10</x:v>
      </x:c>
      <x:c r="N858" s="20" t="n">
        <x:v>0.4</x:v>
      </x:c>
      <x:c r="O858" s="20" t="n">
        <x:v>0.2</x:v>
      </x:c>
      <x:c r="P858" s="20" t="n">
        <x:v>0.5</x:v>
      </x:c>
      <x:c r="Q858" s="2" t="n">
        <x:v>45</x:v>
      </x:c>
      <x:c r="R858" s="2" t="str">
        <x:v>ISFJ</x:v>
      </x:c>
      <x:c r="S858" s="2" t="str">
        <x:v>西北</x:v>
      </x:c>
      <x:c r="T858" s="2" t="str">
        <x:v>生产运输或体力岗位</x:v>
      </x:c>
    </x:row>
    <x:row r="859" ht="24" customHeight="1">
      <x:c r="A859" s="2" t="str">
        <x:v>D040_T07_C020_G050</x:v>
      </x:c>
      <x:c r="B859" s="2" t="str">
        <x:v>A0206</x:v>
      </x:c>
      <x:c r="C859" s="2" t="str">
        <x:v>inside</x:v>
      </x:c>
      <x:c r="D859" s="2" t="n">
        <x:v>7</x:v>
      </x:c>
      <x:c r="E859" s="2" t="n">
        <x:v>1</x:v>
      </x:c>
      <x:c r="F859" s="2" t="n">
        <x:v>8</x:v>
      </x:c>
      <x:c r="G859" s="2" t="str">
        <x:v>observed_post_release</x:v>
      </x:c>
      <x:c r="H859" s="2" t="n">
        <x:f>IF(AND(ISNUMBER(F859),F859&gt;=D859),1,0)</x:f>
        <x:v>1</x:v>
      </x:c>
      <x:c r="I859" s="2" t="n">
        <x:f>IF(AND(ISNUMBER(F859),F859&gt;D859),1,0)</x:f>
        <x:v>1</x:v>
      </x:c>
      <x:c r="J859" s="2" t="n">
        <x:f>IF(H859=1,F859-D859,"")</x:f>
        <x:v>1</x:v>
      </x:c>
      <x:c r="K859" s="2" t="n">
        <x:f>IF(H859=1,F859-E859,"")</x:f>
        <x:v>7</x:v>
      </x:c>
      <x:c r="L859" s="2" t="n">
        <x:v>9</x:v>
      </x:c>
      <x:c r="M859" s="2" t="n">
        <x:v>7</x:v>
      </x:c>
      <x:c r="N859" s="20" t="n">
        <x:v>0.4</x:v>
      </x:c>
      <x:c r="O859" s="20" t="n">
        <x:v>0.2</x:v>
      </x:c>
      <x:c r="P859" s="20" t="n">
        <x:v>0.5</x:v>
      </x:c>
      <x:c r="Q859" s="2" t="n">
        <x:v>21</x:v>
      </x:c>
      <x:c r="R859" s="2" t="str">
        <x:v>ESTP</x:v>
      </x:c>
      <x:c r="S859" s="2" t="str">
        <x:v>西北</x:v>
      </x:c>
      <x:c r="T859" s="2" t="str">
        <x:v>暂未就业或家庭照料</x:v>
      </x:c>
    </x:row>
    <x:row r="860" ht="24" customHeight="1">
      <x:c r="A860" s="2" t="str">
        <x:v>D040_T07_C020_G075</x:v>
      </x:c>
      <x:c r="B860" s="2" t="str">
        <x:v>A0001</x:v>
      </x:c>
      <x:c r="C860" s="2" t="str">
        <x:v>inside</x:v>
      </x:c>
      <x:c r="D860" s="2" t="n">
        <x:v>7</x:v>
      </x:c>
      <x:c r="E860" s="2" t="n">
        <x:v>1</x:v>
      </x:c>
      <x:c r="F860" s="2" t="n">
        <x:v>8</x:v>
      </x:c>
      <x:c r="G860" s="2" t="str">
        <x:v>observed_post_release</x:v>
      </x:c>
      <x:c r="H860" s="2" t="n">
        <x:f>IF(AND(ISNUMBER(F860),F860&gt;=D860),1,0)</x:f>
        <x:v>1</x:v>
      </x:c>
      <x:c r="I860" s="2" t="n">
        <x:f>IF(AND(ISNUMBER(F860),F860&gt;D860),1,0)</x:f>
        <x:v>1</x:v>
      </x:c>
      <x:c r="J860" s="2" t="n">
        <x:f>IF(H860=1,F860-D860,"")</x:f>
        <x:v>1</x:v>
      </x:c>
      <x:c r="K860" s="2" t="n">
        <x:f>IF(H860=1,F860-E860,"")</x:f>
        <x:v>7</x:v>
      </x:c>
      <x:c r="L860" s="2" t="n">
        <x:v>9</x:v>
      </x:c>
      <x:c r="M860" s="2" t="n">
        <x:v>8</x:v>
      </x:c>
      <x:c r="N860" s="20" t="n">
        <x:v>0.4</x:v>
      </x:c>
      <x:c r="O860" s="20" t="n">
        <x:v>0.2</x:v>
      </x:c>
      <x:c r="P860" s="20" t="n">
        <x:v>0.75</x:v>
      </x:c>
      <x:c r="Q860" s="2" t="n">
        <x:v>22</x:v>
      </x:c>
      <x:c r="R860" s="2" t="str">
        <x:v>ESTJ</x:v>
      </x:c>
      <x:c r="S860" s="2" t="str">
        <x:v>华南</x:v>
      </x:c>
      <x:c r="T860" s="2" t="str">
        <x:v>在校学生</x:v>
      </x:c>
    </x:row>
    <x:row r="861" ht="24" customHeight="1">
      <x:c r="A861" s="2" t="str">
        <x:v>D040_T07_C020_G075</x:v>
      </x:c>
      <x:c r="B861" s="2" t="str">
        <x:v>A0005</x:v>
      </x:c>
      <x:c r="C861" s="2" t="str">
        <x:v>inside</x:v>
      </x:c>
      <x:c r="D861" s="2" t="n">
        <x:v>7</x:v>
      </x:c>
      <x:c r="E861" s="2" t="n">
        <x:v>1</x:v>
      </x:c>
      <x:c r="F861" s="2" t="n">
        <x:v>9</x:v>
      </x:c>
      <x:c r="G861" s="2" t="str">
        <x:v>observed_post_release</x:v>
      </x:c>
      <x:c r="H861" s="2" t="n">
        <x:f>IF(AND(ISNUMBER(F861),F861&gt;=D861),1,0)</x:f>
        <x:v>1</x:v>
      </x:c>
      <x:c r="I861" s="2" t="n">
        <x:f>IF(AND(ISNUMBER(F861),F861&gt;D861),1,0)</x:f>
        <x:v>1</x:v>
      </x:c>
      <x:c r="J861" s="2" t="n">
        <x:f>IF(H861=1,F861-D861,"")</x:f>
        <x:v>2</x:v>
      </x:c>
      <x:c r="K861" s="2" t="n">
        <x:f>IF(H861=1,F861-E861,"")</x:f>
        <x:v>8</x:v>
      </x:c>
      <x:c r="L861" s="2" t="n">
        <x:v>9</x:v>
      </x:c>
      <x:c r="M861" s="2" t="n">
        <x:v>9</x:v>
      </x:c>
      <x:c r="N861" s="20" t="n">
        <x:v>0.4</x:v>
      </x:c>
      <x:c r="O861" s="20" t="n">
        <x:v>0.2</x:v>
      </x:c>
      <x:c r="P861" s="20" t="n">
        <x:v>0.75</x:v>
      </x:c>
      <x:c r="Q861" s="2" t="n">
        <x:v>51</x:v>
      </x:c>
      <x:c r="R861" s="2" t="str">
        <x:v>ISTP</x:v>
      </x:c>
      <x:c r="S861" s="2" t="str">
        <x:v>华南</x:v>
      </x:c>
      <x:c r="T861" s="2" t="str">
        <x:v>生产运输或体力岗位</x:v>
      </x:c>
    </x:row>
    <x:row r="862" ht="24" customHeight="1">
      <x:c r="A862" s="2" t="str">
        <x:v>D040_T07_C020_G075</x:v>
      </x:c>
      <x:c r="B862" s="2" t="str">
        <x:v>A0009</x:v>
      </x:c>
      <x:c r="C862" s="2" t="str">
        <x:v>inside</x:v>
      </x:c>
      <x:c r="D862" s="2" t="n">
        <x:v>7</x:v>
      </x:c>
      <x:c r="E862" s="2" t="n">
        <x:v>1</x:v>
      </x:c>
      <x:c r="F862" s="2" t="n">
        <x:v>8</x:v>
      </x:c>
      <x:c r="G862" s="2" t="str">
        <x:v>observed_post_release</x:v>
      </x:c>
      <x:c r="H862" s="2" t="n">
        <x:f>IF(AND(ISNUMBER(F862),F862&gt;=D862),1,0)</x:f>
        <x:v>1</x:v>
      </x:c>
      <x:c r="I862" s="2" t="n">
        <x:f>IF(AND(ISNUMBER(F862),F862&gt;D862),1,0)</x:f>
        <x:v>1</x:v>
      </x:c>
      <x:c r="J862" s="2" t="n">
        <x:f>IF(H862=1,F862-D862,"")</x:f>
        <x:v>1</x:v>
      </x:c>
      <x:c r="K862" s="2" t="n">
        <x:f>IF(H862=1,F862-E862,"")</x:f>
        <x:v>7</x:v>
      </x:c>
      <x:c r="L862" s="2" t="n">
        <x:v>9</x:v>
      </x:c>
      <x:c r="M862" s="2" t="n">
        <x:v>8</x:v>
      </x:c>
      <x:c r="N862" s="20" t="n">
        <x:v>0.4</x:v>
      </x:c>
      <x:c r="O862" s="20" t="n">
        <x:v>0.2</x:v>
      </x:c>
      <x:c r="P862" s="20" t="n">
        <x:v>0.75</x:v>
      </x:c>
      <x:c r="Q862" s="2" t="n">
        <x:v>32</x:v>
      </x:c>
      <x:c r="R862" s="2" t="str">
        <x:v>ENFJ</x:v>
      </x:c>
      <x:c r="S862" s="2" t="str">
        <x:v>华东</x:v>
      </x:c>
      <x:c r="T862" s="2" t="str">
        <x:v>商业服务岗位</x:v>
      </x:c>
    </x:row>
    <x:row r="863" ht="24" customHeight="1">
      <x:c r="A863" s="2" t="str">
        <x:v>D040_T07_C020_G075</x:v>
      </x:c>
      <x:c r="B863" s="2" t="str">
        <x:v>A0010</x:v>
      </x:c>
      <x:c r="C863" s="2" t="str">
        <x:v>inside</x:v>
      </x:c>
      <x:c r="D863" s="2" t="n">
        <x:v>7</x:v>
      </x:c>
      <x:c r="E863" s="2" t="n">
        <x:v>6</x:v>
      </x:c>
      <x:c r="F863" s="2" t="n">
        <x:v>10</x:v>
      </x:c>
      <x:c r="G863" s="2" t="str">
        <x:v>observed_post_release</x:v>
      </x:c>
      <x:c r="H863" s="2" t="n">
        <x:f>IF(AND(ISNUMBER(F863),F863&gt;=D863),1,0)</x:f>
        <x:v>1</x:v>
      </x:c>
      <x:c r="I863" s="2" t="n">
        <x:f>IF(AND(ISNUMBER(F863),F863&gt;D863),1,0)</x:f>
        <x:v>1</x:v>
      </x:c>
      <x:c r="J863" s="2" t="n">
        <x:f>IF(H863=1,F863-D863,"")</x:f>
        <x:v>3</x:v>
      </x:c>
      <x:c r="K863" s="2" t="n">
        <x:f>IF(H863=1,F863-E863,"")</x:f>
        <x:v>4</x:v>
      </x:c>
      <x:c r="L863" s="2" t="n">
        <x:v>4</x:v>
      </x:c>
      <x:c r="M863" s="2" t="n">
        <x:v>10</x:v>
      </x:c>
      <x:c r="N863" s="20" t="n">
        <x:v>0.4</x:v>
      </x:c>
      <x:c r="O863" s="20" t="n">
        <x:v>0.2</x:v>
      </x:c>
      <x:c r="P863" s="20" t="n">
        <x:v>0.75</x:v>
      </x:c>
      <x:c r="Q863" s="2" t="n">
        <x:v>23</x:v>
      </x:c>
      <x:c r="R863" s="2" t="str">
        <x:v>INFP</x:v>
      </x:c>
      <x:c r="S863" s="2" t="str">
        <x:v>华东</x:v>
      </x:c>
      <x:c r="T863" s="2" t="str">
        <x:v>在校学生</x:v>
      </x:c>
    </x:row>
    <x:row r="864" ht="24" customHeight="1">
      <x:c r="A864" s="2" t="str">
        <x:v>D040_T07_C020_G075</x:v>
      </x:c>
      <x:c r="B864" s="2" t="str">
        <x:v>A0011</x:v>
      </x:c>
      <x:c r="C864" s="2" t="str">
        <x:v>inside</x:v>
      </x:c>
      <x:c r="D864" s="2" t="n">
        <x:v>7</x:v>
      </x:c>
      <x:c r="E864" s="2" t="n">
        <x:v>1</x:v>
      </x:c>
      <x:c r="F864" s="2" t="n">
        <x:v>7</x:v>
      </x:c>
      <x:c r="G864" s="2" t="str">
        <x:v>observed_post_release</x:v>
      </x:c>
      <x:c r="H864" s="2" t="n">
        <x:f>IF(AND(ISNUMBER(F864),F864&gt;=D864),1,0)</x:f>
        <x:v>1</x:v>
      </x:c>
      <x:c r="I864" s="2" t="n">
        <x:f>IF(AND(ISNUMBER(F864),F864&gt;D864),1,0)</x:f>
        <x:v>0</x:v>
      </x:c>
      <x:c r="J864" s="2" t="n">
        <x:f>IF(H864=1,F864-D864,"")</x:f>
        <x:v>0</x:v>
      </x:c>
      <x:c r="K864" s="2" t="n">
        <x:f>IF(H864=1,F864-E864,"")</x:f>
        <x:v>6</x:v>
      </x:c>
      <x:c r="L864" s="2" t="n">
        <x:v>9</x:v>
      </x:c>
      <x:c r="M864" s="2" t="n">
        <x:v>7</x:v>
      </x:c>
      <x:c r="N864" s="20" t="n">
        <x:v>0.4</x:v>
      </x:c>
      <x:c r="O864" s="20" t="n">
        <x:v>0.2</x:v>
      </x:c>
      <x:c r="P864" s="20" t="n">
        <x:v>0.75</x:v>
      </x:c>
      <x:c r="Q864" s="2" t="n">
        <x:v>42</x:v>
      </x:c>
      <x:c r="R864" s="2" t="str">
        <x:v>ENFJ</x:v>
      </x:c>
      <x:c r="S864" s="2" t="str">
        <x:v>西南</x:v>
      </x:c>
      <x:c r="T864" s="2" t="str">
        <x:v>行政或办公室岗位</x:v>
      </x:c>
    </x:row>
    <x:row r="865" ht="24" customHeight="1">
      <x:c r="A865" s="2" t="str">
        <x:v>D040_T07_C020_G075</x:v>
      </x:c>
      <x:c r="B865" s="2" t="str">
        <x:v>A0012</x:v>
      </x:c>
      <x:c r="C865" s="2" t="str">
        <x:v>inside</x:v>
      </x:c>
      <x:c r="D865" s="2" t="n">
        <x:v>7</x:v>
      </x:c>
      <x:c r="E865" s="2" t="n">
        <x:v>1</x:v>
      </x:c>
      <x:c r="F865" s="2"/>
      <x:c r="G865" s="2" t="str">
        <x:v>right_censored</x:v>
      </x:c>
      <x:c r="H865" s="2" t="n">
        <x:f>IF(AND(ISNUMBER(F865),F865&gt;=D865),1,0)</x:f>
        <x:v>0</x:v>
      </x:c>
      <x:c r="I865" s="2" t="n">
        <x:f>IF(AND(ISNUMBER(F865),F865&gt;D865),1,0)</x:f>
        <x:v>0</x:v>
      </x:c>
      <x:c r="J865" s="2" t="str">
        <x:f>IF(H865=1,F865-D865,"")</x:f>
      </x:c>
      <x:c r="K865" s="2" t="str">
        <x:f>IF(H865=1,F865-E865,"")</x:f>
      </x:c>
      <x:c r="L865" s="2" t="n">
        <x:v>9</x:v>
      </x:c>
      <x:c r="M865" s="2" t="n">
        <x:v>10</x:v>
      </x:c>
      <x:c r="N865" s="20" t="n">
        <x:v>0.4</x:v>
      </x:c>
      <x:c r="O865" s="20" t="n">
        <x:v>0.2</x:v>
      </x:c>
      <x:c r="P865" s="20" t="n">
        <x:v>0.75</x:v>
      </x:c>
      <x:c r="Q865" s="2" t="n">
        <x:v>38</x:v>
      </x:c>
      <x:c r="R865" s="2" t="str">
        <x:v>ESFP</x:v>
      </x:c>
      <x:c r="S865" s="2" t="str">
        <x:v>华中</x:v>
      </x:c>
      <x:c r="T865" s="2" t="str">
        <x:v>行政或办公室岗位</x:v>
      </x:c>
    </x:row>
    <x:row r="866" ht="24" customHeight="1">
      <x:c r="A866" s="2" t="str">
        <x:v>D040_T07_C020_G075</x:v>
      </x:c>
      <x:c r="B866" s="2" t="str">
        <x:v>A0014</x:v>
      </x:c>
      <x:c r="C866" s="2" t="str">
        <x:v>inside</x:v>
      </x:c>
      <x:c r="D866" s="2" t="n">
        <x:v>7</x:v>
      </x:c>
      <x:c r="E866" s="2" t="n">
        <x:v>1</x:v>
      </x:c>
      <x:c r="F866" s="2" t="n">
        <x:v>7</x:v>
      </x:c>
      <x:c r="G866" s="2" t="str">
        <x:v>observed_post_release</x:v>
      </x:c>
      <x:c r="H866" s="2" t="n">
        <x:f>IF(AND(ISNUMBER(F866),F866&gt;=D866),1,0)</x:f>
        <x:v>1</x:v>
      </x:c>
      <x:c r="I866" s="2" t="n">
        <x:f>IF(AND(ISNUMBER(F866),F866&gt;D866),1,0)</x:f>
        <x:v>0</x:v>
      </x:c>
      <x:c r="J866" s="2" t="n">
        <x:f>IF(H866=1,F866-D866,"")</x:f>
        <x:v>0</x:v>
      </x:c>
      <x:c r="K866" s="2" t="n">
        <x:f>IF(H866=1,F866-E866,"")</x:f>
        <x:v>6</x:v>
      </x:c>
      <x:c r="L866" s="2" t="n">
        <x:v>9</x:v>
      </x:c>
      <x:c r="M866" s="2" t="n">
        <x:v>7</x:v>
      </x:c>
      <x:c r="N866" s="20" t="n">
        <x:v>0.4</x:v>
      </x:c>
      <x:c r="O866" s="20" t="n">
        <x:v>0.2</x:v>
      </x:c>
      <x:c r="P866" s="20" t="n">
        <x:v>0.75</x:v>
      </x:c>
      <x:c r="Q866" s="2" t="n">
        <x:v>52</x:v>
      </x:c>
      <x:c r="R866" s="2" t="str">
        <x:v>INFJ</x:v>
      </x:c>
      <x:c r="S866" s="2" t="str">
        <x:v>华东</x:v>
      </x:c>
      <x:c r="T866" s="2" t="str">
        <x:v>生产运输或体力岗位</x:v>
      </x:c>
    </x:row>
    <x:row r="867" ht="24" customHeight="1">
      <x:c r="A867" s="2" t="str">
        <x:v>D040_T07_C020_G075</x:v>
      </x:c>
      <x:c r="B867" s="2" t="str">
        <x:v>A0016</x:v>
      </x:c>
      <x:c r="C867" s="2" t="str">
        <x:v>inside</x:v>
      </x:c>
      <x:c r="D867" s="2" t="n">
        <x:v>7</x:v>
      </x:c>
      <x:c r="E867" s="2" t="n">
        <x:v>1</x:v>
      </x:c>
      <x:c r="F867" s="2" t="n">
        <x:v>9</x:v>
      </x:c>
      <x:c r="G867" s="2" t="str">
        <x:v>observed_post_release</x:v>
      </x:c>
      <x:c r="H867" s="2" t="n">
        <x:f>IF(AND(ISNUMBER(F867),F867&gt;=D867),1,0)</x:f>
        <x:v>1</x:v>
      </x:c>
      <x:c r="I867" s="2" t="n">
        <x:f>IF(AND(ISNUMBER(F867),F867&gt;D867),1,0)</x:f>
        <x:v>1</x:v>
      </x:c>
      <x:c r="J867" s="2" t="n">
        <x:f>IF(H867=1,F867-D867,"")</x:f>
        <x:v>2</x:v>
      </x:c>
      <x:c r="K867" s="2" t="n">
        <x:f>IF(H867=1,F867-E867,"")</x:f>
        <x:v>8</x:v>
      </x:c>
      <x:c r="L867" s="2" t="n">
        <x:v>9</x:v>
      </x:c>
      <x:c r="M867" s="2" t="n">
        <x:v>9</x:v>
      </x:c>
      <x:c r="N867" s="20" t="n">
        <x:v>0.4</x:v>
      </x:c>
      <x:c r="O867" s="20" t="n">
        <x:v>0.2</x:v>
      </x:c>
      <x:c r="P867" s="20" t="n">
        <x:v>0.75</x:v>
      </x:c>
      <x:c r="Q867" s="2" t="n">
        <x:v>60</x:v>
      </x:c>
      <x:c r="R867" s="2" t="str">
        <x:v>ESFJ</x:v>
      </x:c>
      <x:c r="S867" s="2" t="str">
        <x:v>华北</x:v>
      </x:c>
      <x:c r="T867" s="2" t="str">
        <x:v>个体经营或自由职业</x:v>
      </x:c>
    </x:row>
    <x:row r="868" ht="24" customHeight="1">
      <x:c r="A868" s="2" t="str">
        <x:v>D040_T07_C020_G075</x:v>
      </x:c>
      <x:c r="B868" s="2" t="str">
        <x:v>A0017</x:v>
      </x:c>
      <x:c r="C868" s="2" t="str">
        <x:v>inside</x:v>
      </x:c>
      <x:c r="D868" s="2" t="n">
        <x:v>7</x:v>
      </x:c>
      <x:c r="E868" s="2" t="n">
        <x:v>1</x:v>
      </x:c>
      <x:c r="F868" s="2" t="n">
        <x:v>9</x:v>
      </x:c>
      <x:c r="G868" s="2" t="str">
        <x:v>observed_post_release</x:v>
      </x:c>
      <x:c r="H868" s="2" t="n">
        <x:f>IF(AND(ISNUMBER(F868),F868&gt;=D868),1,0)</x:f>
        <x:v>1</x:v>
      </x:c>
      <x:c r="I868" s="2" t="n">
        <x:f>IF(AND(ISNUMBER(F868),F868&gt;D868),1,0)</x:f>
        <x:v>1</x:v>
      </x:c>
      <x:c r="J868" s="2" t="n">
        <x:f>IF(H868=1,F868-D868,"")</x:f>
        <x:v>2</x:v>
      </x:c>
      <x:c r="K868" s="2" t="n">
        <x:f>IF(H868=1,F868-E868,"")</x:f>
        <x:v>8</x:v>
      </x:c>
      <x:c r="L868" s="2" t="n">
        <x:v>9</x:v>
      </x:c>
      <x:c r="M868" s="2" t="n">
        <x:v>9</x:v>
      </x:c>
      <x:c r="N868" s="20" t="n">
        <x:v>0.4</x:v>
      </x:c>
      <x:c r="O868" s="20" t="n">
        <x:v>0.2</x:v>
      </x:c>
      <x:c r="P868" s="20" t="n">
        <x:v>0.75</x:v>
      </x:c>
      <x:c r="Q868" s="2" t="n">
        <x:v>30</x:v>
      </x:c>
      <x:c r="R868" s="2" t="str">
        <x:v>ISTJ</x:v>
      </x:c>
      <x:c r="S868" s="2" t="str">
        <x:v>华东</x:v>
      </x:c>
      <x:c r="T868" s="2" t="str">
        <x:v>商业服务岗位</x:v>
      </x:c>
    </x:row>
    <x:row r="869" ht="24" customHeight="1">
      <x:c r="A869" s="2" t="str">
        <x:v>D040_T07_C020_G075</x:v>
      </x:c>
      <x:c r="B869" s="2" t="str">
        <x:v>A0018</x:v>
      </x:c>
      <x:c r="C869" s="2" t="str">
        <x:v>inside</x:v>
      </x:c>
      <x:c r="D869" s="2" t="n">
        <x:v>7</x:v>
      </x:c>
      <x:c r="E869" s="2" t="n">
        <x:v>1</x:v>
      </x:c>
      <x:c r="F869" s="2" t="n">
        <x:v>9</x:v>
      </x:c>
      <x:c r="G869" s="2" t="str">
        <x:v>observed_post_release</x:v>
      </x:c>
      <x:c r="H869" s="2" t="n">
        <x:f>IF(AND(ISNUMBER(F869),F869&gt;=D869),1,0)</x:f>
        <x:v>1</x:v>
      </x:c>
      <x:c r="I869" s="2" t="n">
        <x:f>IF(AND(ISNUMBER(F869),F869&gt;D869),1,0)</x:f>
        <x:v>1</x:v>
      </x:c>
      <x:c r="J869" s="2" t="n">
        <x:f>IF(H869=1,F869-D869,"")</x:f>
        <x:v>2</x:v>
      </x:c>
      <x:c r="K869" s="2" t="n">
        <x:f>IF(H869=1,F869-E869,"")</x:f>
        <x:v>8</x:v>
      </x:c>
      <x:c r="L869" s="2" t="n">
        <x:v>9</x:v>
      </x:c>
      <x:c r="M869" s="2" t="n">
        <x:v>9</x:v>
      </x:c>
      <x:c r="N869" s="20" t="n">
        <x:v>0.4</x:v>
      </x:c>
      <x:c r="O869" s="20" t="n">
        <x:v>0.2</x:v>
      </x:c>
      <x:c r="P869" s="20" t="n">
        <x:v>0.75</x:v>
      </x:c>
      <x:c r="Q869" s="2" t="n">
        <x:v>60</x:v>
      </x:c>
      <x:c r="R869" s="2" t="str">
        <x:v>INTJ</x:v>
      </x:c>
      <x:c r="S869" s="2" t="str">
        <x:v>华南</x:v>
      </x:c>
      <x:c r="T869" s="2" t="str">
        <x:v>专业技术岗位</x:v>
      </x:c>
    </x:row>
    <x:row r="870" ht="24" customHeight="1">
      <x:c r="A870" s="2" t="str">
        <x:v>D040_T07_C020_G075</x:v>
      </x:c>
      <x:c r="B870" s="2" t="str">
        <x:v>A0021</x:v>
      </x:c>
      <x:c r="C870" s="2" t="str">
        <x:v>inside</x:v>
      </x:c>
      <x:c r="D870" s="2" t="n">
        <x:v>7</x:v>
      </x:c>
      <x:c r="E870" s="2" t="n">
        <x:v>1</x:v>
      </x:c>
      <x:c r="F870" s="2" t="n">
        <x:v>8</x:v>
      </x:c>
      <x:c r="G870" s="2" t="str">
        <x:v>observed_post_release</x:v>
      </x:c>
      <x:c r="H870" s="2" t="n">
        <x:f>IF(AND(ISNUMBER(F870),F870&gt;=D870),1,0)</x:f>
        <x:v>1</x:v>
      </x:c>
      <x:c r="I870" s="2" t="n">
        <x:f>IF(AND(ISNUMBER(F870),F870&gt;D870),1,0)</x:f>
        <x:v>1</x:v>
      </x:c>
      <x:c r="J870" s="2" t="n">
        <x:f>IF(H870=1,F870-D870,"")</x:f>
        <x:v>1</x:v>
      </x:c>
      <x:c r="K870" s="2" t="n">
        <x:f>IF(H870=1,F870-E870,"")</x:f>
        <x:v>7</x:v>
      </x:c>
      <x:c r="L870" s="2" t="n">
        <x:v>9</x:v>
      </x:c>
      <x:c r="M870" s="2" t="n">
        <x:v>8</x:v>
      </x:c>
      <x:c r="N870" s="20" t="n">
        <x:v>0.4</x:v>
      </x:c>
      <x:c r="O870" s="20" t="n">
        <x:v>0.2</x:v>
      </x:c>
      <x:c r="P870" s="20" t="n">
        <x:v>0.75</x:v>
      </x:c>
      <x:c r="Q870" s="2" t="n">
        <x:v>59</x:v>
      </x:c>
      <x:c r="R870" s="2" t="str">
        <x:v>ESTJ</x:v>
      </x:c>
      <x:c r="S870" s="2" t="str">
        <x:v>东北</x:v>
      </x:c>
      <x:c r="T870" s="2" t="str">
        <x:v>专业技术岗位</x:v>
      </x:c>
    </x:row>
    <x:row r="871" ht="24" customHeight="1">
      <x:c r="A871" s="2" t="str">
        <x:v>D040_T07_C020_G075</x:v>
      </x:c>
      <x:c r="B871" s="2" t="str">
        <x:v>A0024</x:v>
      </x:c>
      <x:c r="C871" s="2" t="str">
        <x:v>inside</x:v>
      </x:c>
      <x:c r="D871" s="2" t="n">
        <x:v>7</x:v>
      </x:c>
      <x:c r="E871" s="2" t="n">
        <x:v>1</x:v>
      </x:c>
      <x:c r="F871" s="2" t="n">
        <x:v>9</x:v>
      </x:c>
      <x:c r="G871" s="2" t="str">
        <x:v>observed_post_release</x:v>
      </x:c>
      <x:c r="H871" s="2" t="n">
        <x:f>IF(AND(ISNUMBER(F871),F871&gt;=D871),1,0)</x:f>
        <x:v>1</x:v>
      </x:c>
      <x:c r="I871" s="2" t="n">
        <x:f>IF(AND(ISNUMBER(F871),F871&gt;D871),1,0)</x:f>
        <x:v>1</x:v>
      </x:c>
      <x:c r="J871" s="2" t="n">
        <x:f>IF(H871=1,F871-D871,"")</x:f>
        <x:v>2</x:v>
      </x:c>
      <x:c r="K871" s="2" t="n">
        <x:f>IF(H871=1,F871-E871,"")</x:f>
        <x:v>8</x:v>
      </x:c>
      <x:c r="L871" s="2" t="n">
        <x:v>9</x:v>
      </x:c>
      <x:c r="M871" s="2" t="n">
        <x:v>9</x:v>
      </x:c>
      <x:c r="N871" s="20" t="n">
        <x:v>0.4</x:v>
      </x:c>
      <x:c r="O871" s="20" t="n">
        <x:v>0.2</x:v>
      </x:c>
      <x:c r="P871" s="20" t="n">
        <x:v>0.75</x:v>
      </x:c>
      <x:c r="Q871" s="2" t="n">
        <x:v>31</x:v>
      </x:c>
      <x:c r="R871" s="2" t="str">
        <x:v>ESTP</x:v>
      </x:c>
      <x:c r="S871" s="2" t="str">
        <x:v>华北</x:v>
      </x:c>
      <x:c r="T871" s="2" t="str">
        <x:v>商业服务岗位</x:v>
      </x:c>
    </x:row>
    <x:row r="872" ht="24" customHeight="1">
      <x:c r="A872" s="2" t="str">
        <x:v>D040_T07_C020_G075</x:v>
      </x:c>
      <x:c r="B872" s="2" t="str">
        <x:v>A0025</x:v>
      </x:c>
      <x:c r="C872" s="2" t="str">
        <x:v>inside</x:v>
      </x:c>
      <x:c r="D872" s="2" t="n">
        <x:v>7</x:v>
      </x:c>
      <x:c r="E872" s="2" t="n">
        <x:v>1</x:v>
      </x:c>
      <x:c r="F872" s="2" t="n">
        <x:v>9</x:v>
      </x:c>
      <x:c r="G872" s="2" t="str">
        <x:v>observed_post_release</x:v>
      </x:c>
      <x:c r="H872" s="2" t="n">
        <x:f>IF(AND(ISNUMBER(F872),F872&gt;=D872),1,0)</x:f>
        <x:v>1</x:v>
      </x:c>
      <x:c r="I872" s="2" t="n">
        <x:f>IF(AND(ISNUMBER(F872),F872&gt;D872),1,0)</x:f>
        <x:v>1</x:v>
      </x:c>
      <x:c r="J872" s="2" t="n">
        <x:f>IF(H872=1,F872-D872,"")</x:f>
        <x:v>2</x:v>
      </x:c>
      <x:c r="K872" s="2" t="n">
        <x:f>IF(H872=1,F872-E872,"")</x:f>
        <x:v>8</x:v>
      </x:c>
      <x:c r="L872" s="2" t="n">
        <x:v>9</x:v>
      </x:c>
      <x:c r="M872" s="2" t="n">
        <x:v>7</x:v>
      </x:c>
      <x:c r="N872" s="20" t="n">
        <x:v>0.4</x:v>
      </x:c>
      <x:c r="O872" s="20" t="n">
        <x:v>0.2</x:v>
      </x:c>
      <x:c r="P872" s="20" t="n">
        <x:v>0.75</x:v>
      </x:c>
      <x:c r="Q872" s="2" t="n">
        <x:v>23</x:v>
      </x:c>
      <x:c r="R872" s="2" t="str">
        <x:v>ISTP</x:v>
      </x:c>
      <x:c r="S872" s="2" t="str">
        <x:v>华南</x:v>
      </x:c>
      <x:c r="T872" s="2" t="str">
        <x:v>行政或办公室岗位</x:v>
      </x:c>
    </x:row>
    <x:row r="873" ht="24" customHeight="1">
      <x:c r="A873" s="2" t="str">
        <x:v>D040_T07_C020_G075</x:v>
      </x:c>
      <x:c r="B873" s="2" t="str">
        <x:v>A0027</x:v>
      </x:c>
      <x:c r="C873" s="2" t="str">
        <x:v>inside</x:v>
      </x:c>
      <x:c r="D873" s="2" t="n">
        <x:v>7</x:v>
      </x:c>
      <x:c r="E873" s="2" t="n">
        <x:v>1</x:v>
      </x:c>
      <x:c r="F873" s="2" t="n">
        <x:v>8</x:v>
      </x:c>
      <x:c r="G873" s="2" t="str">
        <x:v>observed_post_release</x:v>
      </x:c>
      <x:c r="H873" s="2" t="n">
        <x:f>IF(AND(ISNUMBER(F873),F873&gt;=D873),1,0)</x:f>
        <x:v>1</x:v>
      </x:c>
      <x:c r="I873" s="2" t="n">
        <x:f>IF(AND(ISNUMBER(F873),F873&gt;D873),1,0)</x:f>
        <x:v>1</x:v>
      </x:c>
      <x:c r="J873" s="2" t="n">
        <x:f>IF(H873=1,F873-D873,"")</x:f>
        <x:v>1</x:v>
      </x:c>
      <x:c r="K873" s="2" t="n">
        <x:f>IF(H873=1,F873-E873,"")</x:f>
        <x:v>7</x:v>
      </x:c>
      <x:c r="L873" s="2" t="n">
        <x:v>9</x:v>
      </x:c>
      <x:c r="M873" s="2" t="n">
        <x:v>8</x:v>
      </x:c>
      <x:c r="N873" s="20" t="n">
        <x:v>0.4</x:v>
      </x:c>
      <x:c r="O873" s="20" t="n">
        <x:v>0.2</x:v>
      </x:c>
      <x:c r="P873" s="20" t="n">
        <x:v>0.75</x:v>
      </x:c>
      <x:c r="Q873" s="2" t="n">
        <x:v>25</x:v>
      </x:c>
      <x:c r="R873" s="2" t="str">
        <x:v>ESFP</x:v>
      </x:c>
      <x:c r="S873" s="2" t="str">
        <x:v>西北</x:v>
      </x:c>
      <x:c r="T873" s="2" t="str">
        <x:v>暂未就业或家庭照料</x:v>
      </x:c>
    </x:row>
    <x:row r="874" ht="24" customHeight="1">
      <x:c r="A874" s="2" t="str">
        <x:v>D040_T07_C020_G075</x:v>
      </x:c>
      <x:c r="B874" s="2" t="str">
        <x:v>A0029</x:v>
      </x:c>
      <x:c r="C874" s="2" t="str">
        <x:v>inside</x:v>
      </x:c>
      <x:c r="D874" s="2" t="n">
        <x:v>7</x:v>
      </x:c>
      <x:c r="E874" s="2" t="n">
        <x:v>1</x:v>
      </x:c>
      <x:c r="F874" s="2" t="n">
        <x:v>8</x:v>
      </x:c>
      <x:c r="G874" s="2" t="str">
        <x:v>observed_post_release</x:v>
      </x:c>
      <x:c r="H874" s="2" t="n">
        <x:f>IF(AND(ISNUMBER(F874),F874&gt;=D874),1,0)</x:f>
        <x:v>1</x:v>
      </x:c>
      <x:c r="I874" s="2" t="n">
        <x:f>IF(AND(ISNUMBER(F874),F874&gt;D874),1,0)</x:f>
        <x:v>1</x:v>
      </x:c>
      <x:c r="J874" s="2" t="n">
        <x:f>IF(H874=1,F874-D874,"")</x:f>
        <x:v>1</x:v>
      </x:c>
      <x:c r="K874" s="2" t="n">
        <x:f>IF(H874=1,F874-E874,"")</x:f>
        <x:v>7</x:v>
      </x:c>
      <x:c r="L874" s="2" t="n">
        <x:v>9</x:v>
      </x:c>
      <x:c r="M874" s="2" t="n">
        <x:v>8</x:v>
      </x:c>
      <x:c r="N874" s="20" t="n">
        <x:v>0.4</x:v>
      </x:c>
      <x:c r="O874" s="20" t="n">
        <x:v>0.2</x:v>
      </x:c>
      <x:c r="P874" s="20" t="n">
        <x:v>0.75</x:v>
      </x:c>
      <x:c r="Q874" s="2" t="n">
        <x:v>69</x:v>
      </x:c>
      <x:c r="R874" s="2" t="str">
        <x:v>ENTP</x:v>
      </x:c>
      <x:c r="S874" s="2" t="str">
        <x:v>华东</x:v>
      </x:c>
      <x:c r="T874" s="2" t="str">
        <x:v>退休人员</x:v>
      </x:c>
    </x:row>
    <x:row r="875" ht="24" customHeight="1">
      <x:c r="A875" s="2" t="str">
        <x:v>D040_T07_C020_G075</x:v>
      </x:c>
      <x:c r="B875" s="2" t="str">
        <x:v>A0030</x:v>
      </x:c>
      <x:c r="C875" s="2" t="str">
        <x:v>inside</x:v>
      </x:c>
      <x:c r="D875" s="2" t="n">
        <x:v>7</x:v>
      </x:c>
      <x:c r="E875" s="2" t="n">
        <x:v>1</x:v>
      </x:c>
      <x:c r="F875" s="2" t="n">
        <x:v>9</x:v>
      </x:c>
      <x:c r="G875" s="2" t="str">
        <x:v>observed_post_release</x:v>
      </x:c>
      <x:c r="H875" s="2" t="n">
        <x:f>IF(AND(ISNUMBER(F875),F875&gt;=D875),1,0)</x:f>
        <x:v>1</x:v>
      </x:c>
      <x:c r="I875" s="2" t="n">
        <x:f>IF(AND(ISNUMBER(F875),F875&gt;D875),1,0)</x:f>
        <x:v>1</x:v>
      </x:c>
      <x:c r="J875" s="2" t="n">
        <x:f>IF(H875=1,F875-D875,"")</x:f>
        <x:v>2</x:v>
      </x:c>
      <x:c r="K875" s="2" t="n">
        <x:f>IF(H875=1,F875-E875,"")</x:f>
        <x:v>8</x:v>
      </x:c>
      <x:c r="L875" s="2" t="n">
        <x:v>9</x:v>
      </x:c>
      <x:c r="M875" s="2" t="n">
        <x:v>9</x:v>
      </x:c>
      <x:c r="N875" s="20" t="n">
        <x:v>0.4</x:v>
      </x:c>
      <x:c r="O875" s="20" t="n">
        <x:v>0.2</x:v>
      </x:c>
      <x:c r="P875" s="20" t="n">
        <x:v>0.75</x:v>
      </x:c>
      <x:c r="Q875" s="2" t="n">
        <x:v>23</x:v>
      </x:c>
      <x:c r="R875" s="2" t="str">
        <x:v>ISFP</x:v>
      </x:c>
      <x:c r="S875" s="2" t="str">
        <x:v>华东</x:v>
      </x:c>
      <x:c r="T875" s="2" t="str">
        <x:v>在校学生</x:v>
      </x:c>
    </x:row>
    <x:row r="876" ht="24" customHeight="1">
      <x:c r="A876" s="2" t="str">
        <x:v>D040_T07_C020_G075</x:v>
      </x:c>
      <x:c r="B876" s="2" t="str">
        <x:v>A0032</x:v>
      </x:c>
      <x:c r="C876" s="2" t="str">
        <x:v>inside</x:v>
      </x:c>
      <x:c r="D876" s="2" t="n">
        <x:v>7</x:v>
      </x:c>
      <x:c r="E876" s="2" t="n">
        <x:v>1</x:v>
      </x:c>
      <x:c r="F876" s="2" t="n">
        <x:v>7</x:v>
      </x:c>
      <x:c r="G876" s="2" t="str">
        <x:v>observed_post_release</x:v>
      </x:c>
      <x:c r="H876" s="2" t="n">
        <x:f>IF(AND(ISNUMBER(F876),F876&gt;=D876),1,0)</x:f>
        <x:v>1</x:v>
      </x:c>
      <x:c r="I876" s="2" t="n">
        <x:f>IF(AND(ISNUMBER(F876),F876&gt;D876),1,0)</x:f>
        <x:v>0</x:v>
      </x:c>
      <x:c r="J876" s="2" t="n">
        <x:f>IF(H876=1,F876-D876,"")</x:f>
        <x:v>0</x:v>
      </x:c>
      <x:c r="K876" s="2" t="n">
        <x:f>IF(H876=1,F876-E876,"")</x:f>
        <x:v>6</x:v>
      </x:c>
      <x:c r="L876" s="2" t="n">
        <x:v>9</x:v>
      </x:c>
      <x:c r="M876" s="2" t="n">
        <x:v>7</x:v>
      </x:c>
      <x:c r="N876" s="20" t="n">
        <x:v>0.4</x:v>
      </x:c>
      <x:c r="O876" s="20" t="n">
        <x:v>0.2</x:v>
      </x:c>
      <x:c r="P876" s="20" t="n">
        <x:v>0.75</x:v>
      </x:c>
      <x:c r="Q876" s="2" t="n">
        <x:v>53</x:v>
      </x:c>
      <x:c r="R876" s="2" t="str">
        <x:v>INTP</x:v>
      </x:c>
      <x:c r="S876" s="2" t="str">
        <x:v>华北</x:v>
      </x:c>
      <x:c r="T876" s="2" t="str">
        <x:v>个体经营或自由职业</x:v>
      </x:c>
    </x:row>
    <x:row r="877" ht="24" customHeight="1">
      <x:c r="A877" s="2" t="str">
        <x:v>D040_T07_C020_G075</x:v>
      </x:c>
      <x:c r="B877" s="2" t="str">
        <x:v>A0033</x:v>
      </x:c>
      <x:c r="C877" s="2" t="str">
        <x:v>inside</x:v>
      </x:c>
      <x:c r="D877" s="2" t="n">
        <x:v>7</x:v>
      </x:c>
      <x:c r="E877" s="2" t="n">
        <x:v>1</x:v>
      </x:c>
      <x:c r="F877" s="2" t="n">
        <x:v>8</x:v>
      </x:c>
      <x:c r="G877" s="2" t="str">
        <x:v>observed_post_release</x:v>
      </x:c>
      <x:c r="H877" s="2" t="n">
        <x:f>IF(AND(ISNUMBER(F877),F877&gt;=D877),1,0)</x:f>
        <x:v>1</x:v>
      </x:c>
      <x:c r="I877" s="2" t="n">
        <x:f>IF(AND(ISNUMBER(F877),F877&gt;D877),1,0)</x:f>
        <x:v>1</x:v>
      </x:c>
      <x:c r="J877" s="2" t="n">
        <x:f>IF(H877=1,F877-D877,"")</x:f>
        <x:v>1</x:v>
      </x:c>
      <x:c r="K877" s="2" t="n">
        <x:f>IF(H877=1,F877-E877,"")</x:f>
        <x:v>7</x:v>
      </x:c>
      <x:c r="L877" s="2" t="n">
        <x:v>9</x:v>
      </x:c>
      <x:c r="M877" s="2" t="n">
        <x:v>8</x:v>
      </x:c>
      <x:c r="N877" s="20" t="n">
        <x:v>0.4</x:v>
      </x:c>
      <x:c r="O877" s="20" t="n">
        <x:v>0.2</x:v>
      </x:c>
      <x:c r="P877" s="20" t="n">
        <x:v>0.75</x:v>
      </x:c>
      <x:c r="Q877" s="2" t="n">
        <x:v>55</x:v>
      </x:c>
      <x:c r="R877" s="2" t="str">
        <x:v>ENFP</x:v>
      </x:c>
      <x:c r="S877" s="2" t="str">
        <x:v>华南</x:v>
      </x:c>
      <x:c r="T877" s="2" t="str">
        <x:v>个体经营或自由职业</x:v>
      </x:c>
    </x:row>
    <x:row r="878" ht="24" customHeight="1">
      <x:c r="A878" s="2" t="str">
        <x:v>D040_T07_C020_G075</x:v>
      </x:c>
      <x:c r="B878" s="2" t="str">
        <x:v>A0035</x:v>
      </x:c>
      <x:c r="C878" s="2" t="str">
        <x:v>inside</x:v>
      </x:c>
      <x:c r="D878" s="2" t="n">
        <x:v>7</x:v>
      </x:c>
      <x:c r="E878" s="2" t="n">
        <x:v>1</x:v>
      </x:c>
      <x:c r="F878" s="2" t="n">
        <x:v>8</x:v>
      </x:c>
      <x:c r="G878" s="2" t="str">
        <x:v>observed_post_release</x:v>
      </x:c>
      <x:c r="H878" s="2" t="n">
        <x:f>IF(AND(ISNUMBER(F878),F878&gt;=D878),1,0)</x:f>
        <x:v>1</x:v>
      </x:c>
      <x:c r="I878" s="2" t="n">
        <x:f>IF(AND(ISNUMBER(F878),F878&gt;D878),1,0)</x:f>
        <x:v>1</x:v>
      </x:c>
      <x:c r="J878" s="2" t="n">
        <x:f>IF(H878=1,F878-D878,"")</x:f>
        <x:v>1</x:v>
      </x:c>
      <x:c r="K878" s="2" t="n">
        <x:f>IF(H878=1,F878-E878,"")</x:f>
        <x:v>7</x:v>
      </x:c>
      <x:c r="L878" s="2" t="n">
        <x:v>9</x:v>
      </x:c>
      <x:c r="M878" s="2" t="n">
        <x:v>8</x:v>
      </x:c>
      <x:c r="N878" s="20" t="n">
        <x:v>0.4</x:v>
      </x:c>
      <x:c r="O878" s="20" t="n">
        <x:v>0.2</x:v>
      </x:c>
      <x:c r="P878" s="20" t="n">
        <x:v>0.75</x:v>
      </x:c>
      <x:c r="Q878" s="2" t="n">
        <x:v>42</x:v>
      </x:c>
      <x:c r="R878" s="2" t="str">
        <x:v>ISFJ</x:v>
      </x:c>
      <x:c r="S878" s="2" t="str">
        <x:v>华南</x:v>
      </x:c>
      <x:c r="T878" s="2" t="str">
        <x:v>专业技术岗位</x:v>
      </x:c>
    </x:row>
    <x:row r="879" ht="24" customHeight="1">
      <x:c r="A879" s="2" t="str">
        <x:v>D040_T07_C020_G075</x:v>
      </x:c>
      <x:c r="B879" s="2" t="str">
        <x:v>A0037</x:v>
      </x:c>
      <x:c r="C879" s="2" t="str">
        <x:v>inside</x:v>
      </x:c>
      <x:c r="D879" s="2" t="n">
        <x:v>7</x:v>
      </x:c>
      <x:c r="E879" s="2" t="n">
        <x:v>1</x:v>
      </x:c>
      <x:c r="F879" s="2" t="n">
        <x:v>8</x:v>
      </x:c>
      <x:c r="G879" s="2" t="str">
        <x:v>observed_post_release</x:v>
      </x:c>
      <x:c r="H879" s="2" t="n">
        <x:f>IF(AND(ISNUMBER(F879),F879&gt;=D879),1,0)</x:f>
        <x:v>1</x:v>
      </x:c>
      <x:c r="I879" s="2" t="n">
        <x:f>IF(AND(ISNUMBER(F879),F879&gt;D879),1,0)</x:f>
        <x:v>1</x:v>
      </x:c>
      <x:c r="J879" s="2" t="n">
        <x:f>IF(H879=1,F879-D879,"")</x:f>
        <x:v>1</x:v>
      </x:c>
      <x:c r="K879" s="2" t="n">
        <x:f>IF(H879=1,F879-E879,"")</x:f>
        <x:v>7</x:v>
      </x:c>
      <x:c r="L879" s="2" t="n">
        <x:v>9</x:v>
      </x:c>
      <x:c r="M879" s="2" t="n">
        <x:v>8</x:v>
      </x:c>
      <x:c r="N879" s="20" t="n">
        <x:v>0.4</x:v>
      </x:c>
      <x:c r="O879" s="20" t="n">
        <x:v>0.2</x:v>
      </x:c>
      <x:c r="P879" s="20" t="n">
        <x:v>0.75</x:v>
      </x:c>
      <x:c r="Q879" s="2" t="n">
        <x:v>24</x:v>
      </x:c>
      <x:c r="R879" s="2" t="str">
        <x:v>ENTP</x:v>
      </x:c>
      <x:c r="S879" s="2" t="str">
        <x:v>华南</x:v>
      </x:c>
      <x:c r="T879" s="2" t="str">
        <x:v>在校学生</x:v>
      </x:c>
    </x:row>
    <x:row r="880" ht="24" customHeight="1">
      <x:c r="A880" s="2" t="str">
        <x:v>D040_T07_C020_G075</x:v>
      </x:c>
      <x:c r="B880" s="2" t="str">
        <x:v>A0038</x:v>
      </x:c>
      <x:c r="C880" s="2" t="str">
        <x:v>inside</x:v>
      </x:c>
      <x:c r="D880" s="2" t="n">
        <x:v>7</x:v>
      </x:c>
      <x:c r="E880" s="2" t="n">
        <x:v>6</x:v>
      </x:c>
      <x:c r="F880" s="2" t="n">
        <x:v>9</x:v>
      </x:c>
      <x:c r="G880" s="2" t="str">
        <x:v>observed_post_release</x:v>
      </x:c>
      <x:c r="H880" s="2" t="n">
        <x:f>IF(AND(ISNUMBER(F880),F880&gt;=D880),1,0)</x:f>
        <x:v>1</x:v>
      </x:c>
      <x:c r="I880" s="2" t="n">
        <x:f>IF(AND(ISNUMBER(F880),F880&gt;D880),1,0)</x:f>
        <x:v>1</x:v>
      </x:c>
      <x:c r="J880" s="2" t="n">
        <x:f>IF(H880=1,F880-D880,"")</x:f>
        <x:v>2</x:v>
      </x:c>
      <x:c r="K880" s="2" t="n">
        <x:f>IF(H880=1,F880-E880,"")</x:f>
        <x:v>3</x:v>
      </x:c>
      <x:c r="L880" s="2" t="n">
        <x:v>4</x:v>
      </x:c>
      <x:c r="M880" s="2" t="n">
        <x:v>9</x:v>
      </x:c>
      <x:c r="N880" s="20" t="n">
        <x:v>0.4</x:v>
      </x:c>
      <x:c r="O880" s="20" t="n">
        <x:v>0.2</x:v>
      </x:c>
      <x:c r="P880" s="20" t="n">
        <x:v>0.75</x:v>
      </x:c>
      <x:c r="Q880" s="2" t="n">
        <x:v>46</x:v>
      </x:c>
      <x:c r="R880" s="2" t="str">
        <x:v>ISTP</x:v>
      </x:c>
      <x:c r="S880" s="2" t="str">
        <x:v>华东</x:v>
      </x:c>
      <x:c r="T880" s="2" t="str">
        <x:v>行政或办公室岗位</x:v>
      </x:c>
    </x:row>
    <x:row r="881" ht="24" customHeight="1">
      <x:c r="A881" s="2" t="str">
        <x:v>D040_T07_C020_G075</x:v>
      </x:c>
      <x:c r="B881" s="2" t="str">
        <x:v>A0040</x:v>
      </x:c>
      <x:c r="C881" s="2" t="str">
        <x:v>inside</x:v>
      </x:c>
      <x:c r="D881" s="2" t="n">
        <x:v>7</x:v>
      </x:c>
      <x:c r="E881" s="2" t="n">
        <x:v>1</x:v>
      </x:c>
      <x:c r="F881" s="2" t="n">
        <x:v>9</x:v>
      </x:c>
      <x:c r="G881" s="2" t="str">
        <x:v>observed_post_release</x:v>
      </x:c>
      <x:c r="H881" s="2" t="n">
        <x:f>IF(AND(ISNUMBER(F881),F881&gt;=D881),1,0)</x:f>
        <x:v>1</x:v>
      </x:c>
      <x:c r="I881" s="2" t="n">
        <x:f>IF(AND(ISNUMBER(F881),F881&gt;D881),1,0)</x:f>
        <x:v>1</x:v>
      </x:c>
      <x:c r="J881" s="2" t="n">
        <x:f>IF(H881=1,F881-D881,"")</x:f>
        <x:v>2</x:v>
      </x:c>
      <x:c r="K881" s="2" t="n">
        <x:f>IF(H881=1,F881-E881,"")</x:f>
        <x:v>8</x:v>
      </x:c>
      <x:c r="L881" s="2" t="n">
        <x:v>9</x:v>
      </x:c>
      <x:c r="M881" s="2" t="n">
        <x:v>9</x:v>
      </x:c>
      <x:c r="N881" s="20" t="n">
        <x:v>0.4</x:v>
      </x:c>
      <x:c r="O881" s="20" t="n">
        <x:v>0.2</x:v>
      </x:c>
      <x:c r="P881" s="20" t="n">
        <x:v>0.75</x:v>
      </x:c>
      <x:c r="Q881" s="2" t="n">
        <x:v>48</x:v>
      </x:c>
      <x:c r="R881" s="2" t="str">
        <x:v>INFP</x:v>
      </x:c>
      <x:c r="S881" s="2" t="str">
        <x:v>西北</x:v>
      </x:c>
      <x:c r="T881" s="2" t="str">
        <x:v>个体经营或自由职业</x:v>
      </x:c>
    </x:row>
    <x:row r="882" ht="24" customHeight="1">
      <x:c r="A882" s="2" t="str">
        <x:v>D040_T07_C020_G075</x:v>
      </x:c>
      <x:c r="B882" s="2" t="str">
        <x:v>A0041</x:v>
      </x:c>
      <x:c r="C882" s="2" t="str">
        <x:v>inside</x:v>
      </x:c>
      <x:c r="D882" s="2" t="n">
        <x:v>7</x:v>
      </x:c>
      <x:c r="E882" s="2" t="n">
        <x:v>1</x:v>
      </x:c>
      <x:c r="F882" s="2"/>
      <x:c r="G882" s="2" t="str">
        <x:v>right_censored</x:v>
      </x:c>
      <x:c r="H882" s="2" t="n">
        <x:f>IF(AND(ISNUMBER(F882),F882&gt;=D882),1,0)</x:f>
        <x:v>0</x:v>
      </x:c>
      <x:c r="I882" s="2" t="n">
        <x:f>IF(AND(ISNUMBER(F882),F882&gt;D882),1,0)</x:f>
        <x:v>0</x:v>
      </x:c>
      <x:c r="J882" s="2" t="str">
        <x:f>IF(H882=1,F882-D882,"")</x:f>
      </x:c>
      <x:c r="K882" s="2" t="str">
        <x:f>IF(H882=1,F882-E882,"")</x:f>
      </x:c>
      <x:c r="L882" s="2" t="n">
        <x:v>9</x:v>
      </x:c>
      <x:c r="M882" s="2"/>
      <x:c r="N882" s="20" t="n">
        <x:v>0.4</x:v>
      </x:c>
      <x:c r="O882" s="20" t="n">
        <x:v>0.2</x:v>
      </x:c>
      <x:c r="P882" s="20" t="n">
        <x:v>0.75</x:v>
      </x:c>
      <x:c r="Q882" s="2" t="n">
        <x:v>62</x:v>
      </x:c>
      <x:c r="R882" s="2" t="str">
        <x:v>ISFJ</x:v>
      </x:c>
      <x:c r="S882" s="2" t="str">
        <x:v>西北</x:v>
      </x:c>
      <x:c r="T882" s="2" t="str">
        <x:v>个体经营或自由职业</x:v>
      </x:c>
    </x:row>
    <x:row r="883" ht="24" customHeight="1">
      <x:c r="A883" s="2" t="str">
        <x:v>D040_T07_C020_G075</x:v>
      </x:c>
      <x:c r="B883" s="2" t="str">
        <x:v>A0043</x:v>
      </x:c>
      <x:c r="C883" s="2" t="str">
        <x:v>inside</x:v>
      </x:c>
      <x:c r="D883" s="2" t="n">
        <x:v>7</x:v>
      </x:c>
      <x:c r="E883" s="2" t="n">
        <x:v>1</x:v>
      </x:c>
      <x:c r="F883" s="2" t="n">
        <x:v>8</x:v>
      </x:c>
      <x:c r="G883" s="2" t="str">
        <x:v>observed_post_release</x:v>
      </x:c>
      <x:c r="H883" s="2" t="n">
        <x:f>IF(AND(ISNUMBER(F883),F883&gt;=D883),1,0)</x:f>
        <x:v>1</x:v>
      </x:c>
      <x:c r="I883" s="2" t="n">
        <x:f>IF(AND(ISNUMBER(F883),F883&gt;D883),1,0)</x:f>
        <x:v>1</x:v>
      </x:c>
      <x:c r="J883" s="2" t="n">
        <x:f>IF(H883=1,F883-D883,"")</x:f>
        <x:v>1</x:v>
      </x:c>
      <x:c r="K883" s="2" t="n">
        <x:f>IF(H883=1,F883-E883,"")</x:f>
        <x:v>7</x:v>
      </x:c>
      <x:c r="L883" s="2" t="n">
        <x:v>9</x:v>
      </x:c>
      <x:c r="M883" s="2" t="n">
        <x:v>8</x:v>
      </x:c>
      <x:c r="N883" s="20" t="n">
        <x:v>0.4</x:v>
      </x:c>
      <x:c r="O883" s="20" t="n">
        <x:v>0.2</x:v>
      </x:c>
      <x:c r="P883" s="20" t="n">
        <x:v>0.75</x:v>
      </x:c>
      <x:c r="Q883" s="2" t="n">
        <x:v>35</x:v>
      </x:c>
      <x:c r="R883" s="2" t="str">
        <x:v>ESFJ</x:v>
      </x:c>
      <x:c r="S883" s="2" t="str">
        <x:v>西北</x:v>
      </x:c>
      <x:c r="T883" s="2" t="str">
        <x:v>暂未就业或家庭照料</x:v>
      </x:c>
    </x:row>
    <x:row r="884" ht="24" customHeight="1">
      <x:c r="A884" s="2" t="str">
        <x:v>D040_T07_C020_G075</x:v>
      </x:c>
      <x:c r="B884" s="2" t="str">
        <x:v>A0071</x:v>
      </x:c>
      <x:c r="C884" s="2" t="str">
        <x:v>inside</x:v>
      </x:c>
      <x:c r="D884" s="2" t="n">
        <x:v>7</x:v>
      </x:c>
      <x:c r="E884" s="2" t="n">
        <x:v>1</x:v>
      </x:c>
      <x:c r="F884" s="2" t="n">
        <x:v>8</x:v>
      </x:c>
      <x:c r="G884" s="2" t="str">
        <x:v>observed_post_release</x:v>
      </x:c>
      <x:c r="H884" s="2" t="n">
        <x:f>IF(AND(ISNUMBER(F884),F884&gt;=D884),1,0)</x:f>
        <x:v>1</x:v>
      </x:c>
      <x:c r="I884" s="2" t="n">
        <x:f>IF(AND(ISNUMBER(F884),F884&gt;D884),1,0)</x:f>
        <x:v>1</x:v>
      </x:c>
      <x:c r="J884" s="2" t="n">
        <x:f>IF(H884=1,F884-D884,"")</x:f>
        <x:v>1</x:v>
      </x:c>
      <x:c r="K884" s="2" t="n">
        <x:f>IF(H884=1,F884-E884,"")</x:f>
        <x:v>7</x:v>
      </x:c>
      <x:c r="L884" s="2" t="n">
        <x:v>9</x:v>
      </x:c>
      <x:c r="M884" s="2" t="n">
        <x:v>8</x:v>
      </x:c>
      <x:c r="N884" s="20" t="n">
        <x:v>0.4</x:v>
      </x:c>
      <x:c r="O884" s="20" t="n">
        <x:v>0.2</x:v>
      </x:c>
      <x:c r="P884" s="20" t="n">
        <x:v>0.75</x:v>
      </x:c>
      <x:c r="Q884" s="2" t="n">
        <x:v>33</x:v>
      </x:c>
      <x:c r="R884" s="2" t="str">
        <x:v>ISTJ</x:v>
      </x:c>
      <x:c r="S884" s="2" t="str">
        <x:v>华东</x:v>
      </x:c>
      <x:c r="T884" s="2" t="str">
        <x:v>商业服务岗位</x:v>
      </x:c>
    </x:row>
    <x:row r="885" ht="24" customHeight="1">
      <x:c r="A885" s="2" t="str">
        <x:v>D040_T07_C020_G075</x:v>
      </x:c>
      <x:c r="B885" s="2" t="str">
        <x:v>A0090</x:v>
      </x:c>
      <x:c r="C885" s="2" t="str">
        <x:v>inside</x:v>
      </x:c>
      <x:c r="D885" s="2" t="n">
        <x:v>7</x:v>
      </x:c>
      <x:c r="E885" s="2" t="n">
        <x:v>1</x:v>
      </x:c>
      <x:c r="F885" s="2" t="n">
        <x:v>9</x:v>
      </x:c>
      <x:c r="G885" s="2" t="str">
        <x:v>observed_post_release</x:v>
      </x:c>
      <x:c r="H885" s="2" t="n">
        <x:f>IF(AND(ISNUMBER(F885),F885&gt;=D885),1,0)</x:f>
        <x:v>1</x:v>
      </x:c>
      <x:c r="I885" s="2" t="n">
        <x:f>IF(AND(ISNUMBER(F885),F885&gt;D885),1,0)</x:f>
        <x:v>1</x:v>
      </x:c>
      <x:c r="J885" s="2" t="n">
        <x:f>IF(H885=1,F885-D885,"")</x:f>
        <x:v>2</x:v>
      </x:c>
      <x:c r="K885" s="2" t="n">
        <x:f>IF(H885=1,F885-E885,"")</x:f>
        <x:v>8</x:v>
      </x:c>
      <x:c r="L885" s="2" t="n">
        <x:v>9</x:v>
      </x:c>
      <x:c r="M885" s="2" t="n">
        <x:v>9</x:v>
      </x:c>
      <x:c r="N885" s="20" t="n">
        <x:v>0.4</x:v>
      </x:c>
      <x:c r="O885" s="20" t="n">
        <x:v>0.2</x:v>
      </x:c>
      <x:c r="P885" s="20" t="n">
        <x:v>0.75</x:v>
      </x:c>
      <x:c r="Q885" s="2" t="n">
        <x:v>46</x:v>
      </x:c>
      <x:c r="R885" s="2" t="str">
        <x:v>ENFJ</x:v>
      </x:c>
      <x:c r="S885" s="2" t="str">
        <x:v>西北</x:v>
      </x:c>
      <x:c r="T885" s="2" t="str">
        <x:v>个体经营或自由职业</x:v>
      </x:c>
    </x:row>
    <x:row r="886" ht="24" customHeight="1">
      <x:c r="A886" s="2" t="str">
        <x:v>D040_T07_C020_G075</x:v>
      </x:c>
      <x:c r="B886" s="2" t="str">
        <x:v>A0189</x:v>
      </x:c>
      <x:c r="C886" s="2" t="str">
        <x:v>inside</x:v>
      </x:c>
      <x:c r="D886" s="2" t="n">
        <x:v>7</x:v>
      </x:c>
      <x:c r="E886" s="2" t="n">
        <x:v>1</x:v>
      </x:c>
      <x:c r="F886" s="2" t="n">
        <x:v>8</x:v>
      </x:c>
      <x:c r="G886" s="2" t="str">
        <x:v>observed_post_release</x:v>
      </x:c>
      <x:c r="H886" s="2" t="n">
        <x:f>IF(AND(ISNUMBER(F886),F886&gt;=D886),1,0)</x:f>
        <x:v>1</x:v>
      </x:c>
      <x:c r="I886" s="2" t="n">
        <x:f>IF(AND(ISNUMBER(F886),F886&gt;D886),1,0)</x:f>
        <x:v>1</x:v>
      </x:c>
      <x:c r="J886" s="2" t="n">
        <x:f>IF(H886=1,F886-D886,"")</x:f>
        <x:v>1</x:v>
      </x:c>
      <x:c r="K886" s="2" t="n">
        <x:f>IF(H886=1,F886-E886,"")</x:f>
        <x:v>7</x:v>
      </x:c>
      <x:c r="L886" s="2" t="n">
        <x:v>9</x:v>
      </x:c>
      <x:c r="M886" s="2" t="n">
        <x:v>8</x:v>
      </x:c>
      <x:c r="N886" s="20" t="n">
        <x:v>0.4</x:v>
      </x:c>
      <x:c r="O886" s="20" t="n">
        <x:v>0.2</x:v>
      </x:c>
      <x:c r="P886" s="20" t="n">
        <x:v>0.75</x:v>
      </x:c>
      <x:c r="Q886" s="2" t="n">
        <x:v>45</x:v>
      </x:c>
      <x:c r="R886" s="2" t="str">
        <x:v>ISFJ</x:v>
      </x:c>
      <x:c r="S886" s="2" t="str">
        <x:v>西北</x:v>
      </x:c>
      <x:c r="T886" s="2" t="str">
        <x:v>生产运输或体力岗位</x:v>
      </x:c>
    </x:row>
    <x:row r="887" ht="24" customHeight="1">
      <x:c r="A887" s="2" t="str">
        <x:v>D040_T07_C020_G075</x:v>
      </x:c>
      <x:c r="B887" s="2" t="str">
        <x:v>A0206</x:v>
      </x:c>
      <x:c r="C887" s="2" t="str">
        <x:v>inside</x:v>
      </x:c>
      <x:c r="D887" s="2" t="n">
        <x:v>7</x:v>
      </x:c>
      <x:c r="E887" s="2" t="n">
        <x:v>1</x:v>
      </x:c>
      <x:c r="F887" s="2" t="n">
        <x:v>9</x:v>
      </x:c>
      <x:c r="G887" s="2" t="str">
        <x:v>observed_post_release</x:v>
      </x:c>
      <x:c r="H887" s="2" t="n">
        <x:f>IF(AND(ISNUMBER(F887),F887&gt;=D887),1,0)</x:f>
        <x:v>1</x:v>
      </x:c>
      <x:c r="I887" s="2" t="n">
        <x:f>IF(AND(ISNUMBER(F887),F887&gt;D887),1,0)</x:f>
        <x:v>1</x:v>
      </x:c>
      <x:c r="J887" s="2" t="n">
        <x:f>IF(H887=1,F887-D887,"")</x:f>
        <x:v>2</x:v>
      </x:c>
      <x:c r="K887" s="2" t="n">
        <x:f>IF(H887=1,F887-E887,"")</x:f>
        <x:v>8</x:v>
      </x:c>
      <x:c r="L887" s="2" t="n">
        <x:v>9</x:v>
      </x:c>
      <x:c r="M887" s="2" t="n">
        <x:v>7</x:v>
      </x:c>
      <x:c r="N887" s="20" t="n">
        <x:v>0.4</x:v>
      </x:c>
      <x:c r="O887" s="20" t="n">
        <x:v>0.2</x:v>
      </x:c>
      <x:c r="P887" s="20" t="n">
        <x:v>0.75</x:v>
      </x:c>
      <x:c r="Q887" s="2" t="n">
        <x:v>21</x:v>
      </x:c>
      <x:c r="R887" s="2" t="str">
        <x:v>ESTP</x:v>
      </x:c>
      <x:c r="S887" s="2" t="str">
        <x:v>西北</x:v>
      </x:c>
      <x:c r="T887" s="2" t="str">
        <x:v>暂未就业或家庭照料</x:v>
      </x:c>
    </x:row>
    <x:row r="888" ht="24" customHeight="1">
      <x:c r="A888" s="2" t="str">
        <x:v>D040_T07_C080_G025</x:v>
      </x:c>
      <x:c r="B888" s="2" t="str">
        <x:v>A0001</x:v>
      </x:c>
      <x:c r="C888" s="2" t="str">
        <x:v>inside</x:v>
      </x:c>
      <x:c r="D888" s="2" t="n">
        <x:v>7</x:v>
      </x:c>
      <x:c r="E888" s="2" t="n">
        <x:v>1</x:v>
      </x:c>
      <x:c r="F888" s="2" t="n">
        <x:v>8</x:v>
      </x:c>
      <x:c r="G888" s="2" t="str">
        <x:v>observed_post_release</x:v>
      </x:c>
      <x:c r="H888" s="2" t="n">
        <x:f>IF(AND(ISNUMBER(F888),F888&gt;=D888),1,0)</x:f>
        <x:v>1</x:v>
      </x:c>
      <x:c r="I888" s="2" t="n">
        <x:f>IF(AND(ISNUMBER(F888),F888&gt;D888),1,0)</x:f>
        <x:v>1</x:v>
      </x:c>
      <x:c r="J888" s="2" t="n">
        <x:f>IF(H888=1,F888-D888,"")</x:f>
        <x:v>1</x:v>
      </x:c>
      <x:c r="K888" s="2" t="n">
        <x:f>IF(H888=1,F888-E888,"")</x:f>
        <x:v>7</x:v>
      </x:c>
      <x:c r="L888" s="2" t="n">
        <x:v>9</x:v>
      </x:c>
      <x:c r="M888" s="2" t="n">
        <x:v>7</x:v>
      </x:c>
      <x:c r="N888" s="20" t="n">
        <x:v>0.4</x:v>
      </x:c>
      <x:c r="O888" s="20" t="n">
        <x:v>0.8</x:v>
      </x:c>
      <x:c r="P888" s="20" t="n">
        <x:v>0.25</x:v>
      </x:c>
      <x:c r="Q888" s="2" t="n">
        <x:v>22</x:v>
      </x:c>
      <x:c r="R888" s="2" t="str">
        <x:v>ESTJ</x:v>
      </x:c>
      <x:c r="S888" s="2" t="str">
        <x:v>华南</x:v>
      </x:c>
      <x:c r="T888" s="2" t="str">
        <x:v>在校学生</x:v>
      </x:c>
    </x:row>
    <x:row r="889" ht="24" customHeight="1">
      <x:c r="A889" s="2" t="str">
        <x:v>D040_T07_C080_G025</x:v>
      </x:c>
      <x:c r="B889" s="2" t="str">
        <x:v>A0002</x:v>
      </x:c>
      <x:c r="C889" s="2" t="str">
        <x:v>inside</x:v>
      </x:c>
      <x:c r="D889" s="2" t="n">
        <x:v>7</x:v>
      </x:c>
      <x:c r="E889" s="2" t="n">
        <x:v>1</x:v>
      </x:c>
      <x:c r="F889" s="2"/>
      <x:c r="G889" s="2" t="str">
        <x:v>right_censored</x:v>
      </x:c>
      <x:c r="H889" s="2" t="n">
        <x:f>IF(AND(ISNUMBER(F889),F889&gt;=D889),1,0)</x:f>
        <x:v>0</x:v>
      </x:c>
      <x:c r="I889" s="2" t="n">
        <x:f>IF(AND(ISNUMBER(F889),F889&gt;D889),1,0)</x:f>
        <x:v>0</x:v>
      </x:c>
      <x:c r="J889" s="2" t="str">
        <x:f>IF(H889=1,F889-D889,"")</x:f>
      </x:c>
      <x:c r="K889" s="2" t="str">
        <x:f>IF(H889=1,F889-E889,"")</x:f>
      </x:c>
      <x:c r="L889" s="2" t="n">
        <x:v>9</x:v>
      </x:c>
      <x:c r="M889" s="2" t="n">
        <x:v>8</x:v>
      </x:c>
      <x:c r="N889" s="20" t="n">
        <x:v>0.4</x:v>
      </x:c>
      <x:c r="O889" s="20" t="n">
        <x:v>0.8</x:v>
      </x:c>
      <x:c r="P889" s="20" t="n">
        <x:v>0.25</x:v>
      </x:c>
      <x:c r="Q889" s="2" t="n">
        <x:v>19</x:v>
      </x:c>
      <x:c r="R889" s="2" t="str">
        <x:v>ESTP</x:v>
      </x:c>
      <x:c r="S889" s="2" t="str">
        <x:v>华南</x:v>
      </x:c>
      <x:c r="T889" s="2" t="str">
        <x:v>商业服务岗位</x:v>
      </x:c>
    </x:row>
    <x:row r="890" ht="24" customHeight="1">
      <x:c r="A890" s="2" t="str">
        <x:v>D040_T07_C080_G025</x:v>
      </x:c>
      <x:c r="B890" s="2" t="str">
        <x:v>A0005</x:v>
      </x:c>
      <x:c r="C890" s="2" t="str">
        <x:v>inside</x:v>
      </x:c>
      <x:c r="D890" s="2" t="n">
        <x:v>7</x:v>
      </x:c>
      <x:c r="E890" s="2" t="n">
        <x:v>1</x:v>
      </x:c>
      <x:c r="F890" s="2"/>
      <x:c r="G890" s="2" t="str">
        <x:v>right_censored</x:v>
      </x:c>
      <x:c r="H890" s="2" t="n">
        <x:f>IF(AND(ISNUMBER(F890),F890&gt;=D890),1,0)</x:f>
        <x:v>0</x:v>
      </x:c>
      <x:c r="I890" s="2" t="n">
        <x:f>IF(AND(ISNUMBER(F890),F890&gt;D890),1,0)</x:f>
        <x:v>0</x:v>
      </x:c>
      <x:c r="J890" s="2" t="str">
        <x:f>IF(H890=1,F890-D890,"")</x:f>
      </x:c>
      <x:c r="K890" s="2" t="str">
        <x:f>IF(H890=1,F890-E890,"")</x:f>
      </x:c>
      <x:c r="L890" s="2" t="n">
        <x:v>9</x:v>
      </x:c>
      <x:c r="M890" s="2" t="n">
        <x:v>7</x:v>
      </x:c>
      <x:c r="N890" s="20" t="n">
        <x:v>0.4</x:v>
      </x:c>
      <x:c r="O890" s="20" t="n">
        <x:v>0.8</x:v>
      </x:c>
      <x:c r="P890" s="20" t="n">
        <x:v>0.25</x:v>
      </x:c>
      <x:c r="Q890" s="2" t="n">
        <x:v>51</x:v>
      </x:c>
      <x:c r="R890" s="2" t="str">
        <x:v>ISTP</x:v>
      </x:c>
      <x:c r="S890" s="2" t="str">
        <x:v>华南</x:v>
      </x:c>
      <x:c r="T890" s="2" t="str">
        <x:v>生产运输或体力岗位</x:v>
      </x:c>
    </x:row>
    <x:row r="891" ht="24" customHeight="1">
      <x:c r="A891" s="2" t="str">
        <x:v>D040_T07_C080_G025</x:v>
      </x:c>
      <x:c r="B891" s="2" t="str">
        <x:v>A0006</x:v>
      </x:c>
      <x:c r="C891" s="2" t="str">
        <x:v>inside</x:v>
      </x:c>
      <x:c r="D891" s="2" t="n">
        <x:v>7</x:v>
      </x:c>
      <x:c r="E891" s="2" t="n">
        <x:v>1</x:v>
      </x:c>
      <x:c r="F891" s="2"/>
      <x:c r="G891" s="2" t="str">
        <x:v>right_censored</x:v>
      </x:c>
      <x:c r="H891" s="2" t="n">
        <x:f>IF(AND(ISNUMBER(F891),F891&gt;=D891),1,0)</x:f>
        <x:v>0</x:v>
      </x:c>
      <x:c r="I891" s="2" t="n">
        <x:f>IF(AND(ISNUMBER(F891),F891&gt;D891),1,0)</x:f>
        <x:v>0</x:v>
      </x:c>
      <x:c r="J891" s="2" t="str">
        <x:f>IF(H891=1,F891-D891,"")</x:f>
      </x:c>
      <x:c r="K891" s="2" t="str">
        <x:f>IF(H891=1,F891-E891,"")</x:f>
      </x:c>
      <x:c r="L891" s="2" t="n">
        <x:v>9</x:v>
      </x:c>
      <x:c r="M891" s="2"/>
      <x:c r="N891" s="20" t="n">
        <x:v>0.4</x:v>
      </x:c>
      <x:c r="O891" s="20" t="n">
        <x:v>0.8</x:v>
      </x:c>
      <x:c r="P891" s="20" t="n">
        <x:v>0.25</x:v>
      </x:c>
      <x:c r="Q891" s="2" t="n">
        <x:v>60</x:v>
      </x:c>
      <x:c r="R891" s="2" t="str">
        <x:v>ENFP</x:v>
      </x:c>
      <x:c r="S891" s="2" t="str">
        <x:v>华中</x:v>
      </x:c>
      <x:c r="T891" s="2" t="str">
        <x:v>行政或办公室岗位</x:v>
      </x:c>
    </x:row>
    <x:row r="892" ht="24" customHeight="1">
      <x:c r="A892" s="2" t="str">
        <x:v>D040_T07_C080_G025</x:v>
      </x:c>
      <x:c r="B892" s="2" t="str">
        <x:v>A0008</x:v>
      </x:c>
      <x:c r="C892" s="2" t="str">
        <x:v>inside</x:v>
      </x:c>
      <x:c r="D892" s="2" t="n">
        <x:v>7</x:v>
      </x:c>
      <x:c r="E892" s="2" t="n">
        <x:v>3</x:v>
      </x:c>
      <x:c r="F892" s="2" t="n">
        <x:v>7</x:v>
      </x:c>
      <x:c r="G892" s="2" t="str">
        <x:v>observed_post_release</x:v>
      </x:c>
      <x:c r="H892" s="2" t="n">
        <x:f>IF(AND(ISNUMBER(F892),F892&gt;=D892),1,0)</x:f>
        <x:v>1</x:v>
      </x:c>
      <x:c r="I892" s="2" t="n">
        <x:f>IF(AND(ISNUMBER(F892),F892&gt;D892),1,0)</x:f>
        <x:v>0</x:v>
      </x:c>
      <x:c r="J892" s="2" t="n">
        <x:f>IF(H892=1,F892-D892,"")</x:f>
        <x:v>0</x:v>
      </x:c>
      <x:c r="K892" s="2" t="n">
        <x:f>IF(H892=1,F892-E892,"")</x:f>
        <x:v>4</x:v>
      </x:c>
      <x:c r="L892" s="2" t="n">
        <x:v>7</x:v>
      </x:c>
      <x:c r="M892" s="2" t="n">
        <x:v>7</x:v>
      </x:c>
      <x:c r="N892" s="20" t="n">
        <x:v>0.4</x:v>
      </x:c>
      <x:c r="O892" s="20" t="n">
        <x:v>0.8</x:v>
      </x:c>
      <x:c r="P892" s="20" t="n">
        <x:v>0.25</x:v>
      </x:c>
      <x:c r="Q892" s="2" t="n">
        <x:v>36</x:v>
      </x:c>
      <x:c r="R892" s="2" t="str">
        <x:v>ISFP</x:v>
      </x:c>
      <x:c r="S892" s="2" t="str">
        <x:v>华南</x:v>
      </x:c>
      <x:c r="T892" s="2" t="str">
        <x:v>生产运输或体力岗位</x:v>
      </x:c>
    </x:row>
    <x:row r="893" ht="24" customHeight="1">
      <x:c r="A893" s="2" t="str">
        <x:v>D040_T07_C080_G025</x:v>
      </x:c>
      <x:c r="B893" s="2" t="str">
        <x:v>A0009</x:v>
      </x:c>
      <x:c r="C893" s="2" t="str">
        <x:v>inside</x:v>
      </x:c>
      <x:c r="D893" s="2" t="n">
        <x:v>7</x:v>
      </x:c>
      <x:c r="E893" s="2" t="n">
        <x:v>1</x:v>
      </x:c>
      <x:c r="F893" s="2" t="n">
        <x:v>10</x:v>
      </x:c>
      <x:c r="G893" s="2" t="str">
        <x:v>observed_post_release</x:v>
      </x:c>
      <x:c r="H893" s="2" t="n">
        <x:f>IF(AND(ISNUMBER(F893),F893&gt;=D893),1,0)</x:f>
        <x:v>1</x:v>
      </x:c>
      <x:c r="I893" s="2" t="n">
        <x:f>IF(AND(ISNUMBER(F893),F893&gt;D893),1,0)</x:f>
        <x:v>1</x:v>
      </x:c>
      <x:c r="J893" s="2" t="n">
        <x:f>IF(H893=1,F893-D893,"")</x:f>
        <x:v>3</x:v>
      </x:c>
      <x:c r="K893" s="2" t="n">
        <x:f>IF(H893=1,F893-E893,"")</x:f>
        <x:v>9</x:v>
      </x:c>
      <x:c r="L893" s="2" t="n">
        <x:v>9</x:v>
      </x:c>
      <x:c r="M893" s="2" t="n">
        <x:v>7</x:v>
      </x:c>
      <x:c r="N893" s="20" t="n">
        <x:v>0.4</x:v>
      </x:c>
      <x:c r="O893" s="20" t="n">
        <x:v>0.8</x:v>
      </x:c>
      <x:c r="P893" s="20" t="n">
        <x:v>0.25</x:v>
      </x:c>
      <x:c r="Q893" s="2" t="n">
        <x:v>32</x:v>
      </x:c>
      <x:c r="R893" s="2" t="str">
        <x:v>ENFJ</x:v>
      </x:c>
      <x:c r="S893" s="2" t="str">
        <x:v>华东</x:v>
      </x:c>
      <x:c r="T893" s="2" t="str">
        <x:v>商业服务岗位</x:v>
      </x:c>
    </x:row>
    <x:row r="894" ht="24" customHeight="1">
      <x:c r="A894" s="2" t="str">
        <x:v>D040_T07_C080_G025</x:v>
      </x:c>
      <x:c r="B894" s="2" t="str">
        <x:v>A0011</x:v>
      </x:c>
      <x:c r="C894" s="2" t="str">
        <x:v>inside</x:v>
      </x:c>
      <x:c r="D894" s="2" t="n">
        <x:v>7</x:v>
      </x:c>
      <x:c r="E894" s="2" t="n">
        <x:v>1</x:v>
      </x:c>
      <x:c r="F894" s="2"/>
      <x:c r="G894" s="2" t="str">
        <x:v>right_censored</x:v>
      </x:c>
      <x:c r="H894" s="2" t="n">
        <x:f>IF(AND(ISNUMBER(F894),F894&gt;=D894),1,0)</x:f>
        <x:v>0</x:v>
      </x:c>
      <x:c r="I894" s="2" t="n">
        <x:f>IF(AND(ISNUMBER(F894),F894&gt;D894),1,0)</x:f>
        <x:v>0</x:v>
      </x:c>
      <x:c r="J894" s="2" t="str">
        <x:f>IF(H894=1,F894-D894,"")</x:f>
      </x:c>
      <x:c r="K894" s="2" t="str">
        <x:f>IF(H894=1,F894-E894,"")</x:f>
      </x:c>
      <x:c r="L894" s="2" t="n">
        <x:v>9</x:v>
      </x:c>
      <x:c r="M894" s="2" t="n">
        <x:v>8</x:v>
      </x:c>
      <x:c r="N894" s="20" t="n">
        <x:v>0.4</x:v>
      </x:c>
      <x:c r="O894" s="20" t="n">
        <x:v>0.8</x:v>
      </x:c>
      <x:c r="P894" s="20" t="n">
        <x:v>0.25</x:v>
      </x:c>
      <x:c r="Q894" s="2" t="n">
        <x:v>42</x:v>
      </x:c>
      <x:c r="R894" s="2" t="str">
        <x:v>ENFJ</x:v>
      </x:c>
      <x:c r="S894" s="2" t="str">
        <x:v>西南</x:v>
      </x:c>
      <x:c r="T894" s="2" t="str">
        <x:v>行政或办公室岗位</x:v>
      </x:c>
    </x:row>
    <x:row r="895" ht="24" customHeight="1">
      <x:c r="A895" s="2" t="str">
        <x:v>D040_T07_C080_G025</x:v>
      </x:c>
      <x:c r="B895" s="2" t="str">
        <x:v>A0012</x:v>
      </x:c>
      <x:c r="C895" s="2" t="str">
        <x:v>inside</x:v>
      </x:c>
      <x:c r="D895" s="2" t="n">
        <x:v>7</x:v>
      </x:c>
      <x:c r="E895" s="2" t="n">
        <x:v>1</x:v>
      </x:c>
      <x:c r="F895" s="2"/>
      <x:c r="G895" s="2" t="str">
        <x:v>right_censored</x:v>
      </x:c>
      <x:c r="H895" s="2" t="n">
        <x:f>IF(AND(ISNUMBER(F895),F895&gt;=D895),1,0)</x:f>
        <x:v>0</x:v>
      </x:c>
      <x:c r="I895" s="2" t="n">
        <x:f>IF(AND(ISNUMBER(F895),F895&gt;D895),1,0)</x:f>
        <x:v>0</x:v>
      </x:c>
      <x:c r="J895" s="2" t="str">
        <x:f>IF(H895=1,F895-D895,"")</x:f>
      </x:c>
      <x:c r="K895" s="2" t="str">
        <x:f>IF(H895=1,F895-E895,"")</x:f>
      </x:c>
      <x:c r="L895" s="2" t="n">
        <x:v>9</x:v>
      </x:c>
      <x:c r="M895" s="2" t="n">
        <x:v>7</x:v>
      </x:c>
      <x:c r="N895" s="20" t="n">
        <x:v>0.4</x:v>
      </x:c>
      <x:c r="O895" s="20" t="n">
        <x:v>0.8</x:v>
      </x:c>
      <x:c r="P895" s="20" t="n">
        <x:v>0.25</x:v>
      </x:c>
      <x:c r="Q895" s="2" t="n">
        <x:v>38</x:v>
      </x:c>
      <x:c r="R895" s="2" t="str">
        <x:v>ESFP</x:v>
      </x:c>
      <x:c r="S895" s="2" t="str">
        <x:v>华中</x:v>
      </x:c>
      <x:c r="T895" s="2" t="str">
        <x:v>行政或办公室岗位</x:v>
      </x:c>
    </x:row>
    <x:row r="896" ht="24" customHeight="1">
      <x:c r="A896" s="2" t="str">
        <x:v>D040_T07_C080_G025</x:v>
      </x:c>
      <x:c r="B896" s="2" t="str">
        <x:v>A0014</x:v>
      </x:c>
      <x:c r="C896" s="2" t="str">
        <x:v>inside</x:v>
      </x:c>
      <x:c r="D896" s="2" t="n">
        <x:v>7</x:v>
      </x:c>
      <x:c r="E896" s="2" t="n">
        <x:v>1</x:v>
      </x:c>
      <x:c r="F896" s="2" t="n">
        <x:v>7</x:v>
      </x:c>
      <x:c r="G896" s="2" t="str">
        <x:v>observed_post_release</x:v>
      </x:c>
      <x:c r="H896" s="2" t="n">
        <x:f>IF(AND(ISNUMBER(F896),F896&gt;=D896),1,0)</x:f>
        <x:v>1</x:v>
      </x:c>
      <x:c r="I896" s="2" t="n">
        <x:f>IF(AND(ISNUMBER(F896),F896&gt;D896),1,0)</x:f>
        <x:v>0</x:v>
      </x:c>
      <x:c r="J896" s="2" t="n">
        <x:f>IF(H896=1,F896-D896,"")</x:f>
        <x:v>0</x:v>
      </x:c>
      <x:c r="K896" s="2" t="n">
        <x:f>IF(H896=1,F896-E896,"")</x:f>
        <x:v>6</x:v>
      </x:c>
      <x:c r="L896" s="2" t="n">
        <x:v>9</x:v>
      </x:c>
      <x:c r="M896" s="2" t="n">
        <x:v>7</x:v>
      </x:c>
      <x:c r="N896" s="20" t="n">
        <x:v>0.4</x:v>
      </x:c>
      <x:c r="O896" s="20" t="n">
        <x:v>0.8</x:v>
      </x:c>
      <x:c r="P896" s="20" t="n">
        <x:v>0.25</x:v>
      </x:c>
      <x:c r="Q896" s="2" t="n">
        <x:v>52</x:v>
      </x:c>
      <x:c r="R896" s="2" t="str">
        <x:v>INFJ</x:v>
      </x:c>
      <x:c r="S896" s="2" t="str">
        <x:v>华东</x:v>
      </x:c>
      <x:c r="T896" s="2" t="str">
        <x:v>生产运输或体力岗位</x:v>
      </x:c>
    </x:row>
    <x:row r="897" ht="24" customHeight="1">
      <x:c r="A897" s="2" t="str">
        <x:v>D040_T07_C080_G025</x:v>
      </x:c>
      <x:c r="B897" s="2" t="str">
        <x:v>A0016</x:v>
      </x:c>
      <x:c r="C897" s="2" t="str">
        <x:v>inside</x:v>
      </x:c>
      <x:c r="D897" s="2" t="n">
        <x:v>7</x:v>
      </x:c>
      <x:c r="E897" s="2" t="n">
        <x:v>1</x:v>
      </x:c>
      <x:c r="F897" s="2" t="n">
        <x:v>8</x:v>
      </x:c>
      <x:c r="G897" s="2" t="str">
        <x:v>observed_post_release</x:v>
      </x:c>
      <x:c r="H897" s="2" t="n">
        <x:f>IF(AND(ISNUMBER(F897),F897&gt;=D897),1,0)</x:f>
        <x:v>1</x:v>
      </x:c>
      <x:c r="I897" s="2" t="n">
        <x:f>IF(AND(ISNUMBER(F897),F897&gt;D897),1,0)</x:f>
        <x:v>1</x:v>
      </x:c>
      <x:c r="J897" s="2" t="n">
        <x:f>IF(H897=1,F897-D897,"")</x:f>
        <x:v>1</x:v>
      </x:c>
      <x:c r="K897" s="2" t="n">
        <x:f>IF(H897=1,F897-E897,"")</x:f>
        <x:v>7</x:v>
      </x:c>
      <x:c r="L897" s="2" t="n">
        <x:v>9</x:v>
      </x:c>
      <x:c r="M897" s="2" t="n">
        <x:v>7</x:v>
      </x:c>
      <x:c r="N897" s="20" t="n">
        <x:v>0.4</x:v>
      </x:c>
      <x:c r="O897" s="20" t="n">
        <x:v>0.8</x:v>
      </x:c>
      <x:c r="P897" s="20" t="n">
        <x:v>0.25</x:v>
      </x:c>
      <x:c r="Q897" s="2" t="n">
        <x:v>60</x:v>
      </x:c>
      <x:c r="R897" s="2" t="str">
        <x:v>ESFJ</x:v>
      </x:c>
      <x:c r="S897" s="2" t="str">
        <x:v>华北</x:v>
      </x:c>
      <x:c r="T897" s="2" t="str">
        <x:v>个体经营或自由职业</x:v>
      </x:c>
    </x:row>
    <x:row r="898" ht="24" customHeight="1">
      <x:c r="A898" s="2" t="str">
        <x:v>D040_T07_C080_G025</x:v>
      </x:c>
      <x:c r="B898" s="2" t="str">
        <x:v>A0017</x:v>
      </x:c>
      <x:c r="C898" s="2" t="str">
        <x:v>inside</x:v>
      </x:c>
      <x:c r="D898" s="2" t="n">
        <x:v>7</x:v>
      </x:c>
      <x:c r="E898" s="2" t="n">
        <x:v>1</x:v>
      </x:c>
      <x:c r="F898" s="2"/>
      <x:c r="G898" s="2" t="str">
        <x:v>right_censored</x:v>
      </x:c>
      <x:c r="H898" s="2" t="n">
        <x:f>IF(AND(ISNUMBER(F898),F898&gt;=D898),1,0)</x:f>
        <x:v>0</x:v>
      </x:c>
      <x:c r="I898" s="2" t="n">
        <x:f>IF(AND(ISNUMBER(F898),F898&gt;D898),1,0)</x:f>
        <x:v>0</x:v>
      </x:c>
      <x:c r="J898" s="2" t="str">
        <x:f>IF(H898=1,F898-D898,"")</x:f>
      </x:c>
      <x:c r="K898" s="2" t="str">
        <x:f>IF(H898=1,F898-E898,"")</x:f>
      </x:c>
      <x:c r="L898" s="2" t="n">
        <x:v>9</x:v>
      </x:c>
      <x:c r="M898" s="2" t="n">
        <x:v>8</x:v>
      </x:c>
      <x:c r="N898" s="20" t="n">
        <x:v>0.4</x:v>
      </x:c>
      <x:c r="O898" s="20" t="n">
        <x:v>0.8</x:v>
      </x:c>
      <x:c r="P898" s="20" t="n">
        <x:v>0.25</x:v>
      </x:c>
      <x:c r="Q898" s="2" t="n">
        <x:v>30</x:v>
      </x:c>
      <x:c r="R898" s="2" t="str">
        <x:v>ISTJ</x:v>
      </x:c>
      <x:c r="S898" s="2" t="str">
        <x:v>华东</x:v>
      </x:c>
      <x:c r="T898" s="2" t="str">
        <x:v>商业服务岗位</x:v>
      </x:c>
    </x:row>
    <x:row r="899" ht="24" customHeight="1">
      <x:c r="A899" s="2" t="str">
        <x:v>D040_T07_C080_G025</x:v>
      </x:c>
      <x:c r="B899" s="2" t="str">
        <x:v>A0018</x:v>
      </x:c>
      <x:c r="C899" s="2" t="str">
        <x:v>inside</x:v>
      </x:c>
      <x:c r="D899" s="2" t="n">
        <x:v>7</x:v>
      </x:c>
      <x:c r="E899" s="2" t="n">
        <x:v>1</x:v>
      </x:c>
      <x:c r="F899" s="2"/>
      <x:c r="G899" s="2" t="str">
        <x:v>right_censored</x:v>
      </x:c>
      <x:c r="H899" s="2" t="n">
        <x:f>IF(AND(ISNUMBER(F899),F899&gt;=D899),1,0)</x:f>
        <x:v>0</x:v>
      </x:c>
      <x:c r="I899" s="2" t="n">
        <x:f>IF(AND(ISNUMBER(F899),F899&gt;D899),1,0)</x:f>
        <x:v>0</x:v>
      </x:c>
      <x:c r="J899" s="2" t="str">
        <x:f>IF(H899=1,F899-D899,"")</x:f>
      </x:c>
      <x:c r="K899" s="2" t="str">
        <x:f>IF(H899=1,F899-E899,"")</x:f>
      </x:c>
      <x:c r="L899" s="2" t="n">
        <x:v>9</x:v>
      </x:c>
      <x:c r="M899" s="2" t="n">
        <x:v>7</x:v>
      </x:c>
      <x:c r="N899" s="20" t="n">
        <x:v>0.4</x:v>
      </x:c>
      <x:c r="O899" s="20" t="n">
        <x:v>0.8</x:v>
      </x:c>
      <x:c r="P899" s="20" t="n">
        <x:v>0.25</x:v>
      </x:c>
      <x:c r="Q899" s="2" t="n">
        <x:v>60</x:v>
      </x:c>
      <x:c r="R899" s="2" t="str">
        <x:v>INTJ</x:v>
      </x:c>
      <x:c r="S899" s="2" t="str">
        <x:v>华南</x:v>
      </x:c>
      <x:c r="T899" s="2" t="str">
        <x:v>专业技术岗位</x:v>
      </x:c>
    </x:row>
    <x:row r="900" ht="24" customHeight="1">
      <x:c r="A900" s="2" t="str">
        <x:v>D040_T07_C080_G025</x:v>
      </x:c>
      <x:c r="B900" s="2" t="str">
        <x:v>A0019</x:v>
      </x:c>
      <x:c r="C900" s="2" t="str">
        <x:v>inside</x:v>
      </x:c>
      <x:c r="D900" s="2" t="n">
        <x:v>7</x:v>
      </x:c>
      <x:c r="E900" s="2" t="n">
        <x:v>1</x:v>
      </x:c>
      <x:c r="F900" s="2" t="n">
        <x:v>9</x:v>
      </x:c>
      <x:c r="G900" s="2" t="str">
        <x:v>observed_post_release</x:v>
      </x:c>
      <x:c r="H900" s="2" t="n">
        <x:f>IF(AND(ISNUMBER(F900),F900&gt;=D900),1,0)</x:f>
        <x:v>1</x:v>
      </x:c>
      <x:c r="I900" s="2" t="n">
        <x:f>IF(AND(ISNUMBER(F900),F900&gt;D900),1,0)</x:f>
        <x:v>1</x:v>
      </x:c>
      <x:c r="J900" s="2" t="n">
        <x:f>IF(H900=1,F900-D900,"")</x:f>
        <x:v>2</x:v>
      </x:c>
      <x:c r="K900" s="2" t="n">
        <x:f>IF(H900=1,F900-E900,"")</x:f>
        <x:v>8</x:v>
      </x:c>
      <x:c r="L900" s="2" t="n">
        <x:v>9</x:v>
      </x:c>
      <x:c r="M900" s="2" t="n">
        <x:v>7</x:v>
      </x:c>
      <x:c r="N900" s="20" t="n">
        <x:v>0.4</x:v>
      </x:c>
      <x:c r="O900" s="20" t="n">
        <x:v>0.8</x:v>
      </x:c>
      <x:c r="P900" s="20" t="n">
        <x:v>0.25</x:v>
      </x:c>
      <x:c r="Q900" s="2" t="n">
        <x:v>19</x:v>
      </x:c>
      <x:c r="R900" s="2" t="str">
        <x:v>INTJ</x:v>
      </x:c>
      <x:c r="S900" s="2" t="str">
        <x:v>西南</x:v>
      </x:c>
      <x:c r="T900" s="2" t="str">
        <x:v>行政或办公室岗位</x:v>
      </x:c>
    </x:row>
    <x:row r="901" ht="24" customHeight="1">
      <x:c r="A901" s="2" t="str">
        <x:v>D040_T07_C080_G025</x:v>
      </x:c>
      <x:c r="B901" s="2" t="str">
        <x:v>A0020</x:v>
      </x:c>
      <x:c r="C901" s="2" t="str">
        <x:v>inside</x:v>
      </x:c>
      <x:c r="D901" s="2" t="n">
        <x:v>7</x:v>
      </x:c>
      <x:c r="E901" s="2" t="n">
        <x:v>1</x:v>
      </x:c>
      <x:c r="F901" s="2"/>
      <x:c r="G901" s="2" t="str">
        <x:v>right_censored</x:v>
      </x:c>
      <x:c r="H901" s="2" t="n">
        <x:f>IF(AND(ISNUMBER(F901),F901&gt;=D901),1,0)</x:f>
        <x:v>0</x:v>
      </x:c>
      <x:c r="I901" s="2" t="n">
        <x:f>IF(AND(ISNUMBER(F901),F901&gt;D901),1,0)</x:f>
        <x:v>0</x:v>
      </x:c>
      <x:c r="J901" s="2" t="str">
        <x:f>IF(H901=1,F901-D901,"")</x:f>
      </x:c>
      <x:c r="K901" s="2" t="str">
        <x:f>IF(H901=1,F901-E901,"")</x:f>
      </x:c>
      <x:c r="L901" s="2" t="n">
        <x:v>9</x:v>
      </x:c>
      <x:c r="M901" s="2" t="n">
        <x:v>7</x:v>
      </x:c>
      <x:c r="N901" s="20" t="n">
        <x:v>0.4</x:v>
      </x:c>
      <x:c r="O901" s="20" t="n">
        <x:v>0.8</x:v>
      </x:c>
      <x:c r="P901" s="20" t="n">
        <x:v>0.25</x:v>
      </x:c>
      <x:c r="Q901" s="2" t="n">
        <x:v>42</x:v>
      </x:c>
      <x:c r="R901" s="2" t="str">
        <x:v>ENTJ</x:v>
      </x:c>
      <x:c r="S901" s="2" t="str">
        <x:v>西南</x:v>
      </x:c>
      <x:c r="T901" s="2" t="str">
        <x:v>行政或办公室岗位</x:v>
      </x:c>
    </x:row>
    <x:row r="902" ht="24" customHeight="1">
      <x:c r="A902" s="2" t="str">
        <x:v>D040_T07_C080_G025</x:v>
      </x:c>
      <x:c r="B902" s="2" t="str">
        <x:v>A0022</x:v>
      </x:c>
      <x:c r="C902" s="2" t="str">
        <x:v>inside</x:v>
      </x:c>
      <x:c r="D902" s="2" t="n">
        <x:v>7</x:v>
      </x:c>
      <x:c r="E902" s="2" t="n">
        <x:v>1</x:v>
      </x:c>
      <x:c r="F902" s="2" t="n">
        <x:v>7</x:v>
      </x:c>
      <x:c r="G902" s="2" t="str">
        <x:v>observed_post_release</x:v>
      </x:c>
      <x:c r="H902" s="2" t="n">
        <x:f>IF(AND(ISNUMBER(F902),F902&gt;=D902),1,0)</x:f>
        <x:v>1</x:v>
      </x:c>
      <x:c r="I902" s="2" t="n">
        <x:f>IF(AND(ISNUMBER(F902),F902&gt;D902),1,0)</x:f>
        <x:v>0</x:v>
      </x:c>
      <x:c r="J902" s="2" t="n">
        <x:f>IF(H902=1,F902-D902,"")</x:f>
        <x:v>0</x:v>
      </x:c>
      <x:c r="K902" s="2" t="n">
        <x:f>IF(H902=1,F902-E902,"")</x:f>
        <x:v>6</x:v>
      </x:c>
      <x:c r="L902" s="2" t="n">
        <x:v>9</x:v>
      </x:c>
      <x:c r="M902" s="2" t="n">
        <x:v>7</x:v>
      </x:c>
      <x:c r="N902" s="20" t="n">
        <x:v>0.4</x:v>
      </x:c>
      <x:c r="O902" s="20" t="n">
        <x:v>0.8</x:v>
      </x:c>
      <x:c r="P902" s="20" t="n">
        <x:v>0.25</x:v>
      </x:c>
      <x:c r="Q902" s="2" t="n">
        <x:v>51</x:v>
      </x:c>
      <x:c r="R902" s="2" t="str">
        <x:v>INFJ</x:v>
      </x:c>
      <x:c r="S902" s="2" t="str">
        <x:v>西南</x:v>
      </x:c>
      <x:c r="T902" s="2" t="str">
        <x:v>个体经营或自由职业</x:v>
      </x:c>
    </x:row>
    <x:row r="903" ht="24" customHeight="1">
      <x:c r="A903" s="2" t="str">
        <x:v>D040_T07_C080_G025</x:v>
      </x:c>
      <x:c r="B903" s="2" t="str">
        <x:v>A0024</x:v>
      </x:c>
      <x:c r="C903" s="2" t="str">
        <x:v>inside</x:v>
      </x:c>
      <x:c r="D903" s="2" t="n">
        <x:v>7</x:v>
      </x:c>
      <x:c r="E903" s="2" t="n">
        <x:v>1</x:v>
      </x:c>
      <x:c r="F903" s="2"/>
      <x:c r="G903" s="2" t="str">
        <x:v>right_censored</x:v>
      </x:c>
      <x:c r="H903" s="2" t="n">
        <x:f>IF(AND(ISNUMBER(F903),F903&gt;=D903),1,0)</x:f>
        <x:v>0</x:v>
      </x:c>
      <x:c r="I903" s="2" t="n">
        <x:f>IF(AND(ISNUMBER(F903),F903&gt;D903),1,0)</x:f>
        <x:v>0</x:v>
      </x:c>
      <x:c r="J903" s="2" t="str">
        <x:f>IF(H903=1,F903-D903,"")</x:f>
      </x:c>
      <x:c r="K903" s="2" t="str">
        <x:f>IF(H903=1,F903-E903,"")</x:f>
      </x:c>
      <x:c r="L903" s="2" t="n">
        <x:v>9</x:v>
      </x:c>
      <x:c r="M903" s="2" t="n">
        <x:v>7</x:v>
      </x:c>
      <x:c r="N903" s="20" t="n">
        <x:v>0.4</x:v>
      </x:c>
      <x:c r="O903" s="20" t="n">
        <x:v>0.8</x:v>
      </x:c>
      <x:c r="P903" s="20" t="n">
        <x:v>0.25</x:v>
      </x:c>
      <x:c r="Q903" s="2" t="n">
        <x:v>31</x:v>
      </x:c>
      <x:c r="R903" s="2" t="str">
        <x:v>ESTP</x:v>
      </x:c>
      <x:c r="S903" s="2" t="str">
        <x:v>华北</x:v>
      </x:c>
      <x:c r="T903" s="2" t="str">
        <x:v>商业服务岗位</x:v>
      </x:c>
    </x:row>
    <x:row r="904" ht="24" customHeight="1">
      <x:c r="A904" s="2" t="str">
        <x:v>D040_T07_C080_G025</x:v>
      </x:c>
      <x:c r="B904" s="2" t="str">
        <x:v>A0025</x:v>
      </x:c>
      <x:c r="C904" s="2" t="str">
        <x:v>inside</x:v>
      </x:c>
      <x:c r="D904" s="2" t="n">
        <x:v>7</x:v>
      </x:c>
      <x:c r="E904" s="2" t="n">
        <x:v>1</x:v>
      </x:c>
      <x:c r="F904" s="2" t="n">
        <x:v>9</x:v>
      </x:c>
      <x:c r="G904" s="2" t="str">
        <x:v>observed_post_release</x:v>
      </x:c>
      <x:c r="H904" s="2" t="n">
        <x:f>IF(AND(ISNUMBER(F904),F904&gt;=D904),1,0)</x:f>
        <x:v>1</x:v>
      </x:c>
      <x:c r="I904" s="2" t="n">
        <x:f>IF(AND(ISNUMBER(F904),F904&gt;D904),1,0)</x:f>
        <x:v>1</x:v>
      </x:c>
      <x:c r="J904" s="2" t="n">
        <x:f>IF(H904=1,F904-D904,"")</x:f>
        <x:v>2</x:v>
      </x:c>
      <x:c r="K904" s="2" t="n">
        <x:f>IF(H904=1,F904-E904,"")</x:f>
        <x:v>8</x:v>
      </x:c>
      <x:c r="L904" s="2" t="n">
        <x:v>9</x:v>
      </x:c>
      <x:c r="M904" s="2" t="n">
        <x:v>7</x:v>
      </x:c>
      <x:c r="N904" s="20" t="n">
        <x:v>0.4</x:v>
      </x:c>
      <x:c r="O904" s="20" t="n">
        <x:v>0.8</x:v>
      </x:c>
      <x:c r="P904" s="20" t="n">
        <x:v>0.25</x:v>
      </x:c>
      <x:c r="Q904" s="2" t="n">
        <x:v>23</x:v>
      </x:c>
      <x:c r="R904" s="2" t="str">
        <x:v>ISTP</x:v>
      </x:c>
      <x:c r="S904" s="2" t="str">
        <x:v>华南</x:v>
      </x:c>
      <x:c r="T904" s="2" t="str">
        <x:v>行政或办公室岗位</x:v>
      </x:c>
    </x:row>
    <x:row r="905" ht="24" customHeight="1">
      <x:c r="A905" s="2" t="str">
        <x:v>D040_T07_C080_G025</x:v>
      </x:c>
      <x:c r="B905" s="2" t="str">
        <x:v>A0026</x:v>
      </x:c>
      <x:c r="C905" s="2" t="str">
        <x:v>inside</x:v>
      </x:c>
      <x:c r="D905" s="2" t="n">
        <x:v>7</x:v>
      </x:c>
      <x:c r="E905" s="2" t="n">
        <x:v>1</x:v>
      </x:c>
      <x:c r="F905" s="2"/>
      <x:c r="G905" s="2" t="str">
        <x:v>right_censored</x:v>
      </x:c>
      <x:c r="H905" s="2" t="n">
        <x:f>IF(AND(ISNUMBER(F905),F905&gt;=D905),1,0)</x:f>
        <x:v>0</x:v>
      </x:c>
      <x:c r="I905" s="2" t="n">
        <x:f>IF(AND(ISNUMBER(F905),F905&gt;D905),1,0)</x:f>
        <x:v>0</x:v>
      </x:c>
      <x:c r="J905" s="2" t="str">
        <x:f>IF(H905=1,F905-D905,"")</x:f>
      </x:c>
      <x:c r="K905" s="2" t="str">
        <x:f>IF(H905=1,F905-E905,"")</x:f>
      </x:c>
      <x:c r="L905" s="2" t="n">
        <x:v>9</x:v>
      </x:c>
      <x:c r="M905" s="2" t="n">
        <x:v>7</x:v>
      </x:c>
      <x:c r="N905" s="20" t="n">
        <x:v>0.4</x:v>
      </x:c>
      <x:c r="O905" s="20" t="n">
        <x:v>0.8</x:v>
      </x:c>
      <x:c r="P905" s="20" t="n">
        <x:v>0.25</x:v>
      </x:c>
      <x:c r="Q905" s="2" t="n">
        <x:v>36</x:v>
      </x:c>
      <x:c r="R905" s="2" t="str">
        <x:v>ISFP</x:v>
      </x:c>
      <x:c r="S905" s="2" t="str">
        <x:v>西北</x:v>
      </x:c>
      <x:c r="T905" s="2" t="str">
        <x:v>个体经营或自由职业</x:v>
      </x:c>
    </x:row>
    <x:row r="906" ht="24" customHeight="1">
      <x:c r="A906" s="2" t="str">
        <x:v>D040_T07_C080_G025</x:v>
      </x:c>
      <x:c r="B906" s="2" t="str">
        <x:v>A0027</x:v>
      </x:c>
      <x:c r="C906" s="2" t="str">
        <x:v>inside</x:v>
      </x:c>
      <x:c r="D906" s="2" t="n">
        <x:v>7</x:v>
      </x:c>
      <x:c r="E906" s="2" t="n">
        <x:v>1</x:v>
      </x:c>
      <x:c r="F906" s="2"/>
      <x:c r="G906" s="2" t="str">
        <x:v>right_censored</x:v>
      </x:c>
      <x:c r="H906" s="2" t="n">
        <x:f>IF(AND(ISNUMBER(F906),F906&gt;=D906),1,0)</x:f>
        <x:v>0</x:v>
      </x:c>
      <x:c r="I906" s="2" t="n">
        <x:f>IF(AND(ISNUMBER(F906),F906&gt;D906),1,0)</x:f>
        <x:v>0</x:v>
      </x:c>
      <x:c r="J906" s="2" t="str">
        <x:f>IF(H906=1,F906-D906,"")</x:f>
      </x:c>
      <x:c r="K906" s="2" t="str">
        <x:f>IF(H906=1,F906-E906,"")</x:f>
      </x:c>
      <x:c r="L906" s="2" t="n">
        <x:v>9</x:v>
      </x:c>
      <x:c r="M906" s="2" t="n">
        <x:v>7</x:v>
      </x:c>
      <x:c r="N906" s="20" t="n">
        <x:v>0.4</x:v>
      </x:c>
      <x:c r="O906" s="20" t="n">
        <x:v>0.8</x:v>
      </x:c>
      <x:c r="P906" s="20" t="n">
        <x:v>0.25</x:v>
      </x:c>
      <x:c r="Q906" s="2" t="n">
        <x:v>25</x:v>
      </x:c>
      <x:c r="R906" s="2" t="str">
        <x:v>ESFP</x:v>
      </x:c>
      <x:c r="S906" s="2" t="str">
        <x:v>西北</x:v>
      </x:c>
      <x:c r="T906" s="2" t="str">
        <x:v>暂未就业或家庭照料</x:v>
      </x:c>
    </x:row>
    <x:row r="907" ht="24" customHeight="1">
      <x:c r="A907" s="2" t="str">
        <x:v>D040_T07_C080_G025</x:v>
      </x:c>
      <x:c r="B907" s="2" t="str">
        <x:v>A0029</x:v>
      </x:c>
      <x:c r="C907" s="2" t="str">
        <x:v>inside</x:v>
      </x:c>
      <x:c r="D907" s="2" t="n">
        <x:v>7</x:v>
      </x:c>
      <x:c r="E907" s="2" t="n">
        <x:v>1</x:v>
      </x:c>
      <x:c r="F907" s="2" t="n">
        <x:v>10</x:v>
      </x:c>
      <x:c r="G907" s="2" t="str">
        <x:v>observed_post_release</x:v>
      </x:c>
      <x:c r="H907" s="2" t="n">
        <x:f>IF(AND(ISNUMBER(F907),F907&gt;=D907),1,0)</x:f>
        <x:v>1</x:v>
      </x:c>
      <x:c r="I907" s="2" t="n">
        <x:f>IF(AND(ISNUMBER(F907),F907&gt;D907),1,0)</x:f>
        <x:v>1</x:v>
      </x:c>
      <x:c r="J907" s="2" t="n">
        <x:f>IF(H907=1,F907-D907,"")</x:f>
        <x:v>3</x:v>
      </x:c>
      <x:c r="K907" s="2" t="n">
        <x:f>IF(H907=1,F907-E907,"")</x:f>
        <x:v>9</x:v>
      </x:c>
      <x:c r="L907" s="2" t="n">
        <x:v>9</x:v>
      </x:c>
      <x:c r="M907" s="2" t="n">
        <x:v>7</x:v>
      </x:c>
      <x:c r="N907" s="20" t="n">
        <x:v>0.4</x:v>
      </x:c>
      <x:c r="O907" s="20" t="n">
        <x:v>0.8</x:v>
      </x:c>
      <x:c r="P907" s="20" t="n">
        <x:v>0.25</x:v>
      </x:c>
      <x:c r="Q907" s="2" t="n">
        <x:v>69</x:v>
      </x:c>
      <x:c r="R907" s="2" t="str">
        <x:v>ENTP</x:v>
      </x:c>
      <x:c r="S907" s="2" t="str">
        <x:v>华东</x:v>
      </x:c>
      <x:c r="T907" s="2" t="str">
        <x:v>退休人员</x:v>
      </x:c>
    </x:row>
    <x:row r="908" ht="24" customHeight="1">
      <x:c r="A908" s="2" t="str">
        <x:v>D040_T07_C080_G025</x:v>
      </x:c>
      <x:c r="B908" s="2" t="str">
        <x:v>A0030</x:v>
      </x:c>
      <x:c r="C908" s="2" t="str">
        <x:v>inside</x:v>
      </x:c>
      <x:c r="D908" s="2" t="n">
        <x:v>7</x:v>
      </x:c>
      <x:c r="E908" s="2" t="n">
        <x:v>1</x:v>
      </x:c>
      <x:c r="F908" s="2"/>
      <x:c r="G908" s="2" t="str">
        <x:v>right_censored</x:v>
      </x:c>
      <x:c r="H908" s="2" t="n">
        <x:f>IF(AND(ISNUMBER(F908),F908&gt;=D908),1,0)</x:f>
        <x:v>0</x:v>
      </x:c>
      <x:c r="I908" s="2" t="n">
        <x:f>IF(AND(ISNUMBER(F908),F908&gt;D908),1,0)</x:f>
        <x:v>0</x:v>
      </x:c>
      <x:c r="J908" s="2" t="str">
        <x:f>IF(H908=1,F908-D908,"")</x:f>
      </x:c>
      <x:c r="K908" s="2" t="str">
        <x:f>IF(H908=1,F908-E908,"")</x:f>
      </x:c>
      <x:c r="L908" s="2" t="n">
        <x:v>9</x:v>
      </x:c>
      <x:c r="M908" s="2" t="n">
        <x:v>7</x:v>
      </x:c>
      <x:c r="N908" s="20" t="n">
        <x:v>0.4</x:v>
      </x:c>
      <x:c r="O908" s="20" t="n">
        <x:v>0.8</x:v>
      </x:c>
      <x:c r="P908" s="20" t="n">
        <x:v>0.25</x:v>
      </x:c>
      <x:c r="Q908" s="2" t="n">
        <x:v>23</x:v>
      </x:c>
      <x:c r="R908" s="2" t="str">
        <x:v>ISFP</x:v>
      </x:c>
      <x:c r="S908" s="2" t="str">
        <x:v>华东</x:v>
      </x:c>
      <x:c r="T908" s="2" t="str">
        <x:v>在校学生</x:v>
      </x:c>
    </x:row>
    <x:row r="909" ht="24" customHeight="1">
      <x:c r="A909" s="2" t="str">
        <x:v>D040_T07_C080_G025</x:v>
      </x:c>
      <x:c r="B909" s="2" t="str">
        <x:v>A0032</x:v>
      </x:c>
      <x:c r="C909" s="2" t="str">
        <x:v>inside</x:v>
      </x:c>
      <x:c r="D909" s="2" t="n">
        <x:v>7</x:v>
      </x:c>
      <x:c r="E909" s="2" t="n">
        <x:v>1</x:v>
      </x:c>
      <x:c r="F909" s="2"/>
      <x:c r="G909" s="2" t="str">
        <x:v>right_censored</x:v>
      </x:c>
      <x:c r="H909" s="2" t="n">
        <x:f>IF(AND(ISNUMBER(F909),F909&gt;=D909),1,0)</x:f>
        <x:v>0</x:v>
      </x:c>
      <x:c r="I909" s="2" t="n">
        <x:f>IF(AND(ISNUMBER(F909),F909&gt;D909),1,0)</x:f>
        <x:v>0</x:v>
      </x:c>
      <x:c r="J909" s="2" t="str">
        <x:f>IF(H909=1,F909-D909,"")</x:f>
      </x:c>
      <x:c r="K909" s="2" t="str">
        <x:f>IF(H909=1,F909-E909,"")</x:f>
      </x:c>
      <x:c r="L909" s="2" t="n">
        <x:v>9</x:v>
      </x:c>
      <x:c r="M909" s="2" t="n">
        <x:v>7</x:v>
      </x:c>
      <x:c r="N909" s="20" t="n">
        <x:v>0.4</x:v>
      </x:c>
      <x:c r="O909" s="20" t="n">
        <x:v>0.8</x:v>
      </x:c>
      <x:c r="P909" s="20" t="n">
        <x:v>0.25</x:v>
      </x:c>
      <x:c r="Q909" s="2" t="n">
        <x:v>53</x:v>
      </x:c>
      <x:c r="R909" s="2" t="str">
        <x:v>INTP</x:v>
      </x:c>
      <x:c r="S909" s="2" t="str">
        <x:v>华北</x:v>
      </x:c>
      <x:c r="T909" s="2" t="str">
        <x:v>个体经营或自由职业</x:v>
      </x:c>
    </x:row>
    <x:row r="910" ht="24" customHeight="1">
      <x:c r="A910" s="2" t="str">
        <x:v>D040_T07_C080_G025</x:v>
      </x:c>
      <x:c r="B910" s="2" t="str">
        <x:v>A0033</x:v>
      </x:c>
      <x:c r="C910" s="2" t="str">
        <x:v>inside</x:v>
      </x:c>
      <x:c r="D910" s="2" t="n">
        <x:v>7</x:v>
      </x:c>
      <x:c r="E910" s="2" t="n">
        <x:v>1</x:v>
      </x:c>
      <x:c r="F910" s="2" t="n">
        <x:v>7</x:v>
      </x:c>
      <x:c r="G910" s="2" t="str">
        <x:v>observed_post_release</x:v>
      </x:c>
      <x:c r="H910" s="2" t="n">
        <x:f>IF(AND(ISNUMBER(F910),F910&gt;=D910),1,0)</x:f>
        <x:v>1</x:v>
      </x:c>
      <x:c r="I910" s="2" t="n">
        <x:f>IF(AND(ISNUMBER(F910),F910&gt;D910),1,0)</x:f>
        <x:v>0</x:v>
      </x:c>
      <x:c r="J910" s="2" t="n">
        <x:f>IF(H910=1,F910-D910,"")</x:f>
        <x:v>0</x:v>
      </x:c>
      <x:c r="K910" s="2" t="n">
        <x:f>IF(H910=1,F910-E910,"")</x:f>
        <x:v>6</x:v>
      </x:c>
      <x:c r="L910" s="2" t="n">
        <x:v>9</x:v>
      </x:c>
      <x:c r="M910" s="2" t="n">
        <x:v>7</x:v>
      </x:c>
      <x:c r="N910" s="20" t="n">
        <x:v>0.4</x:v>
      </x:c>
      <x:c r="O910" s="20" t="n">
        <x:v>0.8</x:v>
      </x:c>
      <x:c r="P910" s="20" t="n">
        <x:v>0.25</x:v>
      </x:c>
      <x:c r="Q910" s="2" t="n">
        <x:v>55</x:v>
      </x:c>
      <x:c r="R910" s="2" t="str">
        <x:v>ENFP</x:v>
      </x:c>
      <x:c r="S910" s="2" t="str">
        <x:v>华南</x:v>
      </x:c>
      <x:c r="T910" s="2" t="str">
        <x:v>个体经营或自由职业</x:v>
      </x:c>
    </x:row>
    <x:row r="911" ht="24" customHeight="1">
      <x:c r="A911" s="2" t="str">
        <x:v>D040_T07_C080_G025</x:v>
      </x:c>
      <x:c r="B911" s="2" t="str">
        <x:v>A0034</x:v>
      </x:c>
      <x:c r="C911" s="2" t="str">
        <x:v>inside</x:v>
      </x:c>
      <x:c r="D911" s="2" t="n">
        <x:v>7</x:v>
      </x:c>
      <x:c r="E911" s="2" t="n">
        <x:v>1</x:v>
      </x:c>
      <x:c r="F911" s="2"/>
      <x:c r="G911" s="2" t="str">
        <x:v>right_censored</x:v>
      </x:c>
      <x:c r="H911" s="2" t="n">
        <x:f>IF(AND(ISNUMBER(F911),F911&gt;=D911),1,0)</x:f>
        <x:v>0</x:v>
      </x:c>
      <x:c r="I911" s="2" t="n">
        <x:f>IF(AND(ISNUMBER(F911),F911&gt;D911),1,0)</x:f>
        <x:v>0</x:v>
      </x:c>
      <x:c r="J911" s="2" t="str">
        <x:f>IF(H911=1,F911-D911,"")</x:f>
      </x:c>
      <x:c r="K911" s="2" t="str">
        <x:f>IF(H911=1,F911-E911,"")</x:f>
      </x:c>
      <x:c r="L911" s="2" t="n">
        <x:v>9</x:v>
      </x:c>
      <x:c r="M911" s="2" t="n">
        <x:v>7</x:v>
      </x:c>
      <x:c r="N911" s="20" t="n">
        <x:v>0.4</x:v>
      </x:c>
      <x:c r="O911" s="20" t="n">
        <x:v>0.8</x:v>
      </x:c>
      <x:c r="P911" s="20" t="n">
        <x:v>0.25</x:v>
      </x:c>
      <x:c r="Q911" s="2" t="n">
        <x:v>36</x:v>
      </x:c>
      <x:c r="R911" s="2" t="str">
        <x:v>INTP</x:v>
      </x:c>
      <x:c r="S911" s="2" t="str">
        <x:v>华南</x:v>
      </x:c>
      <x:c r="T911" s="2" t="str">
        <x:v>专业技术岗位</x:v>
      </x:c>
    </x:row>
    <x:row r="912" ht="24" customHeight="1">
      <x:c r="A912" s="2" t="str">
        <x:v>D040_T07_C080_G025</x:v>
      </x:c>
      <x:c r="B912" s="2" t="str">
        <x:v>A0035</x:v>
      </x:c>
      <x:c r="C912" s="2" t="str">
        <x:v>inside</x:v>
      </x:c>
      <x:c r="D912" s="2" t="n">
        <x:v>7</x:v>
      </x:c>
      <x:c r="E912" s="2" t="n">
        <x:v>1</x:v>
      </x:c>
      <x:c r="F912" s="2" t="n">
        <x:v>8</x:v>
      </x:c>
      <x:c r="G912" s="2" t="str">
        <x:v>observed_post_release</x:v>
      </x:c>
      <x:c r="H912" s="2" t="n">
        <x:f>IF(AND(ISNUMBER(F912),F912&gt;=D912),1,0)</x:f>
        <x:v>1</x:v>
      </x:c>
      <x:c r="I912" s="2" t="n">
        <x:f>IF(AND(ISNUMBER(F912),F912&gt;D912),1,0)</x:f>
        <x:v>1</x:v>
      </x:c>
      <x:c r="J912" s="2" t="n">
        <x:f>IF(H912=1,F912-D912,"")</x:f>
        <x:v>1</x:v>
      </x:c>
      <x:c r="K912" s="2" t="n">
        <x:f>IF(H912=1,F912-E912,"")</x:f>
        <x:v>7</x:v>
      </x:c>
      <x:c r="L912" s="2" t="n">
        <x:v>9</x:v>
      </x:c>
      <x:c r="M912" s="2" t="n">
        <x:v>7</x:v>
      </x:c>
      <x:c r="N912" s="20" t="n">
        <x:v>0.4</x:v>
      </x:c>
      <x:c r="O912" s="20" t="n">
        <x:v>0.8</x:v>
      </x:c>
      <x:c r="P912" s="20" t="n">
        <x:v>0.25</x:v>
      </x:c>
      <x:c r="Q912" s="2" t="n">
        <x:v>42</x:v>
      </x:c>
      <x:c r="R912" s="2" t="str">
        <x:v>ISFJ</x:v>
      </x:c>
      <x:c r="S912" s="2" t="str">
        <x:v>华南</x:v>
      </x:c>
      <x:c r="T912" s="2" t="str">
        <x:v>专业技术岗位</x:v>
      </x:c>
    </x:row>
    <x:row r="913" ht="24" customHeight="1">
      <x:c r="A913" s="2" t="str">
        <x:v>D040_T07_C080_G025</x:v>
      </x:c>
      <x:c r="B913" s="2" t="str">
        <x:v>A0036</x:v>
      </x:c>
      <x:c r="C913" s="2" t="str">
        <x:v>inside</x:v>
      </x:c>
      <x:c r="D913" s="2" t="n">
        <x:v>7</x:v>
      </x:c>
      <x:c r="E913" s="2" t="n">
        <x:v>1</x:v>
      </x:c>
      <x:c r="F913" s="2" t="n">
        <x:v>10</x:v>
      </x:c>
      <x:c r="G913" s="2" t="str">
        <x:v>observed_post_release</x:v>
      </x:c>
      <x:c r="H913" s="2" t="n">
        <x:f>IF(AND(ISNUMBER(F913),F913&gt;=D913),1,0)</x:f>
        <x:v>1</x:v>
      </x:c>
      <x:c r="I913" s="2" t="n">
        <x:f>IF(AND(ISNUMBER(F913),F913&gt;D913),1,0)</x:f>
        <x:v>1</x:v>
      </x:c>
      <x:c r="J913" s="2" t="n">
        <x:f>IF(H913=1,F913-D913,"")</x:f>
        <x:v>3</x:v>
      </x:c>
      <x:c r="K913" s="2" t="n">
        <x:f>IF(H913=1,F913-E913,"")</x:f>
        <x:v>9</x:v>
      </x:c>
      <x:c r="L913" s="2" t="n">
        <x:v>9</x:v>
      </x:c>
      <x:c r="M913" s="2" t="n">
        <x:v>7</x:v>
      </x:c>
      <x:c r="N913" s="20" t="n">
        <x:v>0.4</x:v>
      </x:c>
      <x:c r="O913" s="20" t="n">
        <x:v>0.8</x:v>
      </x:c>
      <x:c r="P913" s="20" t="n">
        <x:v>0.25</x:v>
      </x:c>
      <x:c r="Q913" s="2" t="n">
        <x:v>43</x:v>
      </x:c>
      <x:c r="R913" s="2" t="str">
        <x:v>ISFJ</x:v>
      </x:c>
      <x:c r="S913" s="2" t="str">
        <x:v>华东</x:v>
      </x:c>
      <x:c r="T913" s="2" t="str">
        <x:v>生产运输或体力岗位</x:v>
      </x:c>
    </x:row>
    <x:row r="914" ht="24" customHeight="1">
      <x:c r="A914" s="2" t="str">
        <x:v>D040_T07_C080_G025</x:v>
      </x:c>
      <x:c r="B914" s="2" t="str">
        <x:v>A0037</x:v>
      </x:c>
      <x:c r="C914" s="2" t="str">
        <x:v>inside</x:v>
      </x:c>
      <x:c r="D914" s="2" t="n">
        <x:v>7</x:v>
      </x:c>
      <x:c r="E914" s="2" t="n">
        <x:v>1</x:v>
      </x:c>
      <x:c r="F914" s="2"/>
      <x:c r="G914" s="2" t="str">
        <x:v>right_censored</x:v>
      </x:c>
      <x:c r="H914" s="2" t="n">
        <x:f>IF(AND(ISNUMBER(F914),F914&gt;=D914),1,0)</x:f>
        <x:v>0</x:v>
      </x:c>
      <x:c r="I914" s="2" t="n">
        <x:f>IF(AND(ISNUMBER(F914),F914&gt;D914),1,0)</x:f>
        <x:v>0</x:v>
      </x:c>
      <x:c r="J914" s="2" t="str">
        <x:f>IF(H914=1,F914-D914,"")</x:f>
      </x:c>
      <x:c r="K914" s="2" t="str">
        <x:f>IF(H914=1,F914-E914,"")</x:f>
      </x:c>
      <x:c r="L914" s="2" t="n">
        <x:v>9</x:v>
      </x:c>
      <x:c r="M914" s="2" t="n">
        <x:v>7</x:v>
      </x:c>
      <x:c r="N914" s="20" t="n">
        <x:v>0.4</x:v>
      </x:c>
      <x:c r="O914" s="20" t="n">
        <x:v>0.8</x:v>
      </x:c>
      <x:c r="P914" s="20" t="n">
        <x:v>0.25</x:v>
      </x:c>
      <x:c r="Q914" s="2" t="n">
        <x:v>24</x:v>
      </x:c>
      <x:c r="R914" s="2" t="str">
        <x:v>ENTP</x:v>
      </x:c>
      <x:c r="S914" s="2" t="str">
        <x:v>华南</x:v>
      </x:c>
      <x:c r="T914" s="2" t="str">
        <x:v>在校学生</x:v>
      </x:c>
    </x:row>
    <x:row r="915" ht="24" customHeight="1">
      <x:c r="A915" s="2" t="str">
        <x:v>D040_T07_C080_G025</x:v>
      </x:c>
      <x:c r="B915" s="2" t="str">
        <x:v>A0038</x:v>
      </x:c>
      <x:c r="C915" s="2" t="str">
        <x:v>inside</x:v>
      </x:c>
      <x:c r="D915" s="2" t="n">
        <x:v>7</x:v>
      </x:c>
      <x:c r="E915" s="2" t="n">
        <x:v>1</x:v>
      </x:c>
      <x:c r="F915" s="2"/>
      <x:c r="G915" s="2" t="str">
        <x:v>right_censored</x:v>
      </x:c>
      <x:c r="H915" s="2" t="n">
        <x:f>IF(AND(ISNUMBER(F915),F915&gt;=D915),1,0)</x:f>
        <x:v>0</x:v>
      </x:c>
      <x:c r="I915" s="2" t="n">
        <x:f>IF(AND(ISNUMBER(F915),F915&gt;D915),1,0)</x:f>
        <x:v>0</x:v>
      </x:c>
      <x:c r="J915" s="2" t="str">
        <x:f>IF(H915=1,F915-D915,"")</x:f>
      </x:c>
      <x:c r="K915" s="2" t="str">
        <x:f>IF(H915=1,F915-E915,"")</x:f>
      </x:c>
      <x:c r="L915" s="2" t="n">
        <x:v>9</x:v>
      </x:c>
      <x:c r="M915" s="2" t="n">
        <x:v>7</x:v>
      </x:c>
      <x:c r="N915" s="20" t="n">
        <x:v>0.4</x:v>
      </x:c>
      <x:c r="O915" s="20" t="n">
        <x:v>0.8</x:v>
      </x:c>
      <x:c r="P915" s="20" t="n">
        <x:v>0.25</x:v>
      </x:c>
      <x:c r="Q915" s="2" t="n">
        <x:v>46</x:v>
      </x:c>
      <x:c r="R915" s="2" t="str">
        <x:v>ISTP</x:v>
      </x:c>
      <x:c r="S915" s="2" t="str">
        <x:v>华东</x:v>
      </x:c>
      <x:c r="T915" s="2" t="str">
        <x:v>行政或办公室岗位</x:v>
      </x:c>
    </x:row>
    <x:row r="916" ht="24" customHeight="1">
      <x:c r="A916" s="2" t="str">
        <x:v>D040_T07_C080_G025</x:v>
      </x:c>
      <x:c r="B916" s="2" t="str">
        <x:v>A0040</x:v>
      </x:c>
      <x:c r="C916" s="2" t="str">
        <x:v>inside</x:v>
      </x:c>
      <x:c r="D916" s="2" t="n">
        <x:v>7</x:v>
      </x:c>
      <x:c r="E916" s="2" t="n">
        <x:v>1</x:v>
      </x:c>
      <x:c r="F916" s="2"/>
      <x:c r="G916" s="2" t="str">
        <x:v>right_censored</x:v>
      </x:c>
      <x:c r="H916" s="2" t="n">
        <x:f>IF(AND(ISNUMBER(F916),F916&gt;=D916),1,0)</x:f>
        <x:v>0</x:v>
      </x:c>
      <x:c r="I916" s="2" t="n">
        <x:f>IF(AND(ISNUMBER(F916),F916&gt;D916),1,0)</x:f>
        <x:v>0</x:v>
      </x:c>
      <x:c r="J916" s="2" t="str">
        <x:f>IF(H916=1,F916-D916,"")</x:f>
      </x:c>
      <x:c r="K916" s="2" t="str">
        <x:f>IF(H916=1,F916-E916,"")</x:f>
      </x:c>
      <x:c r="L916" s="2" t="n">
        <x:v>9</x:v>
      </x:c>
      <x:c r="M916" s="2" t="n">
        <x:v>7</x:v>
      </x:c>
      <x:c r="N916" s="20" t="n">
        <x:v>0.4</x:v>
      </x:c>
      <x:c r="O916" s="20" t="n">
        <x:v>0.8</x:v>
      </x:c>
      <x:c r="P916" s="20" t="n">
        <x:v>0.25</x:v>
      </x:c>
      <x:c r="Q916" s="2" t="n">
        <x:v>48</x:v>
      </x:c>
      <x:c r="R916" s="2" t="str">
        <x:v>INFP</x:v>
      </x:c>
      <x:c r="S916" s="2" t="str">
        <x:v>西北</x:v>
      </x:c>
      <x:c r="T916" s="2" t="str">
        <x:v>个体经营或自由职业</x:v>
      </x:c>
    </x:row>
    <x:row r="917" ht="24" customHeight="1">
      <x:c r="A917" s="2" t="str">
        <x:v>D040_T07_C080_G025</x:v>
      </x:c>
      <x:c r="B917" s="2" t="str">
        <x:v>A0041</x:v>
      </x:c>
      <x:c r="C917" s="2" t="str">
        <x:v>inside</x:v>
      </x:c>
      <x:c r="D917" s="2" t="n">
        <x:v>7</x:v>
      </x:c>
      <x:c r="E917" s="2" t="n">
        <x:v>1</x:v>
      </x:c>
      <x:c r="F917" s="2"/>
      <x:c r="G917" s="2" t="str">
        <x:v>right_censored</x:v>
      </x:c>
      <x:c r="H917" s="2" t="n">
        <x:f>IF(AND(ISNUMBER(F917),F917&gt;=D917),1,0)</x:f>
        <x:v>0</x:v>
      </x:c>
      <x:c r="I917" s="2" t="n">
        <x:f>IF(AND(ISNUMBER(F917),F917&gt;D917),1,0)</x:f>
        <x:v>0</x:v>
      </x:c>
      <x:c r="J917" s="2" t="str">
        <x:f>IF(H917=1,F917-D917,"")</x:f>
      </x:c>
      <x:c r="K917" s="2" t="str">
        <x:f>IF(H917=1,F917-E917,"")</x:f>
      </x:c>
      <x:c r="L917" s="2" t="n">
        <x:v>9</x:v>
      </x:c>
      <x:c r="M917" s="2" t="n">
        <x:v>7</x:v>
      </x:c>
      <x:c r="N917" s="20" t="n">
        <x:v>0.4</x:v>
      </x:c>
      <x:c r="O917" s="20" t="n">
        <x:v>0.8</x:v>
      </x:c>
      <x:c r="P917" s="20" t="n">
        <x:v>0.25</x:v>
      </x:c>
      <x:c r="Q917" s="2" t="n">
        <x:v>62</x:v>
      </x:c>
      <x:c r="R917" s="2" t="str">
        <x:v>ISFJ</x:v>
      </x:c>
      <x:c r="S917" s="2" t="str">
        <x:v>西北</x:v>
      </x:c>
      <x:c r="T917" s="2" t="str">
        <x:v>个体经营或自由职业</x:v>
      </x:c>
    </x:row>
    <x:row r="918" ht="24" customHeight="1">
      <x:c r="A918" s="2" t="str">
        <x:v>D040_T07_C080_G025</x:v>
      </x:c>
      <x:c r="B918" s="2" t="str">
        <x:v>A0071</x:v>
      </x:c>
      <x:c r="C918" s="2" t="str">
        <x:v>inside</x:v>
      </x:c>
      <x:c r="D918" s="2" t="n">
        <x:v>7</x:v>
      </x:c>
      <x:c r="E918" s="2" t="n">
        <x:v>1</x:v>
      </x:c>
      <x:c r="F918" s="2"/>
      <x:c r="G918" s="2" t="str">
        <x:v>right_censored</x:v>
      </x:c>
      <x:c r="H918" s="2" t="n">
        <x:f>IF(AND(ISNUMBER(F918),F918&gt;=D918),1,0)</x:f>
        <x:v>0</x:v>
      </x:c>
      <x:c r="I918" s="2" t="n">
        <x:f>IF(AND(ISNUMBER(F918),F918&gt;D918),1,0)</x:f>
        <x:v>0</x:v>
      </x:c>
      <x:c r="J918" s="2" t="str">
        <x:f>IF(H918=1,F918-D918,"")</x:f>
      </x:c>
      <x:c r="K918" s="2" t="str">
        <x:f>IF(H918=1,F918-E918,"")</x:f>
      </x:c>
      <x:c r="L918" s="2" t="n">
        <x:v>9</x:v>
      </x:c>
      <x:c r="M918" s="2" t="n">
        <x:v>7</x:v>
      </x:c>
      <x:c r="N918" s="20" t="n">
        <x:v>0.4</x:v>
      </x:c>
      <x:c r="O918" s="20" t="n">
        <x:v>0.8</x:v>
      </x:c>
      <x:c r="P918" s="20" t="n">
        <x:v>0.25</x:v>
      </x:c>
      <x:c r="Q918" s="2" t="n">
        <x:v>33</x:v>
      </x:c>
      <x:c r="R918" s="2" t="str">
        <x:v>ISTJ</x:v>
      </x:c>
      <x:c r="S918" s="2" t="str">
        <x:v>华东</x:v>
      </x:c>
      <x:c r="T918" s="2" t="str">
        <x:v>商业服务岗位</x:v>
      </x:c>
    </x:row>
    <x:row r="919" ht="24" customHeight="1">
      <x:c r="A919" s="2" t="str">
        <x:v>D040_T07_C080_G025</x:v>
      </x:c>
      <x:c r="B919" s="2" t="str">
        <x:v>A0090</x:v>
      </x:c>
      <x:c r="C919" s="2" t="str">
        <x:v>inside</x:v>
      </x:c>
      <x:c r="D919" s="2" t="n">
        <x:v>7</x:v>
      </x:c>
      <x:c r="E919" s="2" t="n">
        <x:v>1</x:v>
      </x:c>
      <x:c r="F919" s="2"/>
      <x:c r="G919" s="2" t="str">
        <x:v>right_censored</x:v>
      </x:c>
      <x:c r="H919" s="2" t="n">
        <x:f>IF(AND(ISNUMBER(F919),F919&gt;=D919),1,0)</x:f>
        <x:v>0</x:v>
      </x:c>
      <x:c r="I919" s="2" t="n">
        <x:f>IF(AND(ISNUMBER(F919),F919&gt;D919),1,0)</x:f>
        <x:v>0</x:v>
      </x:c>
      <x:c r="J919" s="2" t="str">
        <x:f>IF(H919=1,F919-D919,"")</x:f>
      </x:c>
      <x:c r="K919" s="2" t="str">
        <x:f>IF(H919=1,F919-E919,"")</x:f>
      </x:c>
      <x:c r="L919" s="2" t="n">
        <x:v>9</x:v>
      </x:c>
      <x:c r="M919" s="2" t="n">
        <x:v>8</x:v>
      </x:c>
      <x:c r="N919" s="20" t="n">
        <x:v>0.4</x:v>
      </x:c>
      <x:c r="O919" s="20" t="n">
        <x:v>0.8</x:v>
      </x:c>
      <x:c r="P919" s="20" t="n">
        <x:v>0.25</x:v>
      </x:c>
      <x:c r="Q919" s="2" t="n">
        <x:v>46</x:v>
      </x:c>
      <x:c r="R919" s="2" t="str">
        <x:v>ENFJ</x:v>
      </x:c>
      <x:c r="S919" s="2" t="str">
        <x:v>西北</x:v>
      </x:c>
      <x:c r="T919" s="2" t="str">
        <x:v>个体经营或自由职业</x:v>
      </x:c>
    </x:row>
    <x:row r="920" ht="24" customHeight="1">
      <x:c r="A920" s="2" t="str">
        <x:v>D040_T07_C080_G025</x:v>
      </x:c>
      <x:c r="B920" s="2" t="str">
        <x:v>A0189</x:v>
      </x:c>
      <x:c r="C920" s="2" t="str">
        <x:v>inside</x:v>
      </x:c>
      <x:c r="D920" s="2" t="n">
        <x:v>7</x:v>
      </x:c>
      <x:c r="E920" s="2" t="n">
        <x:v>1</x:v>
      </x:c>
      <x:c r="F920" s="2"/>
      <x:c r="G920" s="2" t="str">
        <x:v>right_censored</x:v>
      </x:c>
      <x:c r="H920" s="2" t="n">
        <x:f>IF(AND(ISNUMBER(F920),F920&gt;=D920),1,0)</x:f>
        <x:v>0</x:v>
      </x:c>
      <x:c r="I920" s="2" t="n">
        <x:f>IF(AND(ISNUMBER(F920),F920&gt;D920),1,0)</x:f>
        <x:v>0</x:v>
      </x:c>
      <x:c r="J920" s="2" t="str">
        <x:f>IF(H920=1,F920-D920,"")</x:f>
      </x:c>
      <x:c r="K920" s="2" t="str">
        <x:f>IF(H920=1,F920-E920,"")</x:f>
      </x:c>
      <x:c r="L920" s="2" t="n">
        <x:v>9</x:v>
      </x:c>
      <x:c r="M920" s="2" t="n">
        <x:v>8</x:v>
      </x:c>
      <x:c r="N920" s="20" t="n">
        <x:v>0.4</x:v>
      </x:c>
      <x:c r="O920" s="20" t="n">
        <x:v>0.8</x:v>
      </x:c>
      <x:c r="P920" s="20" t="n">
        <x:v>0.25</x:v>
      </x:c>
      <x:c r="Q920" s="2" t="n">
        <x:v>45</x:v>
      </x:c>
      <x:c r="R920" s="2" t="str">
        <x:v>ISFJ</x:v>
      </x:c>
      <x:c r="S920" s="2" t="str">
        <x:v>西北</x:v>
      </x:c>
      <x:c r="T920" s="2" t="str">
        <x:v>生产运输或体力岗位</x:v>
      </x:c>
    </x:row>
    <x:row r="921" ht="24" customHeight="1">
      <x:c r="A921" s="2" t="str">
        <x:v>D040_T07_C080_G025</x:v>
      </x:c>
      <x:c r="B921" s="2" t="str">
        <x:v>A0206</x:v>
      </x:c>
      <x:c r="C921" s="2" t="str">
        <x:v>inside</x:v>
      </x:c>
      <x:c r="D921" s="2" t="n">
        <x:v>7</x:v>
      </x:c>
      <x:c r="E921" s="2" t="n">
        <x:v>1</x:v>
      </x:c>
      <x:c r="F921" s="2" t="n">
        <x:v>7</x:v>
      </x:c>
      <x:c r="G921" s="2" t="str">
        <x:v>observed_post_release</x:v>
      </x:c>
      <x:c r="H921" s="2" t="n">
        <x:f>IF(AND(ISNUMBER(F921),F921&gt;=D921),1,0)</x:f>
        <x:v>1</x:v>
      </x:c>
      <x:c r="I921" s="2" t="n">
        <x:f>IF(AND(ISNUMBER(F921),F921&gt;D921),1,0)</x:f>
        <x:v>0</x:v>
      </x:c>
      <x:c r="J921" s="2" t="n">
        <x:f>IF(H921=1,F921-D921,"")</x:f>
        <x:v>0</x:v>
      </x:c>
      <x:c r="K921" s="2" t="n">
        <x:f>IF(H921=1,F921-E921,"")</x:f>
        <x:v>6</x:v>
      </x:c>
      <x:c r="L921" s="2" t="n">
        <x:v>9</x:v>
      </x:c>
      <x:c r="M921" s="2" t="n">
        <x:v>7</x:v>
      </x:c>
      <x:c r="N921" s="20" t="n">
        <x:v>0.4</x:v>
      </x:c>
      <x:c r="O921" s="20" t="n">
        <x:v>0.8</x:v>
      </x:c>
      <x:c r="P921" s="20" t="n">
        <x:v>0.25</x:v>
      </x:c>
      <x:c r="Q921" s="2" t="n">
        <x:v>21</x:v>
      </x:c>
      <x:c r="R921" s="2" t="str">
        <x:v>ESTP</x:v>
      </x:c>
      <x:c r="S921" s="2" t="str">
        <x:v>西北</x:v>
      </x:c>
      <x:c r="T921" s="2" t="str">
        <x:v>暂未就业或家庭照料</x:v>
      </x:c>
    </x:row>
    <x:row r="922" ht="24" customHeight="1">
      <x:c r="A922" s="2" t="str">
        <x:v>D040_T07_C080_G050</x:v>
      </x:c>
      <x:c r="B922" s="2" t="str">
        <x:v>A0001</x:v>
      </x:c>
      <x:c r="C922" s="2" t="str">
        <x:v>inside</x:v>
      </x:c>
      <x:c r="D922" s="2" t="n">
        <x:v>7</x:v>
      </x:c>
      <x:c r="E922" s="2" t="n">
        <x:v>1</x:v>
      </x:c>
      <x:c r="F922" s="2" t="n">
        <x:v>7</x:v>
      </x:c>
      <x:c r="G922" s="2" t="str">
        <x:v>observed_post_release</x:v>
      </x:c>
      <x:c r="H922" s="2" t="n">
        <x:f>IF(AND(ISNUMBER(F922),F922&gt;=D922),1,0)</x:f>
        <x:v>1</x:v>
      </x:c>
      <x:c r="I922" s="2" t="n">
        <x:f>IF(AND(ISNUMBER(F922),F922&gt;D922),1,0)</x:f>
        <x:v>0</x:v>
      </x:c>
      <x:c r="J922" s="2" t="n">
        <x:f>IF(H922=1,F922-D922,"")</x:f>
        <x:v>0</x:v>
      </x:c>
      <x:c r="K922" s="2" t="n">
        <x:f>IF(H922=1,F922-E922,"")</x:f>
        <x:v>6</x:v>
      </x:c>
      <x:c r="L922" s="2" t="n">
        <x:v>9</x:v>
      </x:c>
      <x:c r="M922" s="2" t="n">
        <x:v>7</x:v>
      </x:c>
      <x:c r="N922" s="20" t="n">
        <x:v>0.4</x:v>
      </x:c>
      <x:c r="O922" s="20" t="n">
        <x:v>0.8</x:v>
      </x:c>
      <x:c r="P922" s="20" t="n">
        <x:v>0.5</x:v>
      </x:c>
      <x:c r="Q922" s="2" t="n">
        <x:v>22</x:v>
      </x:c>
      <x:c r="R922" s="2" t="str">
        <x:v>ESTJ</x:v>
      </x:c>
      <x:c r="S922" s="2" t="str">
        <x:v>华南</x:v>
      </x:c>
      <x:c r="T922" s="2" t="str">
        <x:v>在校学生</x:v>
      </x:c>
    </x:row>
    <x:row r="923" ht="24" customHeight="1">
      <x:c r="A923" s="2" t="str">
        <x:v>D040_T07_C080_G050</x:v>
      </x:c>
      <x:c r="B923" s="2" t="str">
        <x:v>A0002</x:v>
      </x:c>
      <x:c r="C923" s="2" t="str">
        <x:v>inside</x:v>
      </x:c>
      <x:c r="D923" s="2" t="n">
        <x:v>7</x:v>
      </x:c>
      <x:c r="E923" s="2" t="n">
        <x:v>1</x:v>
      </x:c>
      <x:c r="F923" s="2" t="n">
        <x:v>8</x:v>
      </x:c>
      <x:c r="G923" s="2" t="str">
        <x:v>observed_post_release</x:v>
      </x:c>
      <x:c r="H923" s="2" t="n">
        <x:f>IF(AND(ISNUMBER(F923),F923&gt;=D923),1,0)</x:f>
        <x:v>1</x:v>
      </x:c>
      <x:c r="I923" s="2" t="n">
        <x:f>IF(AND(ISNUMBER(F923),F923&gt;D923),1,0)</x:f>
        <x:v>1</x:v>
      </x:c>
      <x:c r="J923" s="2" t="n">
        <x:f>IF(H923=1,F923-D923,"")</x:f>
        <x:v>1</x:v>
      </x:c>
      <x:c r="K923" s="2" t="n">
        <x:f>IF(H923=1,F923-E923,"")</x:f>
        <x:v>7</x:v>
      </x:c>
      <x:c r="L923" s="2" t="n">
        <x:v>9</x:v>
      </x:c>
      <x:c r="M923" s="2" t="n">
        <x:v>8</x:v>
      </x:c>
      <x:c r="N923" s="20" t="n">
        <x:v>0.4</x:v>
      </x:c>
      <x:c r="O923" s="20" t="n">
        <x:v>0.8</x:v>
      </x:c>
      <x:c r="P923" s="20" t="n">
        <x:v>0.5</x:v>
      </x:c>
      <x:c r="Q923" s="2" t="n">
        <x:v>19</x:v>
      </x:c>
      <x:c r="R923" s="2" t="str">
        <x:v>ESTP</x:v>
      </x:c>
      <x:c r="S923" s="2" t="str">
        <x:v>华南</x:v>
      </x:c>
      <x:c r="T923" s="2" t="str">
        <x:v>商业服务岗位</x:v>
      </x:c>
    </x:row>
    <x:row r="924" ht="24" customHeight="1">
      <x:c r="A924" s="2" t="str">
        <x:v>D040_T07_C080_G050</x:v>
      </x:c>
      <x:c r="B924" s="2" t="str">
        <x:v>A0005</x:v>
      </x:c>
      <x:c r="C924" s="2" t="str">
        <x:v>inside</x:v>
      </x:c>
      <x:c r="D924" s="2" t="n">
        <x:v>7</x:v>
      </x:c>
      <x:c r="E924" s="2" t="n">
        <x:v>1</x:v>
      </x:c>
      <x:c r="F924" s="2" t="n">
        <x:v>8</x:v>
      </x:c>
      <x:c r="G924" s="2" t="str">
        <x:v>observed_post_release</x:v>
      </x:c>
      <x:c r="H924" s="2" t="n">
        <x:f>IF(AND(ISNUMBER(F924),F924&gt;=D924),1,0)</x:f>
        <x:v>1</x:v>
      </x:c>
      <x:c r="I924" s="2" t="n">
        <x:f>IF(AND(ISNUMBER(F924),F924&gt;D924),1,0)</x:f>
        <x:v>1</x:v>
      </x:c>
      <x:c r="J924" s="2" t="n">
        <x:f>IF(H924=1,F924-D924,"")</x:f>
        <x:v>1</x:v>
      </x:c>
      <x:c r="K924" s="2" t="n">
        <x:f>IF(H924=1,F924-E924,"")</x:f>
        <x:v>7</x:v>
      </x:c>
      <x:c r="L924" s="2" t="n">
        <x:v>9</x:v>
      </x:c>
      <x:c r="M924" s="2" t="n">
        <x:v>7</x:v>
      </x:c>
      <x:c r="N924" s="20" t="n">
        <x:v>0.4</x:v>
      </x:c>
      <x:c r="O924" s="20" t="n">
        <x:v>0.8</x:v>
      </x:c>
      <x:c r="P924" s="20" t="n">
        <x:v>0.5</x:v>
      </x:c>
      <x:c r="Q924" s="2" t="n">
        <x:v>51</x:v>
      </x:c>
      <x:c r="R924" s="2" t="str">
        <x:v>ISTP</x:v>
      </x:c>
      <x:c r="S924" s="2" t="str">
        <x:v>华南</x:v>
      </x:c>
      <x:c r="T924" s="2" t="str">
        <x:v>生产运输或体力岗位</x:v>
      </x:c>
    </x:row>
    <x:row r="925" ht="24" customHeight="1">
      <x:c r="A925" s="2" t="str">
        <x:v>D040_T07_C080_G050</x:v>
      </x:c>
      <x:c r="B925" s="2" t="str">
        <x:v>A0007</x:v>
      </x:c>
      <x:c r="C925" s="2" t="str">
        <x:v>inside</x:v>
      </x:c>
      <x:c r="D925" s="2" t="n">
        <x:v>7</x:v>
      </x:c>
      <x:c r="E925" s="2" t="n">
        <x:v>3</x:v>
      </x:c>
      <x:c r="F925" s="2" t="n">
        <x:v>7</x:v>
      </x:c>
      <x:c r="G925" s="2" t="str">
        <x:v>observed_post_release</x:v>
      </x:c>
      <x:c r="H925" s="2" t="n">
        <x:f>IF(AND(ISNUMBER(F925),F925&gt;=D925),1,0)</x:f>
        <x:v>1</x:v>
      </x:c>
      <x:c r="I925" s="2" t="n">
        <x:f>IF(AND(ISNUMBER(F925),F925&gt;D925),1,0)</x:f>
        <x:v>0</x:v>
      </x:c>
      <x:c r="J925" s="2" t="n">
        <x:f>IF(H925=1,F925-D925,"")</x:f>
        <x:v>0</x:v>
      </x:c>
      <x:c r="K925" s="2" t="n">
        <x:f>IF(H925=1,F925-E925,"")</x:f>
        <x:v>4</x:v>
      </x:c>
      <x:c r="L925" s="2" t="n">
        <x:v>7</x:v>
      </x:c>
      <x:c r="M925" s="2" t="n">
        <x:v>7</x:v>
      </x:c>
      <x:c r="N925" s="20" t="n">
        <x:v>0.4</x:v>
      </x:c>
      <x:c r="O925" s="20" t="n">
        <x:v>0.8</x:v>
      </x:c>
      <x:c r="P925" s="20" t="n">
        <x:v>0.5</x:v>
      </x:c>
      <x:c r="Q925" s="2" t="n">
        <x:v>36</x:v>
      </x:c>
      <x:c r="R925" s="2" t="str">
        <x:v>INFJ</x:v>
      </x:c>
      <x:c r="S925" s="2" t="str">
        <x:v>华东</x:v>
      </x:c>
      <x:c r="T925" s="2" t="str">
        <x:v>行政或办公室岗位</x:v>
      </x:c>
    </x:row>
    <x:row r="926" ht="24" customHeight="1">
      <x:c r="A926" s="2" t="str">
        <x:v>D040_T07_C080_G050</x:v>
      </x:c>
      <x:c r="B926" s="2" t="str">
        <x:v>A0008</x:v>
      </x:c>
      <x:c r="C926" s="2" t="str">
        <x:v>inside</x:v>
      </x:c>
      <x:c r="D926" s="2" t="n">
        <x:v>7</x:v>
      </x:c>
      <x:c r="E926" s="2" t="n">
        <x:v>1</x:v>
      </x:c>
      <x:c r="F926" s="2" t="n">
        <x:v>7</x:v>
      </x:c>
      <x:c r="G926" s="2" t="str">
        <x:v>observed_post_release</x:v>
      </x:c>
      <x:c r="H926" s="2" t="n">
        <x:f>IF(AND(ISNUMBER(F926),F926&gt;=D926),1,0)</x:f>
        <x:v>1</x:v>
      </x:c>
      <x:c r="I926" s="2" t="n">
        <x:f>IF(AND(ISNUMBER(F926),F926&gt;D926),1,0)</x:f>
        <x:v>0</x:v>
      </x:c>
      <x:c r="J926" s="2" t="n">
        <x:f>IF(H926=1,F926-D926,"")</x:f>
        <x:v>0</x:v>
      </x:c>
      <x:c r="K926" s="2" t="n">
        <x:f>IF(H926=1,F926-E926,"")</x:f>
        <x:v>6</x:v>
      </x:c>
      <x:c r="L926" s="2" t="n">
        <x:v>9</x:v>
      </x:c>
      <x:c r="M926" s="2" t="n">
        <x:v>7</x:v>
      </x:c>
      <x:c r="N926" s="20" t="n">
        <x:v>0.4</x:v>
      </x:c>
      <x:c r="O926" s="20" t="n">
        <x:v>0.8</x:v>
      </x:c>
      <x:c r="P926" s="20" t="n">
        <x:v>0.5</x:v>
      </x:c>
      <x:c r="Q926" s="2" t="n">
        <x:v>36</x:v>
      </x:c>
      <x:c r="R926" s="2" t="str">
        <x:v>ISFP</x:v>
      </x:c>
      <x:c r="S926" s="2" t="str">
        <x:v>华南</x:v>
      </x:c>
      <x:c r="T926" s="2" t="str">
        <x:v>生产运输或体力岗位</x:v>
      </x:c>
    </x:row>
    <x:row r="927" ht="24" customHeight="1">
      <x:c r="A927" s="2" t="str">
        <x:v>D040_T07_C080_G050</x:v>
      </x:c>
      <x:c r="B927" s="2" t="str">
        <x:v>A0010</x:v>
      </x:c>
      <x:c r="C927" s="2" t="str">
        <x:v>inside</x:v>
      </x:c>
      <x:c r="D927" s="2" t="n">
        <x:v>7</x:v>
      </x:c>
      <x:c r="E927" s="2" t="n">
        <x:v>6</x:v>
      </x:c>
      <x:c r="F927" s="2" t="n">
        <x:v>8</x:v>
      </x:c>
      <x:c r="G927" s="2" t="str">
        <x:v>observed_post_release</x:v>
      </x:c>
      <x:c r="H927" s="2" t="n">
        <x:f>IF(AND(ISNUMBER(F927),F927&gt;=D927),1,0)</x:f>
        <x:v>1</x:v>
      </x:c>
      <x:c r="I927" s="2" t="n">
        <x:f>IF(AND(ISNUMBER(F927),F927&gt;D927),1,0)</x:f>
        <x:v>1</x:v>
      </x:c>
      <x:c r="J927" s="2" t="n">
        <x:f>IF(H927=1,F927-D927,"")</x:f>
        <x:v>1</x:v>
      </x:c>
      <x:c r="K927" s="2" t="n">
        <x:f>IF(H927=1,F927-E927,"")</x:f>
        <x:v>2</x:v>
      </x:c>
      <x:c r="L927" s="2" t="n">
        <x:v>4</x:v>
      </x:c>
      <x:c r="M927" s="2" t="n">
        <x:v>8</x:v>
      </x:c>
      <x:c r="N927" s="20" t="n">
        <x:v>0.4</x:v>
      </x:c>
      <x:c r="O927" s="20" t="n">
        <x:v>0.8</x:v>
      </x:c>
      <x:c r="P927" s="20" t="n">
        <x:v>0.5</x:v>
      </x:c>
      <x:c r="Q927" s="2" t="n">
        <x:v>23</x:v>
      </x:c>
      <x:c r="R927" s="2" t="str">
        <x:v>INFP</x:v>
      </x:c>
      <x:c r="S927" s="2" t="str">
        <x:v>华东</x:v>
      </x:c>
      <x:c r="T927" s="2" t="str">
        <x:v>在校学生</x:v>
      </x:c>
    </x:row>
    <x:row r="928" ht="24" customHeight="1">
      <x:c r="A928" s="2" t="str">
        <x:v>D040_T07_C080_G050</x:v>
      </x:c>
      <x:c r="B928" s="2" t="str">
        <x:v>A0011</x:v>
      </x:c>
      <x:c r="C928" s="2" t="str">
        <x:v>inside</x:v>
      </x:c>
      <x:c r="D928" s="2" t="n">
        <x:v>7</x:v>
      </x:c>
      <x:c r="E928" s="2" t="n">
        <x:v>1</x:v>
      </x:c>
      <x:c r="F928" s="2"/>
      <x:c r="G928" s="2" t="str">
        <x:v>right_censored</x:v>
      </x:c>
      <x:c r="H928" s="2" t="n">
        <x:f>IF(AND(ISNUMBER(F928),F928&gt;=D928),1,0)</x:f>
        <x:v>0</x:v>
      </x:c>
      <x:c r="I928" s="2" t="n">
        <x:f>IF(AND(ISNUMBER(F928),F928&gt;D928),1,0)</x:f>
        <x:v>0</x:v>
      </x:c>
      <x:c r="J928" s="2" t="str">
        <x:f>IF(H928=1,F928-D928,"")</x:f>
      </x:c>
      <x:c r="K928" s="2" t="str">
        <x:f>IF(H928=1,F928-E928,"")</x:f>
      </x:c>
      <x:c r="L928" s="2" t="n">
        <x:v>9</x:v>
      </x:c>
      <x:c r="M928" s="2"/>
      <x:c r="N928" s="20" t="n">
        <x:v>0.4</x:v>
      </x:c>
      <x:c r="O928" s="20" t="n">
        <x:v>0.8</x:v>
      </x:c>
      <x:c r="P928" s="20" t="n">
        <x:v>0.5</x:v>
      </x:c>
      <x:c r="Q928" s="2" t="n">
        <x:v>42</x:v>
      </x:c>
      <x:c r="R928" s="2" t="str">
        <x:v>ENFJ</x:v>
      </x:c>
      <x:c r="S928" s="2" t="str">
        <x:v>西南</x:v>
      </x:c>
      <x:c r="T928" s="2" t="str">
        <x:v>行政或办公室岗位</x:v>
      </x:c>
    </x:row>
    <x:row r="929" ht="24" customHeight="1">
      <x:c r="A929" s="2" t="str">
        <x:v>D040_T07_C080_G050</x:v>
      </x:c>
      <x:c r="B929" s="2" t="str">
        <x:v>A0012</x:v>
      </x:c>
      <x:c r="C929" s="2" t="str">
        <x:v>inside</x:v>
      </x:c>
      <x:c r="D929" s="2" t="n">
        <x:v>7</x:v>
      </x:c>
      <x:c r="E929" s="2" t="n">
        <x:v>1</x:v>
      </x:c>
      <x:c r="F929" s="2" t="n">
        <x:v>10</x:v>
      </x:c>
      <x:c r="G929" s="2" t="str">
        <x:v>observed_post_release</x:v>
      </x:c>
      <x:c r="H929" s="2" t="n">
        <x:f>IF(AND(ISNUMBER(F929),F929&gt;=D929),1,0)</x:f>
        <x:v>1</x:v>
      </x:c>
      <x:c r="I929" s="2" t="n">
        <x:f>IF(AND(ISNUMBER(F929),F929&gt;D929),1,0)</x:f>
        <x:v>1</x:v>
      </x:c>
      <x:c r="J929" s="2" t="n">
        <x:f>IF(H929=1,F929-D929,"")</x:f>
        <x:v>3</x:v>
      </x:c>
      <x:c r="K929" s="2" t="n">
        <x:f>IF(H929=1,F929-E929,"")</x:f>
        <x:v>9</x:v>
      </x:c>
      <x:c r="L929" s="2" t="n">
        <x:v>9</x:v>
      </x:c>
      <x:c r="M929" s="2" t="n">
        <x:v>7</x:v>
      </x:c>
      <x:c r="N929" s="20" t="n">
        <x:v>0.4</x:v>
      </x:c>
      <x:c r="O929" s="20" t="n">
        <x:v>0.8</x:v>
      </x:c>
      <x:c r="P929" s="20" t="n">
        <x:v>0.5</x:v>
      </x:c>
      <x:c r="Q929" s="2" t="n">
        <x:v>38</x:v>
      </x:c>
      <x:c r="R929" s="2" t="str">
        <x:v>ESFP</x:v>
      </x:c>
      <x:c r="S929" s="2" t="str">
        <x:v>华中</x:v>
      </x:c>
      <x:c r="T929" s="2" t="str">
        <x:v>行政或办公室岗位</x:v>
      </x:c>
    </x:row>
    <x:row r="930" ht="24" customHeight="1">
      <x:c r="A930" s="2" t="str">
        <x:v>D040_T07_C080_G050</x:v>
      </x:c>
      <x:c r="B930" s="2" t="str">
        <x:v>A0016</x:v>
      </x:c>
      <x:c r="C930" s="2" t="str">
        <x:v>inside</x:v>
      </x:c>
      <x:c r="D930" s="2" t="n">
        <x:v>7</x:v>
      </x:c>
      <x:c r="E930" s="2" t="n">
        <x:v>1</x:v>
      </x:c>
      <x:c r="F930" s="2" t="n">
        <x:v>8</x:v>
      </x:c>
      <x:c r="G930" s="2" t="str">
        <x:v>observed_post_release</x:v>
      </x:c>
      <x:c r="H930" s="2" t="n">
        <x:f>IF(AND(ISNUMBER(F930),F930&gt;=D930),1,0)</x:f>
        <x:v>1</x:v>
      </x:c>
      <x:c r="I930" s="2" t="n">
        <x:f>IF(AND(ISNUMBER(F930),F930&gt;D930),1,0)</x:f>
        <x:v>1</x:v>
      </x:c>
      <x:c r="J930" s="2" t="n">
        <x:f>IF(H930=1,F930-D930,"")</x:f>
        <x:v>1</x:v>
      </x:c>
      <x:c r="K930" s="2" t="n">
        <x:f>IF(H930=1,F930-E930,"")</x:f>
        <x:v>7</x:v>
      </x:c>
      <x:c r="L930" s="2" t="n">
        <x:v>9</x:v>
      </x:c>
      <x:c r="M930" s="2" t="n">
        <x:v>7</x:v>
      </x:c>
      <x:c r="N930" s="20" t="n">
        <x:v>0.4</x:v>
      </x:c>
      <x:c r="O930" s="20" t="n">
        <x:v>0.8</x:v>
      </x:c>
      <x:c r="P930" s="20" t="n">
        <x:v>0.5</x:v>
      </x:c>
      <x:c r="Q930" s="2" t="n">
        <x:v>60</x:v>
      </x:c>
      <x:c r="R930" s="2" t="str">
        <x:v>ESFJ</x:v>
      </x:c>
      <x:c r="S930" s="2" t="str">
        <x:v>华北</x:v>
      </x:c>
      <x:c r="T930" s="2" t="str">
        <x:v>个体经营或自由职业</x:v>
      </x:c>
    </x:row>
    <x:row r="931" ht="24" customHeight="1">
      <x:c r="A931" s="2" t="str">
        <x:v>D040_T07_C080_G050</x:v>
      </x:c>
      <x:c r="B931" s="2" t="str">
        <x:v>A0017</x:v>
      </x:c>
      <x:c r="C931" s="2" t="str">
        <x:v>inside</x:v>
      </x:c>
      <x:c r="D931" s="2" t="n">
        <x:v>7</x:v>
      </x:c>
      <x:c r="E931" s="2" t="n">
        <x:v>1</x:v>
      </x:c>
      <x:c r="F931" s="2" t="n">
        <x:v>9</x:v>
      </x:c>
      <x:c r="G931" s="2" t="str">
        <x:v>observed_post_release</x:v>
      </x:c>
      <x:c r="H931" s="2" t="n">
        <x:f>IF(AND(ISNUMBER(F931),F931&gt;=D931),1,0)</x:f>
        <x:v>1</x:v>
      </x:c>
      <x:c r="I931" s="2" t="n">
        <x:f>IF(AND(ISNUMBER(F931),F931&gt;D931),1,0)</x:f>
        <x:v>1</x:v>
      </x:c>
      <x:c r="J931" s="2" t="n">
        <x:f>IF(H931=1,F931-D931,"")</x:f>
        <x:v>2</x:v>
      </x:c>
      <x:c r="K931" s="2" t="n">
        <x:f>IF(H931=1,F931-E931,"")</x:f>
        <x:v>8</x:v>
      </x:c>
      <x:c r="L931" s="2" t="n">
        <x:v>9</x:v>
      </x:c>
      <x:c r="M931" s="2" t="n">
        <x:v>9</x:v>
      </x:c>
      <x:c r="N931" s="20" t="n">
        <x:v>0.4</x:v>
      </x:c>
      <x:c r="O931" s="20" t="n">
        <x:v>0.8</x:v>
      </x:c>
      <x:c r="P931" s="20" t="n">
        <x:v>0.5</x:v>
      </x:c>
      <x:c r="Q931" s="2" t="n">
        <x:v>30</x:v>
      </x:c>
      <x:c r="R931" s="2" t="str">
        <x:v>ISTJ</x:v>
      </x:c>
      <x:c r="S931" s="2" t="str">
        <x:v>华东</x:v>
      </x:c>
      <x:c r="T931" s="2" t="str">
        <x:v>商业服务岗位</x:v>
      </x:c>
    </x:row>
    <x:row r="932" ht="24" customHeight="1">
      <x:c r="A932" s="2" t="str">
        <x:v>D040_T07_C080_G050</x:v>
      </x:c>
      <x:c r="B932" s="2" t="str">
        <x:v>A0018</x:v>
      </x:c>
      <x:c r="C932" s="2" t="str">
        <x:v>inside</x:v>
      </x:c>
      <x:c r="D932" s="2" t="n">
        <x:v>7</x:v>
      </x:c>
      <x:c r="E932" s="2" t="n">
        <x:v>1</x:v>
      </x:c>
      <x:c r="F932" s="2" t="n">
        <x:v>7</x:v>
      </x:c>
      <x:c r="G932" s="2" t="str">
        <x:v>observed_post_release</x:v>
      </x:c>
      <x:c r="H932" s="2" t="n">
        <x:f>IF(AND(ISNUMBER(F932),F932&gt;=D932),1,0)</x:f>
        <x:v>1</x:v>
      </x:c>
      <x:c r="I932" s="2" t="n">
        <x:f>IF(AND(ISNUMBER(F932),F932&gt;D932),1,0)</x:f>
        <x:v>0</x:v>
      </x:c>
      <x:c r="J932" s="2" t="n">
        <x:f>IF(H932=1,F932-D932,"")</x:f>
        <x:v>0</x:v>
      </x:c>
      <x:c r="K932" s="2" t="n">
        <x:f>IF(H932=1,F932-E932,"")</x:f>
        <x:v>6</x:v>
      </x:c>
      <x:c r="L932" s="2" t="n">
        <x:v>9</x:v>
      </x:c>
      <x:c r="M932" s="2" t="n">
        <x:v>7</x:v>
      </x:c>
      <x:c r="N932" s="20" t="n">
        <x:v>0.4</x:v>
      </x:c>
      <x:c r="O932" s="20" t="n">
        <x:v>0.8</x:v>
      </x:c>
      <x:c r="P932" s="20" t="n">
        <x:v>0.5</x:v>
      </x:c>
      <x:c r="Q932" s="2" t="n">
        <x:v>60</x:v>
      </x:c>
      <x:c r="R932" s="2" t="str">
        <x:v>INTJ</x:v>
      </x:c>
      <x:c r="S932" s="2" t="str">
        <x:v>华南</x:v>
      </x:c>
      <x:c r="T932" s="2" t="str">
        <x:v>专业技术岗位</x:v>
      </x:c>
    </x:row>
    <x:row r="933" ht="24" customHeight="1">
      <x:c r="A933" s="2" t="str">
        <x:v>D040_T07_C080_G050</x:v>
      </x:c>
      <x:c r="B933" s="2" t="str">
        <x:v>A0019</x:v>
      </x:c>
      <x:c r="C933" s="2" t="str">
        <x:v>inside</x:v>
      </x:c>
      <x:c r="D933" s="2" t="n">
        <x:v>7</x:v>
      </x:c>
      <x:c r="E933" s="2" t="n">
        <x:v>1</x:v>
      </x:c>
      <x:c r="F933" s="2" t="n">
        <x:v>7</x:v>
      </x:c>
      <x:c r="G933" s="2" t="str">
        <x:v>observed_post_release</x:v>
      </x:c>
      <x:c r="H933" s="2" t="n">
        <x:f>IF(AND(ISNUMBER(F933),F933&gt;=D933),1,0)</x:f>
        <x:v>1</x:v>
      </x:c>
      <x:c r="I933" s="2" t="n">
        <x:f>IF(AND(ISNUMBER(F933),F933&gt;D933),1,0)</x:f>
        <x:v>0</x:v>
      </x:c>
      <x:c r="J933" s="2" t="n">
        <x:f>IF(H933=1,F933-D933,"")</x:f>
        <x:v>0</x:v>
      </x:c>
      <x:c r="K933" s="2" t="n">
        <x:f>IF(H933=1,F933-E933,"")</x:f>
        <x:v>6</x:v>
      </x:c>
      <x:c r="L933" s="2" t="n">
        <x:v>9</x:v>
      </x:c>
      <x:c r="M933" s="2" t="n">
        <x:v>7</x:v>
      </x:c>
      <x:c r="N933" s="20" t="n">
        <x:v>0.4</x:v>
      </x:c>
      <x:c r="O933" s="20" t="n">
        <x:v>0.8</x:v>
      </x:c>
      <x:c r="P933" s="20" t="n">
        <x:v>0.5</x:v>
      </x:c>
      <x:c r="Q933" s="2" t="n">
        <x:v>19</x:v>
      </x:c>
      <x:c r="R933" s="2" t="str">
        <x:v>INTJ</x:v>
      </x:c>
      <x:c r="S933" s="2" t="str">
        <x:v>西南</x:v>
      </x:c>
      <x:c r="T933" s="2" t="str">
        <x:v>行政或办公室岗位</x:v>
      </x:c>
    </x:row>
    <x:row r="934" ht="24" customHeight="1">
      <x:c r="A934" s="2" t="str">
        <x:v>D040_T07_C080_G050</x:v>
      </x:c>
      <x:c r="B934" s="2" t="str">
        <x:v>A0020</x:v>
      </x:c>
      <x:c r="C934" s="2" t="str">
        <x:v>inside</x:v>
      </x:c>
      <x:c r="D934" s="2" t="n">
        <x:v>7</x:v>
      </x:c>
      <x:c r="E934" s="2" t="n">
        <x:v>1</x:v>
      </x:c>
      <x:c r="F934" s="2" t="n">
        <x:v>8</x:v>
      </x:c>
      <x:c r="G934" s="2" t="str">
        <x:v>observed_post_release</x:v>
      </x:c>
      <x:c r="H934" s="2" t="n">
        <x:f>IF(AND(ISNUMBER(F934),F934&gt;=D934),1,0)</x:f>
        <x:v>1</x:v>
      </x:c>
      <x:c r="I934" s="2" t="n">
        <x:f>IF(AND(ISNUMBER(F934),F934&gt;D934),1,0)</x:f>
        <x:v>1</x:v>
      </x:c>
      <x:c r="J934" s="2" t="n">
        <x:f>IF(H934=1,F934-D934,"")</x:f>
        <x:v>1</x:v>
      </x:c>
      <x:c r="K934" s="2" t="n">
        <x:f>IF(H934=1,F934-E934,"")</x:f>
        <x:v>7</x:v>
      </x:c>
      <x:c r="L934" s="2" t="n">
        <x:v>9</x:v>
      </x:c>
      <x:c r="M934" s="2" t="n">
        <x:v>7</x:v>
      </x:c>
      <x:c r="N934" s="20" t="n">
        <x:v>0.4</x:v>
      </x:c>
      <x:c r="O934" s="20" t="n">
        <x:v>0.8</x:v>
      </x:c>
      <x:c r="P934" s="20" t="n">
        <x:v>0.5</x:v>
      </x:c>
      <x:c r="Q934" s="2" t="n">
        <x:v>42</x:v>
      </x:c>
      <x:c r="R934" s="2" t="str">
        <x:v>ENTJ</x:v>
      </x:c>
      <x:c r="S934" s="2" t="str">
        <x:v>西南</x:v>
      </x:c>
      <x:c r="T934" s="2" t="str">
        <x:v>行政或办公室岗位</x:v>
      </x:c>
    </x:row>
    <x:row r="935" ht="24" customHeight="1">
      <x:c r="A935" s="2" t="str">
        <x:v>D040_T07_C080_G050</x:v>
      </x:c>
      <x:c r="B935" s="2" t="str">
        <x:v>A0022</x:v>
      </x:c>
      <x:c r="C935" s="2" t="str">
        <x:v>inside</x:v>
      </x:c>
      <x:c r="D935" s="2" t="n">
        <x:v>7</x:v>
      </x:c>
      <x:c r="E935" s="2" t="n">
        <x:v>1</x:v>
      </x:c>
      <x:c r="F935" s="2" t="n">
        <x:v>8</x:v>
      </x:c>
      <x:c r="G935" s="2" t="str">
        <x:v>observed_post_release</x:v>
      </x:c>
      <x:c r="H935" s="2" t="n">
        <x:f>IF(AND(ISNUMBER(F935),F935&gt;=D935),1,0)</x:f>
        <x:v>1</x:v>
      </x:c>
      <x:c r="I935" s="2" t="n">
        <x:f>IF(AND(ISNUMBER(F935),F935&gt;D935),1,0)</x:f>
        <x:v>1</x:v>
      </x:c>
      <x:c r="J935" s="2" t="n">
        <x:f>IF(H935=1,F935-D935,"")</x:f>
        <x:v>1</x:v>
      </x:c>
      <x:c r="K935" s="2" t="n">
        <x:f>IF(H935=1,F935-E935,"")</x:f>
        <x:v>7</x:v>
      </x:c>
      <x:c r="L935" s="2" t="n">
        <x:v>9</x:v>
      </x:c>
      <x:c r="M935" s="2" t="n">
        <x:v>7</x:v>
      </x:c>
      <x:c r="N935" s="20" t="n">
        <x:v>0.4</x:v>
      </x:c>
      <x:c r="O935" s="20" t="n">
        <x:v>0.8</x:v>
      </x:c>
      <x:c r="P935" s="20" t="n">
        <x:v>0.5</x:v>
      </x:c>
      <x:c r="Q935" s="2" t="n">
        <x:v>51</x:v>
      </x:c>
      <x:c r="R935" s="2" t="str">
        <x:v>INFJ</x:v>
      </x:c>
      <x:c r="S935" s="2" t="str">
        <x:v>西南</x:v>
      </x:c>
      <x:c r="T935" s="2" t="str">
        <x:v>个体经营或自由职业</x:v>
      </x:c>
    </x:row>
    <x:row r="936" ht="24" customHeight="1">
      <x:c r="A936" s="2" t="str">
        <x:v>D040_T07_C080_G050</x:v>
      </x:c>
      <x:c r="B936" s="2" t="str">
        <x:v>A0024</x:v>
      </x:c>
      <x:c r="C936" s="2" t="str">
        <x:v>inside</x:v>
      </x:c>
      <x:c r="D936" s="2" t="n">
        <x:v>7</x:v>
      </x:c>
      <x:c r="E936" s="2" t="n">
        <x:v>1</x:v>
      </x:c>
      <x:c r="F936" s="2"/>
      <x:c r="G936" s="2" t="str">
        <x:v>right_censored</x:v>
      </x:c>
      <x:c r="H936" s="2" t="n">
        <x:f>IF(AND(ISNUMBER(F936),F936&gt;=D936),1,0)</x:f>
        <x:v>0</x:v>
      </x:c>
      <x:c r="I936" s="2" t="n">
        <x:f>IF(AND(ISNUMBER(F936),F936&gt;D936),1,0)</x:f>
        <x:v>0</x:v>
      </x:c>
      <x:c r="J936" s="2" t="str">
        <x:f>IF(H936=1,F936-D936,"")</x:f>
      </x:c>
      <x:c r="K936" s="2" t="str">
        <x:f>IF(H936=1,F936-E936,"")</x:f>
      </x:c>
      <x:c r="L936" s="2" t="n">
        <x:v>9</x:v>
      </x:c>
      <x:c r="M936" s="2" t="n">
        <x:v>7</x:v>
      </x:c>
      <x:c r="N936" s="20" t="n">
        <x:v>0.4</x:v>
      </x:c>
      <x:c r="O936" s="20" t="n">
        <x:v>0.8</x:v>
      </x:c>
      <x:c r="P936" s="20" t="n">
        <x:v>0.5</x:v>
      </x:c>
      <x:c r="Q936" s="2" t="n">
        <x:v>31</x:v>
      </x:c>
      <x:c r="R936" s="2" t="str">
        <x:v>ESTP</x:v>
      </x:c>
      <x:c r="S936" s="2" t="str">
        <x:v>华北</x:v>
      </x:c>
      <x:c r="T936" s="2" t="str">
        <x:v>商业服务岗位</x:v>
      </x:c>
    </x:row>
    <x:row r="937" ht="24" customHeight="1">
      <x:c r="A937" s="2" t="str">
        <x:v>D040_T07_C080_G050</x:v>
      </x:c>
      <x:c r="B937" s="2" t="str">
        <x:v>A0025</x:v>
      </x:c>
      <x:c r="C937" s="2" t="str">
        <x:v>inside</x:v>
      </x:c>
      <x:c r="D937" s="2" t="n">
        <x:v>7</x:v>
      </x:c>
      <x:c r="E937" s="2" t="n">
        <x:v>1</x:v>
      </x:c>
      <x:c r="F937" s="2" t="n">
        <x:v>7</x:v>
      </x:c>
      <x:c r="G937" s="2" t="str">
        <x:v>observed_post_release</x:v>
      </x:c>
      <x:c r="H937" s="2" t="n">
        <x:f>IF(AND(ISNUMBER(F937),F937&gt;=D937),1,0)</x:f>
        <x:v>1</x:v>
      </x:c>
      <x:c r="I937" s="2" t="n">
        <x:f>IF(AND(ISNUMBER(F937),F937&gt;D937),1,0)</x:f>
        <x:v>0</x:v>
      </x:c>
      <x:c r="J937" s="2" t="n">
        <x:f>IF(H937=1,F937-D937,"")</x:f>
        <x:v>0</x:v>
      </x:c>
      <x:c r="K937" s="2" t="n">
        <x:f>IF(H937=1,F937-E937,"")</x:f>
        <x:v>6</x:v>
      </x:c>
      <x:c r="L937" s="2" t="n">
        <x:v>9</x:v>
      </x:c>
      <x:c r="M937" s="2" t="n">
        <x:v>7</x:v>
      </x:c>
      <x:c r="N937" s="20" t="n">
        <x:v>0.4</x:v>
      </x:c>
      <x:c r="O937" s="20" t="n">
        <x:v>0.8</x:v>
      </x:c>
      <x:c r="P937" s="20" t="n">
        <x:v>0.5</x:v>
      </x:c>
      <x:c r="Q937" s="2" t="n">
        <x:v>23</x:v>
      </x:c>
      <x:c r="R937" s="2" t="str">
        <x:v>ISTP</x:v>
      </x:c>
      <x:c r="S937" s="2" t="str">
        <x:v>华南</x:v>
      </x:c>
      <x:c r="T937" s="2" t="str">
        <x:v>行政或办公室岗位</x:v>
      </x:c>
    </x:row>
    <x:row r="938" ht="24" customHeight="1">
      <x:c r="A938" s="2" t="str">
        <x:v>D040_T07_C080_G050</x:v>
      </x:c>
      <x:c r="B938" s="2" t="str">
        <x:v>A0026</x:v>
      </x:c>
      <x:c r="C938" s="2" t="str">
        <x:v>inside</x:v>
      </x:c>
      <x:c r="D938" s="2" t="n">
        <x:v>7</x:v>
      </x:c>
      <x:c r="E938" s="2" t="n">
        <x:v>1</x:v>
      </x:c>
      <x:c r="F938" s="2" t="n">
        <x:v>7</x:v>
      </x:c>
      <x:c r="G938" s="2" t="str">
        <x:v>observed_post_release</x:v>
      </x:c>
      <x:c r="H938" s="2" t="n">
        <x:f>IF(AND(ISNUMBER(F938),F938&gt;=D938),1,0)</x:f>
        <x:v>1</x:v>
      </x:c>
      <x:c r="I938" s="2" t="n">
        <x:f>IF(AND(ISNUMBER(F938),F938&gt;D938),1,0)</x:f>
        <x:v>0</x:v>
      </x:c>
      <x:c r="J938" s="2" t="n">
        <x:f>IF(H938=1,F938-D938,"")</x:f>
        <x:v>0</x:v>
      </x:c>
      <x:c r="K938" s="2" t="n">
        <x:f>IF(H938=1,F938-E938,"")</x:f>
        <x:v>6</x:v>
      </x:c>
      <x:c r="L938" s="2" t="n">
        <x:v>9</x:v>
      </x:c>
      <x:c r="M938" s="2" t="n">
        <x:v>7</x:v>
      </x:c>
      <x:c r="N938" s="20" t="n">
        <x:v>0.4</x:v>
      </x:c>
      <x:c r="O938" s="20" t="n">
        <x:v>0.8</x:v>
      </x:c>
      <x:c r="P938" s="20" t="n">
        <x:v>0.5</x:v>
      </x:c>
      <x:c r="Q938" s="2" t="n">
        <x:v>36</x:v>
      </x:c>
      <x:c r="R938" s="2" t="str">
        <x:v>ISFP</x:v>
      </x:c>
      <x:c r="S938" s="2" t="str">
        <x:v>西北</x:v>
      </x:c>
      <x:c r="T938" s="2" t="str">
        <x:v>个体经营或自由职业</x:v>
      </x:c>
    </x:row>
    <x:row r="939" ht="24" customHeight="1">
      <x:c r="A939" s="2" t="str">
        <x:v>D040_T07_C080_G050</x:v>
      </x:c>
      <x:c r="B939" s="2" t="str">
        <x:v>A0030</x:v>
      </x:c>
      <x:c r="C939" s="2" t="str">
        <x:v>inside</x:v>
      </x:c>
      <x:c r="D939" s="2" t="n">
        <x:v>7</x:v>
      </x:c>
      <x:c r="E939" s="2" t="n">
        <x:v>1</x:v>
      </x:c>
      <x:c r="F939" s="2" t="n">
        <x:v>8</x:v>
      </x:c>
      <x:c r="G939" s="2" t="str">
        <x:v>observed_post_release</x:v>
      </x:c>
      <x:c r="H939" s="2" t="n">
        <x:f>IF(AND(ISNUMBER(F939),F939&gt;=D939),1,0)</x:f>
        <x:v>1</x:v>
      </x:c>
      <x:c r="I939" s="2" t="n">
        <x:f>IF(AND(ISNUMBER(F939),F939&gt;D939),1,0)</x:f>
        <x:v>1</x:v>
      </x:c>
      <x:c r="J939" s="2" t="n">
        <x:f>IF(H939=1,F939-D939,"")</x:f>
        <x:v>1</x:v>
      </x:c>
      <x:c r="K939" s="2" t="n">
        <x:f>IF(H939=1,F939-E939,"")</x:f>
        <x:v>7</x:v>
      </x:c>
      <x:c r="L939" s="2" t="n">
        <x:v>9</x:v>
      </x:c>
      <x:c r="M939" s="2" t="n">
        <x:v>7</x:v>
      </x:c>
      <x:c r="N939" s="20" t="n">
        <x:v>0.4</x:v>
      </x:c>
      <x:c r="O939" s="20" t="n">
        <x:v>0.8</x:v>
      </x:c>
      <x:c r="P939" s="20" t="n">
        <x:v>0.5</x:v>
      </x:c>
      <x:c r="Q939" s="2" t="n">
        <x:v>23</x:v>
      </x:c>
      <x:c r="R939" s="2" t="str">
        <x:v>ISFP</x:v>
      </x:c>
      <x:c r="S939" s="2" t="str">
        <x:v>华东</x:v>
      </x:c>
      <x:c r="T939" s="2" t="str">
        <x:v>在校学生</x:v>
      </x:c>
    </x:row>
    <x:row r="940" ht="24" customHeight="1">
      <x:c r="A940" s="2" t="str">
        <x:v>D040_T07_C080_G050</x:v>
      </x:c>
      <x:c r="B940" s="2" t="str">
        <x:v>A0032</x:v>
      </x:c>
      <x:c r="C940" s="2" t="str">
        <x:v>inside</x:v>
      </x:c>
      <x:c r="D940" s="2" t="n">
        <x:v>7</x:v>
      </x:c>
      <x:c r="E940" s="2" t="n">
        <x:v>1</x:v>
      </x:c>
      <x:c r="F940" s="2" t="n">
        <x:v>8</x:v>
      </x:c>
      <x:c r="G940" s="2" t="str">
        <x:v>observed_post_release</x:v>
      </x:c>
      <x:c r="H940" s="2" t="n">
        <x:f>IF(AND(ISNUMBER(F940),F940&gt;=D940),1,0)</x:f>
        <x:v>1</x:v>
      </x:c>
      <x:c r="I940" s="2" t="n">
        <x:f>IF(AND(ISNUMBER(F940),F940&gt;D940),1,0)</x:f>
        <x:v>1</x:v>
      </x:c>
      <x:c r="J940" s="2" t="n">
        <x:f>IF(H940=1,F940-D940,"")</x:f>
        <x:v>1</x:v>
      </x:c>
      <x:c r="K940" s="2" t="n">
        <x:f>IF(H940=1,F940-E940,"")</x:f>
        <x:v>7</x:v>
      </x:c>
      <x:c r="L940" s="2" t="n">
        <x:v>9</x:v>
      </x:c>
      <x:c r="M940" s="2" t="n">
        <x:v>7</x:v>
      </x:c>
      <x:c r="N940" s="20" t="n">
        <x:v>0.4</x:v>
      </x:c>
      <x:c r="O940" s="20" t="n">
        <x:v>0.8</x:v>
      </x:c>
      <x:c r="P940" s="20" t="n">
        <x:v>0.5</x:v>
      </x:c>
      <x:c r="Q940" s="2" t="n">
        <x:v>53</x:v>
      </x:c>
      <x:c r="R940" s="2" t="str">
        <x:v>INTP</x:v>
      </x:c>
      <x:c r="S940" s="2" t="str">
        <x:v>华北</x:v>
      </x:c>
      <x:c r="T940" s="2" t="str">
        <x:v>个体经营或自由职业</x:v>
      </x:c>
    </x:row>
    <x:row r="941" ht="24" customHeight="1">
      <x:c r="A941" s="2" t="str">
        <x:v>D040_T07_C080_G050</x:v>
      </x:c>
      <x:c r="B941" s="2" t="str">
        <x:v>A0033</x:v>
      </x:c>
      <x:c r="C941" s="2" t="str">
        <x:v>inside</x:v>
      </x:c>
      <x:c r="D941" s="2" t="n">
        <x:v>7</x:v>
      </x:c>
      <x:c r="E941" s="2" t="n">
        <x:v>1</x:v>
      </x:c>
      <x:c r="F941" s="2" t="n">
        <x:v>7</x:v>
      </x:c>
      <x:c r="G941" s="2" t="str">
        <x:v>observed_post_release</x:v>
      </x:c>
      <x:c r="H941" s="2" t="n">
        <x:f>IF(AND(ISNUMBER(F941),F941&gt;=D941),1,0)</x:f>
        <x:v>1</x:v>
      </x:c>
      <x:c r="I941" s="2" t="n">
        <x:f>IF(AND(ISNUMBER(F941),F941&gt;D941),1,0)</x:f>
        <x:v>0</x:v>
      </x:c>
      <x:c r="J941" s="2" t="n">
        <x:f>IF(H941=1,F941-D941,"")</x:f>
        <x:v>0</x:v>
      </x:c>
      <x:c r="K941" s="2" t="n">
        <x:f>IF(H941=1,F941-E941,"")</x:f>
        <x:v>6</x:v>
      </x:c>
      <x:c r="L941" s="2" t="n">
        <x:v>9</x:v>
      </x:c>
      <x:c r="M941" s="2" t="n">
        <x:v>7</x:v>
      </x:c>
      <x:c r="N941" s="20" t="n">
        <x:v>0.4</x:v>
      </x:c>
      <x:c r="O941" s="20" t="n">
        <x:v>0.8</x:v>
      </x:c>
      <x:c r="P941" s="20" t="n">
        <x:v>0.5</x:v>
      </x:c>
      <x:c r="Q941" s="2" t="n">
        <x:v>55</x:v>
      </x:c>
      <x:c r="R941" s="2" t="str">
        <x:v>ENFP</x:v>
      </x:c>
      <x:c r="S941" s="2" t="str">
        <x:v>华南</x:v>
      </x:c>
      <x:c r="T941" s="2" t="str">
        <x:v>个体经营或自由职业</x:v>
      </x:c>
    </x:row>
    <x:row r="942" ht="24" customHeight="1">
      <x:c r="A942" s="2" t="str">
        <x:v>D040_T07_C080_G050</x:v>
      </x:c>
      <x:c r="B942" s="2" t="str">
        <x:v>A0036</x:v>
      </x:c>
      <x:c r="C942" s="2" t="str">
        <x:v>inside</x:v>
      </x:c>
      <x:c r="D942" s="2" t="n">
        <x:v>7</x:v>
      </x:c>
      <x:c r="E942" s="2" t="n">
        <x:v>1</x:v>
      </x:c>
      <x:c r="F942" s="2" t="n">
        <x:v>7</x:v>
      </x:c>
      <x:c r="G942" s="2" t="str">
        <x:v>observed_post_release</x:v>
      </x:c>
      <x:c r="H942" s="2" t="n">
        <x:f>IF(AND(ISNUMBER(F942),F942&gt;=D942),1,0)</x:f>
        <x:v>1</x:v>
      </x:c>
      <x:c r="I942" s="2" t="n">
        <x:f>IF(AND(ISNUMBER(F942),F942&gt;D942),1,0)</x:f>
        <x:v>0</x:v>
      </x:c>
      <x:c r="J942" s="2" t="n">
        <x:f>IF(H942=1,F942-D942,"")</x:f>
        <x:v>0</x:v>
      </x:c>
      <x:c r="K942" s="2" t="n">
        <x:f>IF(H942=1,F942-E942,"")</x:f>
        <x:v>6</x:v>
      </x:c>
      <x:c r="L942" s="2" t="n">
        <x:v>9</x:v>
      </x:c>
      <x:c r="M942" s="2" t="n">
        <x:v>7</x:v>
      </x:c>
      <x:c r="N942" s="20" t="n">
        <x:v>0.4</x:v>
      </x:c>
      <x:c r="O942" s="20" t="n">
        <x:v>0.8</x:v>
      </x:c>
      <x:c r="P942" s="20" t="n">
        <x:v>0.5</x:v>
      </x:c>
      <x:c r="Q942" s="2" t="n">
        <x:v>43</x:v>
      </x:c>
      <x:c r="R942" s="2" t="str">
        <x:v>ISFJ</x:v>
      </x:c>
      <x:c r="S942" s="2" t="str">
        <x:v>华东</x:v>
      </x:c>
      <x:c r="T942" s="2" t="str">
        <x:v>生产运输或体力岗位</x:v>
      </x:c>
    </x:row>
    <x:row r="943" ht="24" customHeight="1">
      <x:c r="A943" s="2" t="str">
        <x:v>D040_T07_C080_G050</x:v>
      </x:c>
      <x:c r="B943" s="2" t="str">
        <x:v>A0037</x:v>
      </x:c>
      <x:c r="C943" s="2" t="str">
        <x:v>inside</x:v>
      </x:c>
      <x:c r="D943" s="2" t="n">
        <x:v>7</x:v>
      </x:c>
      <x:c r="E943" s="2" t="n">
        <x:v>1</x:v>
      </x:c>
      <x:c r="F943" s="2" t="n">
        <x:v>7</x:v>
      </x:c>
      <x:c r="G943" s="2" t="str">
        <x:v>observed_post_release</x:v>
      </x:c>
      <x:c r="H943" s="2" t="n">
        <x:f>IF(AND(ISNUMBER(F943),F943&gt;=D943),1,0)</x:f>
        <x:v>1</x:v>
      </x:c>
      <x:c r="I943" s="2" t="n">
        <x:f>IF(AND(ISNUMBER(F943),F943&gt;D943),1,0)</x:f>
        <x:v>0</x:v>
      </x:c>
      <x:c r="J943" s="2" t="n">
        <x:f>IF(H943=1,F943-D943,"")</x:f>
        <x:v>0</x:v>
      </x:c>
      <x:c r="K943" s="2" t="n">
        <x:f>IF(H943=1,F943-E943,"")</x:f>
        <x:v>6</x:v>
      </x:c>
      <x:c r="L943" s="2" t="n">
        <x:v>9</x:v>
      </x:c>
      <x:c r="M943" s="2" t="n">
        <x:v>7</x:v>
      </x:c>
      <x:c r="N943" s="20" t="n">
        <x:v>0.4</x:v>
      </x:c>
      <x:c r="O943" s="20" t="n">
        <x:v>0.8</x:v>
      </x:c>
      <x:c r="P943" s="20" t="n">
        <x:v>0.5</x:v>
      </x:c>
      <x:c r="Q943" s="2" t="n">
        <x:v>24</x:v>
      </x:c>
      <x:c r="R943" s="2" t="str">
        <x:v>ENTP</x:v>
      </x:c>
      <x:c r="S943" s="2" t="str">
        <x:v>华南</x:v>
      </x:c>
      <x:c r="T943" s="2" t="str">
        <x:v>在校学生</x:v>
      </x:c>
    </x:row>
    <x:row r="944" ht="24" customHeight="1">
      <x:c r="A944" s="2" t="str">
        <x:v>D040_T07_C080_G050</x:v>
      </x:c>
      <x:c r="B944" s="2" t="str">
        <x:v>A0038</x:v>
      </x:c>
      <x:c r="C944" s="2" t="str">
        <x:v>inside</x:v>
      </x:c>
      <x:c r="D944" s="2" t="n">
        <x:v>7</x:v>
      </x:c>
      <x:c r="E944" s="2" t="n">
        <x:v>1</x:v>
      </x:c>
      <x:c r="F944" s="2" t="n">
        <x:v>8</x:v>
      </x:c>
      <x:c r="G944" s="2" t="str">
        <x:v>observed_post_release</x:v>
      </x:c>
      <x:c r="H944" s="2" t="n">
        <x:f>IF(AND(ISNUMBER(F944),F944&gt;=D944),1,0)</x:f>
        <x:v>1</x:v>
      </x:c>
      <x:c r="I944" s="2" t="n">
        <x:f>IF(AND(ISNUMBER(F944),F944&gt;D944),1,0)</x:f>
        <x:v>1</x:v>
      </x:c>
      <x:c r="J944" s="2" t="n">
        <x:f>IF(H944=1,F944-D944,"")</x:f>
        <x:v>1</x:v>
      </x:c>
      <x:c r="K944" s="2" t="n">
        <x:f>IF(H944=1,F944-E944,"")</x:f>
        <x:v>7</x:v>
      </x:c>
      <x:c r="L944" s="2" t="n">
        <x:v>9</x:v>
      </x:c>
      <x:c r="M944" s="2" t="n">
        <x:v>7</x:v>
      </x:c>
      <x:c r="N944" s="20" t="n">
        <x:v>0.4</x:v>
      </x:c>
      <x:c r="O944" s="20" t="n">
        <x:v>0.8</x:v>
      </x:c>
      <x:c r="P944" s="20" t="n">
        <x:v>0.5</x:v>
      </x:c>
      <x:c r="Q944" s="2" t="n">
        <x:v>46</x:v>
      </x:c>
      <x:c r="R944" s="2" t="str">
        <x:v>ISTP</x:v>
      </x:c>
      <x:c r="S944" s="2" t="str">
        <x:v>华东</x:v>
      </x:c>
      <x:c r="T944" s="2" t="str">
        <x:v>行政或办公室岗位</x:v>
      </x:c>
    </x:row>
    <x:row r="945" ht="24" customHeight="1">
      <x:c r="A945" s="2" t="str">
        <x:v>D040_T07_C080_G050</x:v>
      </x:c>
      <x:c r="B945" s="2" t="str">
        <x:v>A0039</x:v>
      </x:c>
      <x:c r="C945" s="2" t="str">
        <x:v>inside</x:v>
      </x:c>
      <x:c r="D945" s="2" t="n">
        <x:v>7</x:v>
      </x:c>
      <x:c r="E945" s="2" t="n">
        <x:v>1</x:v>
      </x:c>
      <x:c r="F945" s="2" t="n">
        <x:v>7</x:v>
      </x:c>
      <x:c r="G945" s="2" t="str">
        <x:v>observed_post_release</x:v>
      </x:c>
      <x:c r="H945" s="2" t="n">
        <x:f>IF(AND(ISNUMBER(F945),F945&gt;=D945),1,0)</x:f>
        <x:v>1</x:v>
      </x:c>
      <x:c r="I945" s="2" t="n">
        <x:f>IF(AND(ISNUMBER(F945),F945&gt;D945),1,0)</x:f>
        <x:v>0</x:v>
      </x:c>
      <x:c r="J945" s="2" t="n">
        <x:f>IF(H945=1,F945-D945,"")</x:f>
        <x:v>0</x:v>
      </x:c>
      <x:c r="K945" s="2" t="n">
        <x:f>IF(H945=1,F945-E945,"")</x:f>
        <x:v>6</x:v>
      </x:c>
      <x:c r="L945" s="2" t="n">
        <x:v>9</x:v>
      </x:c>
      <x:c r="M945" s="2" t="n">
        <x:v>7</x:v>
      </x:c>
      <x:c r="N945" s="20" t="n">
        <x:v>0.4</x:v>
      </x:c>
      <x:c r="O945" s="20" t="n">
        <x:v>0.8</x:v>
      </x:c>
      <x:c r="P945" s="20" t="n">
        <x:v>0.5</x:v>
      </x:c>
      <x:c r="Q945" s="2" t="n">
        <x:v>33</x:v>
      </x:c>
      <x:c r="R945" s="2" t="str">
        <x:v>ISTJ</x:v>
      </x:c>
      <x:c r="S945" s="2" t="str">
        <x:v>华南</x:v>
      </x:c>
      <x:c r="T945" s="2" t="str">
        <x:v>专业技术岗位</x:v>
      </x:c>
    </x:row>
    <x:row r="946" ht="24" customHeight="1">
      <x:c r="A946" s="2" t="str">
        <x:v>D040_T07_C080_G050</x:v>
      </x:c>
      <x:c r="B946" s="2" t="str">
        <x:v>A0040</x:v>
      </x:c>
      <x:c r="C946" s="2" t="str">
        <x:v>inside</x:v>
      </x:c>
      <x:c r="D946" s="2" t="n">
        <x:v>7</x:v>
      </x:c>
      <x:c r="E946" s="2" t="n">
        <x:v>1</x:v>
      </x:c>
      <x:c r="F946" s="2" t="n">
        <x:v>7</x:v>
      </x:c>
      <x:c r="G946" s="2" t="str">
        <x:v>observed_post_release</x:v>
      </x:c>
      <x:c r="H946" s="2" t="n">
        <x:f>IF(AND(ISNUMBER(F946),F946&gt;=D946),1,0)</x:f>
        <x:v>1</x:v>
      </x:c>
      <x:c r="I946" s="2" t="n">
        <x:f>IF(AND(ISNUMBER(F946),F946&gt;D946),1,0)</x:f>
        <x:v>0</x:v>
      </x:c>
      <x:c r="J946" s="2" t="n">
        <x:f>IF(H946=1,F946-D946,"")</x:f>
        <x:v>0</x:v>
      </x:c>
      <x:c r="K946" s="2" t="n">
        <x:f>IF(H946=1,F946-E946,"")</x:f>
        <x:v>6</x:v>
      </x:c>
      <x:c r="L946" s="2" t="n">
        <x:v>9</x:v>
      </x:c>
      <x:c r="M946" s="2" t="n">
        <x:v>7</x:v>
      </x:c>
      <x:c r="N946" s="20" t="n">
        <x:v>0.4</x:v>
      </x:c>
      <x:c r="O946" s="20" t="n">
        <x:v>0.8</x:v>
      </x:c>
      <x:c r="P946" s="20" t="n">
        <x:v>0.5</x:v>
      </x:c>
      <x:c r="Q946" s="2" t="n">
        <x:v>48</x:v>
      </x:c>
      <x:c r="R946" s="2" t="str">
        <x:v>INFP</x:v>
      </x:c>
      <x:c r="S946" s="2" t="str">
        <x:v>西北</x:v>
      </x:c>
      <x:c r="T946" s="2" t="str">
        <x:v>个体经营或自由职业</x:v>
      </x:c>
    </x:row>
    <x:row r="947" ht="24" customHeight="1">
      <x:c r="A947" s="2" t="str">
        <x:v>D040_T07_C080_G050</x:v>
      </x:c>
      <x:c r="B947" s="2" t="str">
        <x:v>A0041</x:v>
      </x:c>
      <x:c r="C947" s="2" t="str">
        <x:v>inside</x:v>
      </x:c>
      <x:c r="D947" s="2" t="n">
        <x:v>7</x:v>
      </x:c>
      <x:c r="E947" s="2" t="n">
        <x:v>1</x:v>
      </x:c>
      <x:c r="F947" s="2" t="n">
        <x:v>7</x:v>
      </x:c>
      <x:c r="G947" s="2" t="str">
        <x:v>observed_post_release</x:v>
      </x:c>
      <x:c r="H947" s="2" t="n">
        <x:f>IF(AND(ISNUMBER(F947),F947&gt;=D947),1,0)</x:f>
        <x:v>1</x:v>
      </x:c>
      <x:c r="I947" s="2" t="n">
        <x:f>IF(AND(ISNUMBER(F947),F947&gt;D947),1,0)</x:f>
        <x:v>0</x:v>
      </x:c>
      <x:c r="J947" s="2" t="n">
        <x:f>IF(H947=1,F947-D947,"")</x:f>
        <x:v>0</x:v>
      </x:c>
      <x:c r="K947" s="2" t="n">
        <x:f>IF(H947=1,F947-E947,"")</x:f>
        <x:v>6</x:v>
      </x:c>
      <x:c r="L947" s="2" t="n">
        <x:v>9</x:v>
      </x:c>
      <x:c r="M947" s="2" t="n">
        <x:v>7</x:v>
      </x:c>
      <x:c r="N947" s="20" t="n">
        <x:v>0.4</x:v>
      </x:c>
      <x:c r="O947" s="20" t="n">
        <x:v>0.8</x:v>
      </x:c>
      <x:c r="P947" s="20" t="n">
        <x:v>0.5</x:v>
      </x:c>
      <x:c r="Q947" s="2" t="n">
        <x:v>62</x:v>
      </x:c>
      <x:c r="R947" s="2" t="str">
        <x:v>ISFJ</x:v>
      </x:c>
      <x:c r="S947" s="2" t="str">
        <x:v>西北</x:v>
      </x:c>
      <x:c r="T947" s="2" t="str">
        <x:v>个体经营或自由职业</x:v>
      </x:c>
    </x:row>
    <x:row r="948" ht="24" customHeight="1">
      <x:c r="A948" s="2" t="str">
        <x:v>D040_T07_C080_G050</x:v>
      </x:c>
      <x:c r="B948" s="2" t="str">
        <x:v>A0042</x:v>
      </x:c>
      <x:c r="C948" s="2" t="str">
        <x:v>inside</x:v>
      </x:c>
      <x:c r="D948" s="2" t="n">
        <x:v>7</x:v>
      </x:c>
      <x:c r="E948" s="2" t="n">
        <x:v>3</x:v>
      </x:c>
      <x:c r="F948" s="2" t="n">
        <x:v>7</x:v>
      </x:c>
      <x:c r="G948" s="2" t="str">
        <x:v>observed_post_release</x:v>
      </x:c>
      <x:c r="H948" s="2" t="n">
        <x:f>IF(AND(ISNUMBER(F948),F948&gt;=D948),1,0)</x:f>
        <x:v>1</x:v>
      </x:c>
      <x:c r="I948" s="2" t="n">
        <x:f>IF(AND(ISNUMBER(F948),F948&gt;D948),1,0)</x:f>
        <x:v>0</x:v>
      </x:c>
      <x:c r="J948" s="2" t="n">
        <x:f>IF(H948=1,F948-D948,"")</x:f>
        <x:v>0</x:v>
      </x:c>
      <x:c r="K948" s="2" t="n">
        <x:f>IF(H948=1,F948-E948,"")</x:f>
        <x:v>4</x:v>
      </x:c>
      <x:c r="L948" s="2" t="n">
        <x:v>7</x:v>
      </x:c>
      <x:c r="M948" s="2" t="n">
        <x:v>7</x:v>
      </x:c>
      <x:c r="N948" s="20" t="n">
        <x:v>0.4</x:v>
      </x:c>
      <x:c r="O948" s="20" t="n">
        <x:v>0.8</x:v>
      </x:c>
      <x:c r="P948" s="20" t="n">
        <x:v>0.5</x:v>
      </x:c>
      <x:c r="Q948" s="2" t="n">
        <x:v>31</x:v>
      </x:c>
      <x:c r="R948" s="2" t="str">
        <x:v>INTJ</x:v>
      </x:c>
      <x:c r="S948" s="2" t="str">
        <x:v>华东</x:v>
      </x:c>
      <x:c r="T948" s="2" t="str">
        <x:v>生产运输或体力岗位</x:v>
      </x:c>
    </x:row>
    <x:row r="949" ht="24" customHeight="1">
      <x:c r="A949" s="2" t="str">
        <x:v>D040_T07_C080_G050</x:v>
      </x:c>
      <x:c r="B949" s="2" t="str">
        <x:v>A0071</x:v>
      </x:c>
      <x:c r="C949" s="2" t="str">
        <x:v>inside</x:v>
      </x:c>
      <x:c r="D949" s="2" t="n">
        <x:v>7</x:v>
      </x:c>
      <x:c r="E949" s="2" t="n">
        <x:v>1</x:v>
      </x:c>
      <x:c r="F949" s="2" t="n">
        <x:v>8</x:v>
      </x:c>
      <x:c r="G949" s="2" t="str">
        <x:v>observed_post_release</x:v>
      </x:c>
      <x:c r="H949" s="2" t="n">
        <x:f>IF(AND(ISNUMBER(F949),F949&gt;=D949),1,0)</x:f>
        <x:v>1</x:v>
      </x:c>
      <x:c r="I949" s="2" t="n">
        <x:f>IF(AND(ISNUMBER(F949),F949&gt;D949),1,0)</x:f>
        <x:v>1</x:v>
      </x:c>
      <x:c r="J949" s="2" t="n">
        <x:f>IF(H949=1,F949-D949,"")</x:f>
        <x:v>1</x:v>
      </x:c>
      <x:c r="K949" s="2" t="n">
        <x:f>IF(H949=1,F949-E949,"")</x:f>
        <x:v>7</x:v>
      </x:c>
      <x:c r="L949" s="2" t="n">
        <x:v>9</x:v>
      </x:c>
      <x:c r="M949" s="2" t="n">
        <x:v>7</x:v>
      </x:c>
      <x:c r="N949" s="20" t="n">
        <x:v>0.4</x:v>
      </x:c>
      <x:c r="O949" s="20" t="n">
        <x:v>0.8</x:v>
      </x:c>
      <x:c r="P949" s="20" t="n">
        <x:v>0.5</x:v>
      </x:c>
      <x:c r="Q949" s="2" t="n">
        <x:v>33</x:v>
      </x:c>
      <x:c r="R949" s="2" t="str">
        <x:v>ISTJ</x:v>
      </x:c>
      <x:c r="S949" s="2" t="str">
        <x:v>华东</x:v>
      </x:c>
      <x:c r="T949" s="2" t="str">
        <x:v>商业服务岗位</x:v>
      </x:c>
    </x:row>
    <x:row r="950" ht="24" customHeight="1">
      <x:c r="A950" s="2" t="str">
        <x:v>D040_T07_C080_G050</x:v>
      </x:c>
      <x:c r="B950" s="2" t="str">
        <x:v>A0090</x:v>
      </x:c>
      <x:c r="C950" s="2" t="str">
        <x:v>inside</x:v>
      </x:c>
      <x:c r="D950" s="2" t="n">
        <x:v>7</x:v>
      </x:c>
      <x:c r="E950" s="2" t="n">
        <x:v>1</x:v>
      </x:c>
      <x:c r="F950" s="2"/>
      <x:c r="G950" s="2" t="str">
        <x:v>right_censored</x:v>
      </x:c>
      <x:c r="H950" s="2" t="n">
        <x:f>IF(AND(ISNUMBER(F950),F950&gt;=D950),1,0)</x:f>
        <x:v>0</x:v>
      </x:c>
      <x:c r="I950" s="2" t="n">
        <x:f>IF(AND(ISNUMBER(F950),F950&gt;D950),1,0)</x:f>
        <x:v>0</x:v>
      </x:c>
      <x:c r="J950" s="2" t="str">
        <x:f>IF(H950=1,F950-D950,"")</x:f>
      </x:c>
      <x:c r="K950" s="2" t="str">
        <x:f>IF(H950=1,F950-E950,"")</x:f>
      </x:c>
      <x:c r="L950" s="2" t="n">
        <x:v>9</x:v>
      </x:c>
      <x:c r="M950" s="2" t="n">
        <x:v>10</x:v>
      </x:c>
      <x:c r="N950" s="20" t="n">
        <x:v>0.4</x:v>
      </x:c>
      <x:c r="O950" s="20" t="n">
        <x:v>0.8</x:v>
      </x:c>
      <x:c r="P950" s="20" t="n">
        <x:v>0.5</x:v>
      </x:c>
      <x:c r="Q950" s="2" t="n">
        <x:v>46</x:v>
      </x:c>
      <x:c r="R950" s="2" t="str">
        <x:v>ENFJ</x:v>
      </x:c>
      <x:c r="S950" s="2" t="str">
        <x:v>西北</x:v>
      </x:c>
      <x:c r="T950" s="2" t="str">
        <x:v>个体经营或自由职业</x:v>
      </x:c>
    </x:row>
    <x:row r="951" ht="24" customHeight="1">
      <x:c r="A951" s="2" t="str">
        <x:v>D040_T07_C080_G050</x:v>
      </x:c>
      <x:c r="B951" s="2" t="str">
        <x:v>A0189</x:v>
      </x:c>
      <x:c r="C951" s="2" t="str">
        <x:v>inside</x:v>
      </x:c>
      <x:c r="D951" s="2" t="n">
        <x:v>7</x:v>
      </x:c>
      <x:c r="E951" s="2" t="n">
        <x:v>1</x:v>
      </x:c>
      <x:c r="F951" s="2" t="n">
        <x:v>8</x:v>
      </x:c>
      <x:c r="G951" s="2" t="str">
        <x:v>observed_post_release</x:v>
      </x:c>
      <x:c r="H951" s="2" t="n">
        <x:f>IF(AND(ISNUMBER(F951),F951&gt;=D951),1,0)</x:f>
        <x:v>1</x:v>
      </x:c>
      <x:c r="I951" s="2" t="n">
        <x:f>IF(AND(ISNUMBER(F951),F951&gt;D951),1,0)</x:f>
        <x:v>1</x:v>
      </x:c>
      <x:c r="J951" s="2" t="n">
        <x:f>IF(H951=1,F951-D951,"")</x:f>
        <x:v>1</x:v>
      </x:c>
      <x:c r="K951" s="2" t="n">
        <x:f>IF(H951=1,F951-E951,"")</x:f>
        <x:v>7</x:v>
      </x:c>
      <x:c r="L951" s="2" t="n">
        <x:v>9</x:v>
      </x:c>
      <x:c r="M951" s="2" t="n">
        <x:v>8</x:v>
      </x:c>
      <x:c r="N951" s="20" t="n">
        <x:v>0.4</x:v>
      </x:c>
      <x:c r="O951" s="20" t="n">
        <x:v>0.8</x:v>
      </x:c>
      <x:c r="P951" s="20" t="n">
        <x:v>0.5</x:v>
      </x:c>
      <x:c r="Q951" s="2" t="n">
        <x:v>45</x:v>
      </x:c>
      <x:c r="R951" s="2" t="str">
        <x:v>ISFJ</x:v>
      </x:c>
      <x:c r="S951" s="2" t="str">
        <x:v>西北</x:v>
      </x:c>
      <x:c r="T951" s="2" t="str">
        <x:v>生产运输或体力岗位</x:v>
      </x:c>
    </x:row>
    <x:row r="952" ht="24" customHeight="1">
      <x:c r="A952" s="2" t="str">
        <x:v>D040_T07_C080_G050</x:v>
      </x:c>
      <x:c r="B952" s="2" t="str">
        <x:v>A0206</x:v>
      </x:c>
      <x:c r="C952" s="2" t="str">
        <x:v>inside</x:v>
      </x:c>
      <x:c r="D952" s="2" t="n">
        <x:v>7</x:v>
      </x:c>
      <x:c r="E952" s="2" t="n">
        <x:v>1</x:v>
      </x:c>
      <x:c r="F952" s="2" t="n">
        <x:v>7</x:v>
      </x:c>
      <x:c r="G952" s="2" t="str">
        <x:v>observed_post_release</x:v>
      </x:c>
      <x:c r="H952" s="2" t="n">
        <x:f>IF(AND(ISNUMBER(F952),F952&gt;=D952),1,0)</x:f>
        <x:v>1</x:v>
      </x:c>
      <x:c r="I952" s="2" t="n">
        <x:f>IF(AND(ISNUMBER(F952),F952&gt;D952),1,0)</x:f>
        <x:v>0</x:v>
      </x:c>
      <x:c r="J952" s="2" t="n">
        <x:f>IF(H952=1,F952-D952,"")</x:f>
        <x:v>0</x:v>
      </x:c>
      <x:c r="K952" s="2" t="n">
        <x:f>IF(H952=1,F952-E952,"")</x:f>
        <x:v>6</x:v>
      </x:c>
      <x:c r="L952" s="2" t="n">
        <x:v>9</x:v>
      </x:c>
      <x:c r="M952" s="2" t="n">
        <x:v>7</x:v>
      </x:c>
      <x:c r="N952" s="20" t="n">
        <x:v>0.4</x:v>
      </x:c>
      <x:c r="O952" s="20" t="n">
        <x:v>0.8</x:v>
      </x:c>
      <x:c r="P952" s="20" t="n">
        <x:v>0.5</x:v>
      </x:c>
      <x:c r="Q952" s="2" t="n">
        <x:v>21</x:v>
      </x:c>
      <x:c r="R952" s="2" t="str">
        <x:v>ESTP</x:v>
      </x:c>
      <x:c r="S952" s="2" t="str">
        <x:v>西北</x:v>
      </x:c>
      <x:c r="T952" s="2" t="str">
        <x:v>暂未就业或家庭照料</x:v>
      </x:c>
    </x:row>
    <x:row r="953" ht="24" customHeight="1">
      <x:c r="A953" s="2" t="str">
        <x:v>D040_T07_C080_G075</x:v>
      </x:c>
      <x:c r="B953" s="2" t="str">
        <x:v>A0001</x:v>
      </x:c>
      <x:c r="C953" s="2" t="str">
        <x:v>inside</x:v>
      </x:c>
      <x:c r="D953" s="2" t="n">
        <x:v>7</x:v>
      </x:c>
      <x:c r="E953" s="2" t="n">
        <x:v>4</x:v>
      </x:c>
      <x:c r="F953" s="2" t="n">
        <x:v>7</x:v>
      </x:c>
      <x:c r="G953" s="2" t="str">
        <x:v>observed_post_release</x:v>
      </x:c>
      <x:c r="H953" s="2" t="n">
        <x:f>IF(AND(ISNUMBER(F953),F953&gt;=D953),1,0)</x:f>
        <x:v>1</x:v>
      </x:c>
      <x:c r="I953" s="2" t="n">
        <x:f>IF(AND(ISNUMBER(F953),F953&gt;D953),1,0)</x:f>
        <x:v>0</x:v>
      </x:c>
      <x:c r="J953" s="2" t="n">
        <x:f>IF(H953=1,F953-D953,"")</x:f>
        <x:v>0</x:v>
      </x:c>
      <x:c r="K953" s="2" t="n">
        <x:f>IF(H953=1,F953-E953,"")</x:f>
        <x:v>3</x:v>
      </x:c>
      <x:c r="L953" s="2" t="n">
        <x:v>6</x:v>
      </x:c>
      <x:c r="M953" s="2" t="n">
        <x:v>7</x:v>
      </x:c>
      <x:c r="N953" s="20" t="n">
        <x:v>0.4</x:v>
      </x:c>
      <x:c r="O953" s="20" t="n">
        <x:v>0.8</x:v>
      </x:c>
      <x:c r="P953" s="20" t="n">
        <x:v>0.75</x:v>
      </x:c>
      <x:c r="Q953" s="2" t="n">
        <x:v>22</x:v>
      </x:c>
      <x:c r="R953" s="2" t="str">
        <x:v>ESTJ</x:v>
      </x:c>
      <x:c r="S953" s="2" t="str">
        <x:v>华南</x:v>
      </x:c>
      <x:c r="T953" s="2" t="str">
        <x:v>在校学生</x:v>
      </x:c>
    </x:row>
    <x:row r="954" ht="24" customHeight="1">
      <x:c r="A954" s="2" t="str">
        <x:v>D040_T07_C080_G075</x:v>
      </x:c>
      <x:c r="B954" s="2" t="str">
        <x:v>A0002</x:v>
      </x:c>
      <x:c r="C954" s="2" t="str">
        <x:v>inside</x:v>
      </x:c>
      <x:c r="D954" s="2" t="n">
        <x:v>7</x:v>
      </x:c>
      <x:c r="E954" s="2" t="n">
        <x:v>6</x:v>
      </x:c>
      <x:c r="F954" s="2" t="n">
        <x:v>8</x:v>
      </x:c>
      <x:c r="G954" s="2" t="str">
        <x:v>observed_post_release</x:v>
      </x:c>
      <x:c r="H954" s="2" t="n">
        <x:f>IF(AND(ISNUMBER(F954),F954&gt;=D954),1,0)</x:f>
        <x:v>1</x:v>
      </x:c>
      <x:c r="I954" s="2" t="n">
        <x:f>IF(AND(ISNUMBER(F954),F954&gt;D954),1,0)</x:f>
        <x:v>1</x:v>
      </x:c>
      <x:c r="J954" s="2" t="n">
        <x:f>IF(H954=1,F954-D954,"")</x:f>
        <x:v>1</x:v>
      </x:c>
      <x:c r="K954" s="2" t="n">
        <x:f>IF(H954=1,F954-E954,"")</x:f>
        <x:v>2</x:v>
      </x:c>
      <x:c r="L954" s="2" t="n">
        <x:v>4</x:v>
      </x:c>
      <x:c r="M954" s="2" t="n">
        <x:v>8</x:v>
      </x:c>
      <x:c r="N954" s="20" t="n">
        <x:v>0.4</x:v>
      </x:c>
      <x:c r="O954" s="20" t="n">
        <x:v>0.8</x:v>
      </x:c>
      <x:c r="P954" s="20" t="n">
        <x:v>0.75</x:v>
      </x:c>
      <x:c r="Q954" s="2" t="n">
        <x:v>19</x:v>
      </x:c>
      <x:c r="R954" s="2" t="str">
        <x:v>ESTP</x:v>
      </x:c>
      <x:c r="S954" s="2" t="str">
        <x:v>华南</x:v>
      </x:c>
      <x:c r="T954" s="2" t="str">
        <x:v>商业服务岗位</x:v>
      </x:c>
    </x:row>
    <x:row r="955" ht="24" customHeight="1">
      <x:c r="A955" s="2" t="str">
        <x:v>D040_T07_C080_G075</x:v>
      </x:c>
      <x:c r="B955" s="2" t="str">
        <x:v>A0003</x:v>
      </x:c>
      <x:c r="C955" s="2" t="str">
        <x:v>inside</x:v>
      </x:c>
      <x:c r="D955" s="2" t="n">
        <x:v>7</x:v>
      </x:c>
      <x:c r="E955" s="2" t="n">
        <x:v>1</x:v>
      </x:c>
      <x:c r="F955" s="2" t="n">
        <x:v>7</x:v>
      </x:c>
      <x:c r="G955" s="2" t="str">
        <x:v>observed_post_release</x:v>
      </x:c>
      <x:c r="H955" s="2" t="n">
        <x:f>IF(AND(ISNUMBER(F955),F955&gt;=D955),1,0)</x:f>
        <x:v>1</x:v>
      </x:c>
      <x:c r="I955" s="2" t="n">
        <x:f>IF(AND(ISNUMBER(F955),F955&gt;D955),1,0)</x:f>
        <x:v>0</x:v>
      </x:c>
      <x:c r="J955" s="2" t="n">
        <x:f>IF(H955=1,F955-D955,"")</x:f>
        <x:v>0</x:v>
      </x:c>
      <x:c r="K955" s="2" t="n">
        <x:f>IF(H955=1,F955-E955,"")</x:f>
        <x:v>6</x:v>
      </x:c>
      <x:c r="L955" s="2" t="n">
        <x:v>9</x:v>
      </x:c>
      <x:c r="M955" s="2" t="n">
        <x:v>7</x:v>
      </x:c>
      <x:c r="N955" s="20" t="n">
        <x:v>0.4</x:v>
      </x:c>
      <x:c r="O955" s="20" t="n">
        <x:v>0.8</x:v>
      </x:c>
      <x:c r="P955" s="20" t="n">
        <x:v>0.75</x:v>
      </x:c>
      <x:c r="Q955" s="2" t="n">
        <x:v>20</x:v>
      </x:c>
      <x:c r="R955" s="2" t="str">
        <x:v>ENFP</x:v>
      </x:c>
      <x:c r="S955" s="2" t="str">
        <x:v>华北</x:v>
      </x:c>
      <x:c r="T955" s="2" t="str">
        <x:v>行政或办公室岗位</x:v>
      </x:c>
    </x:row>
    <x:row r="956" ht="24" customHeight="1">
      <x:c r="A956" s="2" t="str">
        <x:v>D040_T07_C080_G075</x:v>
      </x:c>
      <x:c r="B956" s="2" t="str">
        <x:v>A0005</x:v>
      </x:c>
      <x:c r="C956" s="2" t="str">
        <x:v>inside</x:v>
      </x:c>
      <x:c r="D956" s="2" t="n">
        <x:v>7</x:v>
      </x:c>
      <x:c r="E956" s="2" t="n">
        <x:v>1</x:v>
      </x:c>
      <x:c r="F956" s="2" t="n">
        <x:v>7</x:v>
      </x:c>
      <x:c r="G956" s="2" t="str">
        <x:v>observed_post_release</x:v>
      </x:c>
      <x:c r="H956" s="2" t="n">
        <x:f>IF(AND(ISNUMBER(F956),F956&gt;=D956),1,0)</x:f>
        <x:v>1</x:v>
      </x:c>
      <x:c r="I956" s="2" t="n">
        <x:f>IF(AND(ISNUMBER(F956),F956&gt;D956),1,0)</x:f>
        <x:v>0</x:v>
      </x:c>
      <x:c r="J956" s="2" t="n">
        <x:f>IF(H956=1,F956-D956,"")</x:f>
        <x:v>0</x:v>
      </x:c>
      <x:c r="K956" s="2" t="n">
        <x:f>IF(H956=1,F956-E956,"")</x:f>
        <x:v>6</x:v>
      </x:c>
      <x:c r="L956" s="2" t="n">
        <x:v>9</x:v>
      </x:c>
      <x:c r="M956" s="2" t="n">
        <x:v>7</x:v>
      </x:c>
      <x:c r="N956" s="20" t="n">
        <x:v>0.4</x:v>
      </x:c>
      <x:c r="O956" s="20" t="n">
        <x:v>0.8</x:v>
      </x:c>
      <x:c r="P956" s="20" t="n">
        <x:v>0.75</x:v>
      </x:c>
      <x:c r="Q956" s="2" t="n">
        <x:v>51</x:v>
      </x:c>
      <x:c r="R956" s="2" t="str">
        <x:v>ISTP</x:v>
      </x:c>
      <x:c r="S956" s="2" t="str">
        <x:v>华南</x:v>
      </x:c>
      <x:c r="T956" s="2" t="str">
        <x:v>生产运输或体力岗位</x:v>
      </x:c>
    </x:row>
    <x:row r="957" ht="24" customHeight="1">
      <x:c r="A957" s="2" t="str">
        <x:v>D040_T07_C080_G075</x:v>
      </x:c>
      <x:c r="B957" s="2" t="str">
        <x:v>A0008</x:v>
      </x:c>
      <x:c r="C957" s="2" t="str">
        <x:v>inside</x:v>
      </x:c>
      <x:c r="D957" s="2" t="n">
        <x:v>7</x:v>
      </x:c>
      <x:c r="E957" s="2" t="n">
        <x:v>1</x:v>
      </x:c>
      <x:c r="F957" s="2" t="n">
        <x:v>7</x:v>
      </x:c>
      <x:c r="G957" s="2" t="str">
        <x:v>observed_post_release</x:v>
      </x:c>
      <x:c r="H957" s="2" t="n">
        <x:f>IF(AND(ISNUMBER(F957),F957&gt;=D957),1,0)</x:f>
        <x:v>1</x:v>
      </x:c>
      <x:c r="I957" s="2" t="n">
        <x:f>IF(AND(ISNUMBER(F957),F957&gt;D957),1,0)</x:f>
        <x:v>0</x:v>
      </x:c>
      <x:c r="J957" s="2" t="n">
        <x:f>IF(H957=1,F957-D957,"")</x:f>
        <x:v>0</x:v>
      </x:c>
      <x:c r="K957" s="2" t="n">
        <x:f>IF(H957=1,F957-E957,"")</x:f>
        <x:v>6</x:v>
      </x:c>
      <x:c r="L957" s="2" t="n">
        <x:v>9</x:v>
      </x:c>
      <x:c r="M957" s="2" t="n">
        <x:v>7</x:v>
      </x:c>
      <x:c r="N957" s="20" t="n">
        <x:v>0.4</x:v>
      </x:c>
      <x:c r="O957" s="20" t="n">
        <x:v>0.8</x:v>
      </x:c>
      <x:c r="P957" s="20" t="n">
        <x:v>0.75</x:v>
      </x:c>
      <x:c r="Q957" s="2" t="n">
        <x:v>36</x:v>
      </x:c>
      <x:c r="R957" s="2" t="str">
        <x:v>ISFP</x:v>
      </x:c>
      <x:c r="S957" s="2" t="str">
        <x:v>华南</x:v>
      </x:c>
      <x:c r="T957" s="2" t="str">
        <x:v>生产运输或体力岗位</x:v>
      </x:c>
    </x:row>
    <x:row r="958" ht="24" customHeight="1">
      <x:c r="A958" s="2" t="str">
        <x:v>D040_T07_C080_G075</x:v>
      </x:c>
      <x:c r="B958" s="2" t="str">
        <x:v>A0010</x:v>
      </x:c>
      <x:c r="C958" s="2" t="str">
        <x:v>inside</x:v>
      </x:c>
      <x:c r="D958" s="2" t="n">
        <x:v>7</x:v>
      </x:c>
      <x:c r="E958" s="2" t="n">
        <x:v>5</x:v>
      </x:c>
      <x:c r="F958" s="2" t="n">
        <x:v>8</x:v>
      </x:c>
      <x:c r="G958" s="2" t="str">
        <x:v>observed_post_release</x:v>
      </x:c>
      <x:c r="H958" s="2" t="n">
        <x:f>IF(AND(ISNUMBER(F958),F958&gt;=D958),1,0)</x:f>
        <x:v>1</x:v>
      </x:c>
      <x:c r="I958" s="2" t="n">
        <x:f>IF(AND(ISNUMBER(F958),F958&gt;D958),1,0)</x:f>
        <x:v>1</x:v>
      </x:c>
      <x:c r="J958" s="2" t="n">
        <x:f>IF(H958=1,F958-D958,"")</x:f>
        <x:v>1</x:v>
      </x:c>
      <x:c r="K958" s="2" t="n">
        <x:f>IF(H958=1,F958-E958,"")</x:f>
        <x:v>3</x:v>
      </x:c>
      <x:c r="L958" s="2" t="n">
        <x:v>5</x:v>
      </x:c>
      <x:c r="M958" s="2" t="n">
        <x:v>8</x:v>
      </x:c>
      <x:c r="N958" s="20" t="n">
        <x:v>0.4</x:v>
      </x:c>
      <x:c r="O958" s="20" t="n">
        <x:v>0.8</x:v>
      </x:c>
      <x:c r="P958" s="20" t="n">
        <x:v>0.75</x:v>
      </x:c>
      <x:c r="Q958" s="2" t="n">
        <x:v>23</x:v>
      </x:c>
      <x:c r="R958" s="2" t="str">
        <x:v>INFP</x:v>
      </x:c>
      <x:c r="S958" s="2" t="str">
        <x:v>华东</x:v>
      </x:c>
      <x:c r="T958" s="2" t="str">
        <x:v>在校学生</x:v>
      </x:c>
    </x:row>
    <x:row r="959" ht="24" customHeight="1">
      <x:c r="A959" s="2" t="str">
        <x:v>D040_T07_C080_G075</x:v>
      </x:c>
      <x:c r="B959" s="2" t="str">
        <x:v>A0011</x:v>
      </x:c>
      <x:c r="C959" s="2" t="str">
        <x:v>inside</x:v>
      </x:c>
      <x:c r="D959" s="2" t="n">
        <x:v>7</x:v>
      </x:c>
      <x:c r="E959" s="2" t="n">
        <x:v>1</x:v>
      </x:c>
      <x:c r="F959" s="2" t="n">
        <x:v>8</x:v>
      </x:c>
      <x:c r="G959" s="2" t="str">
        <x:v>observed_post_release</x:v>
      </x:c>
      <x:c r="H959" s="2" t="n">
        <x:f>IF(AND(ISNUMBER(F959),F959&gt;=D959),1,0)</x:f>
        <x:v>1</x:v>
      </x:c>
      <x:c r="I959" s="2" t="n">
        <x:f>IF(AND(ISNUMBER(F959),F959&gt;D959),1,0)</x:f>
        <x:v>1</x:v>
      </x:c>
      <x:c r="J959" s="2" t="n">
        <x:f>IF(H959=1,F959-D959,"")</x:f>
        <x:v>1</x:v>
      </x:c>
      <x:c r="K959" s="2" t="n">
        <x:f>IF(H959=1,F959-E959,"")</x:f>
        <x:v>7</x:v>
      </x:c>
      <x:c r="L959" s="2" t="n">
        <x:v>9</x:v>
      </x:c>
      <x:c r="M959" s="2" t="n">
        <x:v>8</x:v>
      </x:c>
      <x:c r="N959" s="20" t="n">
        <x:v>0.4</x:v>
      </x:c>
      <x:c r="O959" s="20" t="n">
        <x:v>0.8</x:v>
      </x:c>
      <x:c r="P959" s="20" t="n">
        <x:v>0.75</x:v>
      </x:c>
      <x:c r="Q959" s="2" t="n">
        <x:v>42</x:v>
      </x:c>
      <x:c r="R959" s="2" t="str">
        <x:v>ENFJ</x:v>
      </x:c>
      <x:c r="S959" s="2" t="str">
        <x:v>西南</x:v>
      </x:c>
      <x:c r="T959" s="2" t="str">
        <x:v>行政或办公室岗位</x:v>
      </x:c>
    </x:row>
    <x:row r="960" ht="24" customHeight="1">
      <x:c r="A960" s="2" t="str">
        <x:v>D040_T07_C080_G075</x:v>
      </x:c>
      <x:c r="B960" s="2" t="str">
        <x:v>A0012</x:v>
      </x:c>
      <x:c r="C960" s="2" t="str">
        <x:v>inside</x:v>
      </x:c>
      <x:c r="D960" s="2" t="n">
        <x:v>7</x:v>
      </x:c>
      <x:c r="E960" s="2" t="n">
        <x:v>1</x:v>
      </x:c>
      <x:c r="F960" s="2"/>
      <x:c r="G960" s="2" t="str">
        <x:v>right_censored</x:v>
      </x:c>
      <x:c r="H960" s="2" t="n">
        <x:f>IF(AND(ISNUMBER(F960),F960&gt;=D960),1,0)</x:f>
        <x:v>0</x:v>
      </x:c>
      <x:c r="I960" s="2" t="n">
        <x:f>IF(AND(ISNUMBER(F960),F960&gt;D960),1,0)</x:f>
        <x:v>0</x:v>
      </x:c>
      <x:c r="J960" s="2" t="str">
        <x:f>IF(H960=1,F960-D960,"")</x:f>
      </x:c>
      <x:c r="K960" s="2" t="str">
        <x:f>IF(H960=1,F960-E960,"")</x:f>
      </x:c>
      <x:c r="L960" s="2" t="n">
        <x:v>9</x:v>
      </x:c>
      <x:c r="M960" s="2" t="n">
        <x:v>7</x:v>
      </x:c>
      <x:c r="N960" s="20" t="n">
        <x:v>0.4</x:v>
      </x:c>
      <x:c r="O960" s="20" t="n">
        <x:v>0.8</x:v>
      </x:c>
      <x:c r="P960" s="20" t="n">
        <x:v>0.75</x:v>
      </x:c>
      <x:c r="Q960" s="2" t="n">
        <x:v>38</x:v>
      </x:c>
      <x:c r="R960" s="2" t="str">
        <x:v>ESFP</x:v>
      </x:c>
      <x:c r="S960" s="2" t="str">
        <x:v>华中</x:v>
      </x:c>
      <x:c r="T960" s="2" t="str">
        <x:v>行政或办公室岗位</x:v>
      </x:c>
    </x:row>
    <x:row r="961" ht="24" customHeight="1">
      <x:c r="A961" s="2" t="str">
        <x:v>D040_T07_C080_G075</x:v>
      </x:c>
      <x:c r="B961" s="2" t="str">
        <x:v>A0014</x:v>
      </x:c>
      <x:c r="C961" s="2" t="str">
        <x:v>inside</x:v>
      </x:c>
      <x:c r="D961" s="2" t="n">
        <x:v>7</x:v>
      </x:c>
      <x:c r="E961" s="2" t="n">
        <x:v>1</x:v>
      </x:c>
      <x:c r="F961" s="2" t="n">
        <x:v>7</x:v>
      </x:c>
      <x:c r="G961" s="2" t="str">
        <x:v>observed_post_release</x:v>
      </x:c>
      <x:c r="H961" s="2" t="n">
        <x:f>IF(AND(ISNUMBER(F961),F961&gt;=D961),1,0)</x:f>
        <x:v>1</x:v>
      </x:c>
      <x:c r="I961" s="2" t="n">
        <x:f>IF(AND(ISNUMBER(F961),F961&gt;D961),1,0)</x:f>
        <x:v>0</x:v>
      </x:c>
      <x:c r="J961" s="2" t="n">
        <x:f>IF(H961=1,F961-D961,"")</x:f>
        <x:v>0</x:v>
      </x:c>
      <x:c r="K961" s="2" t="n">
        <x:f>IF(H961=1,F961-E961,"")</x:f>
        <x:v>6</x:v>
      </x:c>
      <x:c r="L961" s="2" t="n">
        <x:v>9</x:v>
      </x:c>
      <x:c r="M961" s="2" t="n">
        <x:v>7</x:v>
      </x:c>
      <x:c r="N961" s="20" t="n">
        <x:v>0.4</x:v>
      </x:c>
      <x:c r="O961" s="20" t="n">
        <x:v>0.8</x:v>
      </x:c>
      <x:c r="P961" s="20" t="n">
        <x:v>0.75</x:v>
      </x:c>
      <x:c r="Q961" s="2" t="n">
        <x:v>52</x:v>
      </x:c>
      <x:c r="R961" s="2" t="str">
        <x:v>INFJ</x:v>
      </x:c>
      <x:c r="S961" s="2" t="str">
        <x:v>华东</x:v>
      </x:c>
      <x:c r="T961" s="2" t="str">
        <x:v>生产运输或体力岗位</x:v>
      </x:c>
    </x:row>
    <x:row r="962" ht="24" customHeight="1">
      <x:c r="A962" s="2" t="str">
        <x:v>D040_T07_C080_G075</x:v>
      </x:c>
      <x:c r="B962" s="2" t="str">
        <x:v>A0016</x:v>
      </x:c>
      <x:c r="C962" s="2" t="str">
        <x:v>inside</x:v>
      </x:c>
      <x:c r="D962" s="2" t="n">
        <x:v>7</x:v>
      </x:c>
      <x:c r="E962" s="2" t="n">
        <x:v>1</x:v>
      </x:c>
      <x:c r="F962" s="2" t="n">
        <x:v>7</x:v>
      </x:c>
      <x:c r="G962" s="2" t="str">
        <x:v>observed_post_release</x:v>
      </x:c>
      <x:c r="H962" s="2" t="n">
        <x:f>IF(AND(ISNUMBER(F962),F962&gt;=D962),1,0)</x:f>
        <x:v>1</x:v>
      </x:c>
      <x:c r="I962" s="2" t="n">
        <x:f>IF(AND(ISNUMBER(F962),F962&gt;D962),1,0)</x:f>
        <x:v>0</x:v>
      </x:c>
      <x:c r="J962" s="2" t="n">
        <x:f>IF(H962=1,F962-D962,"")</x:f>
        <x:v>0</x:v>
      </x:c>
      <x:c r="K962" s="2" t="n">
        <x:f>IF(H962=1,F962-E962,"")</x:f>
        <x:v>6</x:v>
      </x:c>
      <x:c r="L962" s="2" t="n">
        <x:v>9</x:v>
      </x:c>
      <x:c r="M962" s="2" t="n">
        <x:v>7</x:v>
      </x:c>
      <x:c r="N962" s="20" t="n">
        <x:v>0.4</x:v>
      </x:c>
      <x:c r="O962" s="20" t="n">
        <x:v>0.8</x:v>
      </x:c>
      <x:c r="P962" s="20" t="n">
        <x:v>0.75</x:v>
      </x:c>
      <x:c r="Q962" s="2" t="n">
        <x:v>60</x:v>
      </x:c>
      <x:c r="R962" s="2" t="str">
        <x:v>ESFJ</x:v>
      </x:c>
      <x:c r="S962" s="2" t="str">
        <x:v>华北</x:v>
      </x:c>
      <x:c r="T962" s="2" t="str">
        <x:v>个体经营或自由职业</x:v>
      </x:c>
    </x:row>
    <x:row r="963" ht="24" customHeight="1">
      <x:c r="A963" s="2" t="str">
        <x:v>D040_T07_C080_G075</x:v>
      </x:c>
      <x:c r="B963" s="2" t="str">
        <x:v>A0017</x:v>
      </x:c>
      <x:c r="C963" s="2" t="str">
        <x:v>inside</x:v>
      </x:c>
      <x:c r="D963" s="2" t="n">
        <x:v>7</x:v>
      </x:c>
      <x:c r="E963" s="2" t="n">
        <x:v>1</x:v>
      </x:c>
      <x:c r="F963" s="2" t="n">
        <x:v>8</x:v>
      </x:c>
      <x:c r="G963" s="2" t="str">
        <x:v>observed_post_release</x:v>
      </x:c>
      <x:c r="H963" s="2" t="n">
        <x:f>IF(AND(ISNUMBER(F963),F963&gt;=D963),1,0)</x:f>
        <x:v>1</x:v>
      </x:c>
      <x:c r="I963" s="2" t="n">
        <x:f>IF(AND(ISNUMBER(F963),F963&gt;D963),1,0)</x:f>
        <x:v>1</x:v>
      </x:c>
      <x:c r="J963" s="2" t="n">
        <x:f>IF(H963=1,F963-D963,"")</x:f>
        <x:v>1</x:v>
      </x:c>
      <x:c r="K963" s="2" t="n">
        <x:f>IF(H963=1,F963-E963,"")</x:f>
        <x:v>7</x:v>
      </x:c>
      <x:c r="L963" s="2" t="n">
        <x:v>9</x:v>
      </x:c>
      <x:c r="M963" s="2" t="n">
        <x:v>8</x:v>
      </x:c>
      <x:c r="N963" s="20" t="n">
        <x:v>0.4</x:v>
      </x:c>
      <x:c r="O963" s="20" t="n">
        <x:v>0.8</x:v>
      </x:c>
      <x:c r="P963" s="20" t="n">
        <x:v>0.75</x:v>
      </x:c>
      <x:c r="Q963" s="2" t="n">
        <x:v>30</x:v>
      </x:c>
      <x:c r="R963" s="2" t="str">
        <x:v>ISTJ</x:v>
      </x:c>
      <x:c r="S963" s="2" t="str">
        <x:v>华东</x:v>
      </x:c>
      <x:c r="T963" s="2" t="str">
        <x:v>商业服务岗位</x:v>
      </x:c>
    </x:row>
    <x:row r="964" ht="24" customHeight="1">
      <x:c r="A964" s="2" t="str">
        <x:v>D040_T07_C080_G075</x:v>
      </x:c>
      <x:c r="B964" s="2" t="str">
        <x:v>A0018</x:v>
      </x:c>
      <x:c r="C964" s="2" t="str">
        <x:v>inside</x:v>
      </x:c>
      <x:c r="D964" s="2" t="n">
        <x:v>7</x:v>
      </x:c>
      <x:c r="E964" s="2" t="n">
        <x:v>1</x:v>
      </x:c>
      <x:c r="F964" s="2" t="n">
        <x:v>7</x:v>
      </x:c>
      <x:c r="G964" s="2" t="str">
        <x:v>observed_post_release</x:v>
      </x:c>
      <x:c r="H964" s="2" t="n">
        <x:f>IF(AND(ISNUMBER(F964),F964&gt;=D964),1,0)</x:f>
        <x:v>1</x:v>
      </x:c>
      <x:c r="I964" s="2" t="n">
        <x:f>IF(AND(ISNUMBER(F964),F964&gt;D964),1,0)</x:f>
        <x:v>0</x:v>
      </x:c>
      <x:c r="J964" s="2" t="n">
        <x:f>IF(H964=1,F964-D964,"")</x:f>
        <x:v>0</x:v>
      </x:c>
      <x:c r="K964" s="2" t="n">
        <x:f>IF(H964=1,F964-E964,"")</x:f>
        <x:v>6</x:v>
      </x:c>
      <x:c r="L964" s="2" t="n">
        <x:v>9</x:v>
      </x:c>
      <x:c r="M964" s="2" t="n">
        <x:v>7</x:v>
      </x:c>
      <x:c r="N964" s="20" t="n">
        <x:v>0.4</x:v>
      </x:c>
      <x:c r="O964" s="20" t="n">
        <x:v>0.8</x:v>
      </x:c>
      <x:c r="P964" s="20" t="n">
        <x:v>0.75</x:v>
      </x:c>
      <x:c r="Q964" s="2" t="n">
        <x:v>60</x:v>
      </x:c>
      <x:c r="R964" s="2" t="str">
        <x:v>INTJ</x:v>
      </x:c>
      <x:c r="S964" s="2" t="str">
        <x:v>华南</x:v>
      </x:c>
      <x:c r="T964" s="2" t="str">
        <x:v>专业技术岗位</x:v>
      </x:c>
    </x:row>
    <x:row r="965" ht="24" customHeight="1">
      <x:c r="A965" s="2" t="str">
        <x:v>D040_T07_C080_G075</x:v>
      </x:c>
      <x:c r="B965" s="2" t="str">
        <x:v>A0019</x:v>
      </x:c>
      <x:c r="C965" s="2" t="str">
        <x:v>inside</x:v>
      </x:c>
      <x:c r="D965" s="2" t="n">
        <x:v>7</x:v>
      </x:c>
      <x:c r="E965" s="2" t="n">
        <x:v>1</x:v>
      </x:c>
      <x:c r="F965" s="2" t="n">
        <x:v>7</x:v>
      </x:c>
      <x:c r="G965" s="2" t="str">
        <x:v>observed_post_release</x:v>
      </x:c>
      <x:c r="H965" s="2" t="n">
        <x:f>IF(AND(ISNUMBER(F965),F965&gt;=D965),1,0)</x:f>
        <x:v>1</x:v>
      </x:c>
      <x:c r="I965" s="2" t="n">
        <x:f>IF(AND(ISNUMBER(F965),F965&gt;D965),1,0)</x:f>
        <x:v>0</x:v>
      </x:c>
      <x:c r="J965" s="2" t="n">
        <x:f>IF(H965=1,F965-D965,"")</x:f>
        <x:v>0</x:v>
      </x:c>
      <x:c r="K965" s="2" t="n">
        <x:f>IF(H965=1,F965-E965,"")</x:f>
        <x:v>6</x:v>
      </x:c>
      <x:c r="L965" s="2" t="n">
        <x:v>9</x:v>
      </x:c>
      <x:c r="M965" s="2" t="n">
        <x:v>7</x:v>
      </x:c>
      <x:c r="N965" s="20" t="n">
        <x:v>0.4</x:v>
      </x:c>
      <x:c r="O965" s="20" t="n">
        <x:v>0.8</x:v>
      </x:c>
      <x:c r="P965" s="20" t="n">
        <x:v>0.75</x:v>
      </x:c>
      <x:c r="Q965" s="2" t="n">
        <x:v>19</x:v>
      </x:c>
      <x:c r="R965" s="2" t="str">
        <x:v>INTJ</x:v>
      </x:c>
      <x:c r="S965" s="2" t="str">
        <x:v>西南</x:v>
      </x:c>
      <x:c r="T965" s="2" t="str">
        <x:v>行政或办公室岗位</x:v>
      </x:c>
    </x:row>
    <x:row r="966" ht="24" customHeight="1">
      <x:c r="A966" s="2" t="str">
        <x:v>D040_T07_C080_G075</x:v>
      </x:c>
      <x:c r="B966" s="2" t="str">
        <x:v>A0020</x:v>
      </x:c>
      <x:c r="C966" s="2" t="str">
        <x:v>inside</x:v>
      </x:c>
      <x:c r="D966" s="2" t="n">
        <x:v>7</x:v>
      </x:c>
      <x:c r="E966" s="2" t="n">
        <x:v>1</x:v>
      </x:c>
      <x:c r="F966" s="2" t="n">
        <x:v>7</x:v>
      </x:c>
      <x:c r="G966" s="2" t="str">
        <x:v>observed_post_release</x:v>
      </x:c>
      <x:c r="H966" s="2" t="n">
        <x:f>IF(AND(ISNUMBER(F966),F966&gt;=D966),1,0)</x:f>
        <x:v>1</x:v>
      </x:c>
      <x:c r="I966" s="2" t="n">
        <x:f>IF(AND(ISNUMBER(F966),F966&gt;D966),1,0)</x:f>
        <x:v>0</x:v>
      </x:c>
      <x:c r="J966" s="2" t="n">
        <x:f>IF(H966=1,F966-D966,"")</x:f>
        <x:v>0</x:v>
      </x:c>
      <x:c r="K966" s="2" t="n">
        <x:f>IF(H966=1,F966-E966,"")</x:f>
        <x:v>6</x:v>
      </x:c>
      <x:c r="L966" s="2" t="n">
        <x:v>9</x:v>
      </x:c>
      <x:c r="M966" s="2" t="n">
        <x:v>7</x:v>
      </x:c>
      <x:c r="N966" s="20" t="n">
        <x:v>0.4</x:v>
      </x:c>
      <x:c r="O966" s="20" t="n">
        <x:v>0.8</x:v>
      </x:c>
      <x:c r="P966" s="20" t="n">
        <x:v>0.75</x:v>
      </x:c>
      <x:c r="Q966" s="2" t="n">
        <x:v>42</x:v>
      </x:c>
      <x:c r="R966" s="2" t="str">
        <x:v>ENTJ</x:v>
      </x:c>
      <x:c r="S966" s="2" t="str">
        <x:v>西南</x:v>
      </x:c>
      <x:c r="T966" s="2" t="str">
        <x:v>行政或办公室岗位</x:v>
      </x:c>
    </x:row>
    <x:row r="967" ht="24" customHeight="1">
      <x:c r="A967" s="2" t="str">
        <x:v>D040_T07_C080_G075</x:v>
      </x:c>
      <x:c r="B967" s="2" t="str">
        <x:v>A0022</x:v>
      </x:c>
      <x:c r="C967" s="2" t="str">
        <x:v>inside</x:v>
      </x:c>
      <x:c r="D967" s="2" t="n">
        <x:v>7</x:v>
      </x:c>
      <x:c r="E967" s="2" t="n">
        <x:v>1</x:v>
      </x:c>
      <x:c r="F967" s="2" t="n">
        <x:v>7</x:v>
      </x:c>
      <x:c r="G967" s="2" t="str">
        <x:v>observed_post_release</x:v>
      </x:c>
      <x:c r="H967" s="2" t="n">
        <x:f>IF(AND(ISNUMBER(F967),F967&gt;=D967),1,0)</x:f>
        <x:v>1</x:v>
      </x:c>
      <x:c r="I967" s="2" t="n">
        <x:f>IF(AND(ISNUMBER(F967),F967&gt;D967),1,0)</x:f>
        <x:v>0</x:v>
      </x:c>
      <x:c r="J967" s="2" t="n">
        <x:f>IF(H967=1,F967-D967,"")</x:f>
        <x:v>0</x:v>
      </x:c>
      <x:c r="K967" s="2" t="n">
        <x:f>IF(H967=1,F967-E967,"")</x:f>
        <x:v>6</x:v>
      </x:c>
      <x:c r="L967" s="2" t="n">
        <x:v>9</x:v>
      </x:c>
      <x:c r="M967" s="2" t="n">
        <x:v>7</x:v>
      </x:c>
      <x:c r="N967" s="20" t="n">
        <x:v>0.4</x:v>
      </x:c>
      <x:c r="O967" s="20" t="n">
        <x:v>0.8</x:v>
      </x:c>
      <x:c r="P967" s="20" t="n">
        <x:v>0.75</x:v>
      </x:c>
      <x:c r="Q967" s="2" t="n">
        <x:v>51</x:v>
      </x:c>
      <x:c r="R967" s="2" t="str">
        <x:v>INFJ</x:v>
      </x:c>
      <x:c r="S967" s="2" t="str">
        <x:v>西南</x:v>
      </x:c>
      <x:c r="T967" s="2" t="str">
        <x:v>个体经营或自由职业</x:v>
      </x:c>
    </x:row>
    <x:row r="968" ht="24" customHeight="1">
      <x:c r="A968" s="2" t="str">
        <x:v>D040_T07_C080_G075</x:v>
      </x:c>
      <x:c r="B968" s="2" t="str">
        <x:v>A0023</x:v>
      </x:c>
      <x:c r="C968" s="2" t="str">
        <x:v>inside</x:v>
      </x:c>
      <x:c r="D968" s="2" t="n">
        <x:v>7</x:v>
      </x:c>
      <x:c r="E968" s="2" t="n">
        <x:v>1</x:v>
      </x:c>
      <x:c r="F968" s="2" t="n">
        <x:v>7</x:v>
      </x:c>
      <x:c r="G968" s="2" t="str">
        <x:v>observed_post_release</x:v>
      </x:c>
      <x:c r="H968" s="2" t="n">
        <x:f>IF(AND(ISNUMBER(F968),F968&gt;=D968),1,0)</x:f>
        <x:v>1</x:v>
      </x:c>
      <x:c r="I968" s="2" t="n">
        <x:f>IF(AND(ISNUMBER(F968),F968&gt;D968),1,0)</x:f>
        <x:v>0</x:v>
      </x:c>
      <x:c r="J968" s="2" t="n">
        <x:f>IF(H968=1,F968-D968,"")</x:f>
        <x:v>0</x:v>
      </x:c>
      <x:c r="K968" s="2" t="n">
        <x:f>IF(H968=1,F968-E968,"")</x:f>
        <x:v>6</x:v>
      </x:c>
      <x:c r="L968" s="2" t="n">
        <x:v>9</x:v>
      </x:c>
      <x:c r="M968" s="2" t="n">
        <x:v>7</x:v>
      </x:c>
      <x:c r="N968" s="20" t="n">
        <x:v>0.4</x:v>
      </x:c>
      <x:c r="O968" s="20" t="n">
        <x:v>0.8</x:v>
      </x:c>
      <x:c r="P968" s="20" t="n">
        <x:v>0.75</x:v>
      </x:c>
      <x:c r="Q968" s="2" t="n">
        <x:v>56</x:v>
      </x:c>
      <x:c r="R968" s="2" t="str">
        <x:v>INFP</x:v>
      </x:c>
      <x:c r="S968" s="2" t="str">
        <x:v>东北</x:v>
      </x:c>
      <x:c r="T968" s="2" t="str">
        <x:v>行政或办公室岗位</x:v>
      </x:c>
    </x:row>
    <x:row r="969" ht="24" customHeight="1">
      <x:c r="A969" s="2" t="str">
        <x:v>D040_T07_C080_G075</x:v>
      </x:c>
      <x:c r="B969" s="2" t="str">
        <x:v>A0024</x:v>
      </x:c>
      <x:c r="C969" s="2" t="str">
        <x:v>inside</x:v>
      </x:c>
      <x:c r="D969" s="2" t="n">
        <x:v>7</x:v>
      </x:c>
      <x:c r="E969" s="2" t="n">
        <x:v>1</x:v>
      </x:c>
      <x:c r="F969" s="2" t="n">
        <x:v>8</x:v>
      </x:c>
      <x:c r="G969" s="2" t="str">
        <x:v>observed_post_release</x:v>
      </x:c>
      <x:c r="H969" s="2" t="n">
        <x:f>IF(AND(ISNUMBER(F969),F969&gt;=D969),1,0)</x:f>
        <x:v>1</x:v>
      </x:c>
      <x:c r="I969" s="2" t="n">
        <x:f>IF(AND(ISNUMBER(F969),F969&gt;D969),1,0)</x:f>
        <x:v>1</x:v>
      </x:c>
      <x:c r="J969" s="2" t="n">
        <x:f>IF(H969=1,F969-D969,"")</x:f>
        <x:v>1</x:v>
      </x:c>
      <x:c r="K969" s="2" t="n">
        <x:f>IF(H969=1,F969-E969,"")</x:f>
        <x:v>7</x:v>
      </x:c>
      <x:c r="L969" s="2" t="n">
        <x:v>9</x:v>
      </x:c>
      <x:c r="M969" s="2" t="n">
        <x:v>7</x:v>
      </x:c>
      <x:c r="N969" s="20" t="n">
        <x:v>0.4</x:v>
      </x:c>
      <x:c r="O969" s="20" t="n">
        <x:v>0.8</x:v>
      </x:c>
      <x:c r="P969" s="20" t="n">
        <x:v>0.75</x:v>
      </x:c>
      <x:c r="Q969" s="2" t="n">
        <x:v>31</x:v>
      </x:c>
      <x:c r="R969" s="2" t="str">
        <x:v>ESTP</x:v>
      </x:c>
      <x:c r="S969" s="2" t="str">
        <x:v>华北</x:v>
      </x:c>
      <x:c r="T969" s="2" t="str">
        <x:v>商业服务岗位</x:v>
      </x:c>
    </x:row>
    <x:row r="970" ht="24" customHeight="1">
      <x:c r="A970" s="2" t="str">
        <x:v>D040_T07_C080_G075</x:v>
      </x:c>
      <x:c r="B970" s="2" t="str">
        <x:v>A0025</x:v>
      </x:c>
      <x:c r="C970" s="2" t="str">
        <x:v>inside</x:v>
      </x:c>
      <x:c r="D970" s="2" t="n">
        <x:v>7</x:v>
      </x:c>
      <x:c r="E970" s="2" t="n">
        <x:v>1</x:v>
      </x:c>
      <x:c r="F970" s="2" t="n">
        <x:v>7</x:v>
      </x:c>
      <x:c r="G970" s="2" t="str">
        <x:v>observed_post_release</x:v>
      </x:c>
      <x:c r="H970" s="2" t="n">
        <x:f>IF(AND(ISNUMBER(F970),F970&gt;=D970),1,0)</x:f>
        <x:v>1</x:v>
      </x:c>
      <x:c r="I970" s="2" t="n">
        <x:f>IF(AND(ISNUMBER(F970),F970&gt;D970),1,0)</x:f>
        <x:v>0</x:v>
      </x:c>
      <x:c r="J970" s="2" t="n">
        <x:f>IF(H970=1,F970-D970,"")</x:f>
        <x:v>0</x:v>
      </x:c>
      <x:c r="K970" s="2" t="n">
        <x:f>IF(H970=1,F970-E970,"")</x:f>
        <x:v>6</x:v>
      </x:c>
      <x:c r="L970" s="2" t="n">
        <x:v>9</x:v>
      </x:c>
      <x:c r="M970" s="2" t="n">
        <x:v>7</x:v>
      </x:c>
      <x:c r="N970" s="20" t="n">
        <x:v>0.4</x:v>
      </x:c>
      <x:c r="O970" s="20" t="n">
        <x:v>0.8</x:v>
      </x:c>
      <x:c r="P970" s="20" t="n">
        <x:v>0.75</x:v>
      </x:c>
      <x:c r="Q970" s="2" t="n">
        <x:v>23</x:v>
      </x:c>
      <x:c r="R970" s="2" t="str">
        <x:v>ISTP</x:v>
      </x:c>
      <x:c r="S970" s="2" t="str">
        <x:v>华南</x:v>
      </x:c>
      <x:c r="T970" s="2" t="str">
        <x:v>行政或办公室岗位</x:v>
      </x:c>
    </x:row>
    <x:row r="971" ht="24" customHeight="1">
      <x:c r="A971" s="2" t="str">
        <x:v>D040_T07_C080_G075</x:v>
      </x:c>
      <x:c r="B971" s="2" t="str">
        <x:v>A0026</x:v>
      </x:c>
      <x:c r="C971" s="2" t="str">
        <x:v>inside</x:v>
      </x:c>
      <x:c r="D971" s="2" t="n">
        <x:v>7</x:v>
      </x:c>
      <x:c r="E971" s="2" t="n">
        <x:v>1</x:v>
      </x:c>
      <x:c r="F971" s="2" t="n">
        <x:v>7</x:v>
      </x:c>
      <x:c r="G971" s="2" t="str">
        <x:v>observed_post_release</x:v>
      </x:c>
      <x:c r="H971" s="2" t="n">
        <x:f>IF(AND(ISNUMBER(F971),F971&gt;=D971),1,0)</x:f>
        <x:v>1</x:v>
      </x:c>
      <x:c r="I971" s="2" t="n">
        <x:f>IF(AND(ISNUMBER(F971),F971&gt;D971),1,0)</x:f>
        <x:v>0</x:v>
      </x:c>
      <x:c r="J971" s="2" t="n">
        <x:f>IF(H971=1,F971-D971,"")</x:f>
        <x:v>0</x:v>
      </x:c>
      <x:c r="K971" s="2" t="n">
        <x:f>IF(H971=1,F971-E971,"")</x:f>
        <x:v>6</x:v>
      </x:c>
      <x:c r="L971" s="2" t="n">
        <x:v>9</x:v>
      </x:c>
      <x:c r="M971" s="2" t="n">
        <x:v>7</x:v>
      </x:c>
      <x:c r="N971" s="20" t="n">
        <x:v>0.4</x:v>
      </x:c>
      <x:c r="O971" s="20" t="n">
        <x:v>0.8</x:v>
      </x:c>
      <x:c r="P971" s="20" t="n">
        <x:v>0.75</x:v>
      </x:c>
      <x:c r="Q971" s="2" t="n">
        <x:v>36</x:v>
      </x:c>
      <x:c r="R971" s="2" t="str">
        <x:v>ISFP</x:v>
      </x:c>
      <x:c r="S971" s="2" t="str">
        <x:v>西北</x:v>
      </x:c>
      <x:c r="T971" s="2" t="str">
        <x:v>个体经营或自由职业</x:v>
      </x:c>
    </x:row>
    <x:row r="972" ht="24" customHeight="1">
      <x:c r="A972" s="2" t="str">
        <x:v>D040_T07_C080_G075</x:v>
      </x:c>
      <x:c r="B972" s="2" t="str">
        <x:v>A0027</x:v>
      </x:c>
      <x:c r="C972" s="2" t="str">
        <x:v>inside</x:v>
      </x:c>
      <x:c r="D972" s="2" t="n">
        <x:v>7</x:v>
      </x:c>
      <x:c r="E972" s="2" t="n">
        <x:v>1</x:v>
      </x:c>
      <x:c r="F972" s="2" t="n">
        <x:v>7</x:v>
      </x:c>
      <x:c r="G972" s="2" t="str">
        <x:v>observed_post_release</x:v>
      </x:c>
      <x:c r="H972" s="2" t="n">
        <x:f>IF(AND(ISNUMBER(F972),F972&gt;=D972),1,0)</x:f>
        <x:v>1</x:v>
      </x:c>
      <x:c r="I972" s="2" t="n">
        <x:f>IF(AND(ISNUMBER(F972),F972&gt;D972),1,0)</x:f>
        <x:v>0</x:v>
      </x:c>
      <x:c r="J972" s="2" t="n">
        <x:f>IF(H972=1,F972-D972,"")</x:f>
        <x:v>0</x:v>
      </x:c>
      <x:c r="K972" s="2" t="n">
        <x:f>IF(H972=1,F972-E972,"")</x:f>
        <x:v>6</x:v>
      </x:c>
      <x:c r="L972" s="2" t="n">
        <x:v>9</x:v>
      </x:c>
      <x:c r="M972" s="2" t="n">
        <x:v>7</x:v>
      </x:c>
      <x:c r="N972" s="20" t="n">
        <x:v>0.4</x:v>
      </x:c>
      <x:c r="O972" s="20" t="n">
        <x:v>0.8</x:v>
      </x:c>
      <x:c r="P972" s="20" t="n">
        <x:v>0.75</x:v>
      </x:c>
      <x:c r="Q972" s="2" t="n">
        <x:v>25</x:v>
      </x:c>
      <x:c r="R972" s="2" t="str">
        <x:v>ESFP</x:v>
      </x:c>
      <x:c r="S972" s="2" t="str">
        <x:v>西北</x:v>
      </x:c>
      <x:c r="T972" s="2" t="str">
        <x:v>暂未就业或家庭照料</x:v>
      </x:c>
    </x:row>
    <x:row r="973" ht="24" customHeight="1">
      <x:c r="A973" s="2" t="str">
        <x:v>D040_T07_C080_G075</x:v>
      </x:c>
      <x:c r="B973" s="2" t="str">
        <x:v>A0029</x:v>
      </x:c>
      <x:c r="C973" s="2" t="str">
        <x:v>inside</x:v>
      </x:c>
      <x:c r="D973" s="2" t="n">
        <x:v>7</x:v>
      </x:c>
      <x:c r="E973" s="2" t="n">
        <x:v>1</x:v>
      </x:c>
      <x:c r="F973" s="2" t="n">
        <x:v>8</x:v>
      </x:c>
      <x:c r="G973" s="2" t="str">
        <x:v>observed_post_release</x:v>
      </x:c>
      <x:c r="H973" s="2" t="n">
        <x:f>IF(AND(ISNUMBER(F973),F973&gt;=D973),1,0)</x:f>
        <x:v>1</x:v>
      </x:c>
      <x:c r="I973" s="2" t="n">
        <x:f>IF(AND(ISNUMBER(F973),F973&gt;D973),1,0)</x:f>
        <x:v>1</x:v>
      </x:c>
      <x:c r="J973" s="2" t="n">
        <x:f>IF(H973=1,F973-D973,"")</x:f>
        <x:v>1</x:v>
      </x:c>
      <x:c r="K973" s="2" t="n">
        <x:f>IF(H973=1,F973-E973,"")</x:f>
        <x:v>7</x:v>
      </x:c>
      <x:c r="L973" s="2" t="n">
        <x:v>9</x:v>
      </x:c>
      <x:c r="M973" s="2" t="n">
        <x:v>7</x:v>
      </x:c>
      <x:c r="N973" s="20" t="n">
        <x:v>0.4</x:v>
      </x:c>
      <x:c r="O973" s="20" t="n">
        <x:v>0.8</x:v>
      </x:c>
      <x:c r="P973" s="20" t="n">
        <x:v>0.75</x:v>
      </x:c>
      <x:c r="Q973" s="2" t="n">
        <x:v>69</x:v>
      </x:c>
      <x:c r="R973" s="2" t="str">
        <x:v>ENTP</x:v>
      </x:c>
      <x:c r="S973" s="2" t="str">
        <x:v>华东</x:v>
      </x:c>
      <x:c r="T973" s="2" t="str">
        <x:v>退休人员</x:v>
      </x:c>
    </x:row>
    <x:row r="974" ht="24" customHeight="1">
      <x:c r="A974" s="2" t="str">
        <x:v>D040_T07_C080_G075</x:v>
      </x:c>
      <x:c r="B974" s="2" t="str">
        <x:v>A0030</x:v>
      </x:c>
      <x:c r="C974" s="2" t="str">
        <x:v>inside</x:v>
      </x:c>
      <x:c r="D974" s="2" t="n">
        <x:v>7</x:v>
      </x:c>
      <x:c r="E974" s="2" t="n">
        <x:v>1</x:v>
      </x:c>
      <x:c r="F974" s="2" t="n">
        <x:v>7</x:v>
      </x:c>
      <x:c r="G974" s="2" t="str">
        <x:v>observed_post_release</x:v>
      </x:c>
      <x:c r="H974" s="2" t="n">
        <x:f>IF(AND(ISNUMBER(F974),F974&gt;=D974),1,0)</x:f>
        <x:v>1</x:v>
      </x:c>
      <x:c r="I974" s="2" t="n">
        <x:f>IF(AND(ISNUMBER(F974),F974&gt;D974),1,0)</x:f>
        <x:v>0</x:v>
      </x:c>
      <x:c r="J974" s="2" t="n">
        <x:f>IF(H974=1,F974-D974,"")</x:f>
        <x:v>0</x:v>
      </x:c>
      <x:c r="K974" s="2" t="n">
        <x:f>IF(H974=1,F974-E974,"")</x:f>
        <x:v>6</x:v>
      </x:c>
      <x:c r="L974" s="2" t="n">
        <x:v>9</x:v>
      </x:c>
      <x:c r="M974" s="2" t="n">
        <x:v>7</x:v>
      </x:c>
      <x:c r="N974" s="20" t="n">
        <x:v>0.4</x:v>
      </x:c>
      <x:c r="O974" s="20" t="n">
        <x:v>0.8</x:v>
      </x:c>
      <x:c r="P974" s="20" t="n">
        <x:v>0.75</x:v>
      </x:c>
      <x:c r="Q974" s="2" t="n">
        <x:v>23</x:v>
      </x:c>
      <x:c r="R974" s="2" t="str">
        <x:v>ISFP</x:v>
      </x:c>
      <x:c r="S974" s="2" t="str">
        <x:v>华东</x:v>
      </x:c>
      <x:c r="T974" s="2" t="str">
        <x:v>在校学生</x:v>
      </x:c>
    </x:row>
    <x:row r="975" ht="24" customHeight="1">
      <x:c r="A975" s="2" t="str">
        <x:v>D040_T07_C080_G075</x:v>
      </x:c>
      <x:c r="B975" s="2" t="str">
        <x:v>A0032</x:v>
      </x:c>
      <x:c r="C975" s="2" t="str">
        <x:v>inside</x:v>
      </x:c>
      <x:c r="D975" s="2" t="n">
        <x:v>7</x:v>
      </x:c>
      <x:c r="E975" s="2" t="n">
        <x:v>1</x:v>
      </x:c>
      <x:c r="F975" s="2" t="n">
        <x:v>7</x:v>
      </x:c>
      <x:c r="G975" s="2" t="str">
        <x:v>observed_post_release</x:v>
      </x:c>
      <x:c r="H975" s="2" t="n">
        <x:f>IF(AND(ISNUMBER(F975),F975&gt;=D975),1,0)</x:f>
        <x:v>1</x:v>
      </x:c>
      <x:c r="I975" s="2" t="n">
        <x:f>IF(AND(ISNUMBER(F975),F975&gt;D975),1,0)</x:f>
        <x:v>0</x:v>
      </x:c>
      <x:c r="J975" s="2" t="n">
        <x:f>IF(H975=1,F975-D975,"")</x:f>
        <x:v>0</x:v>
      </x:c>
      <x:c r="K975" s="2" t="n">
        <x:f>IF(H975=1,F975-E975,"")</x:f>
        <x:v>6</x:v>
      </x:c>
      <x:c r="L975" s="2" t="n">
        <x:v>9</x:v>
      </x:c>
      <x:c r="M975" s="2" t="n">
        <x:v>7</x:v>
      </x:c>
      <x:c r="N975" s="20" t="n">
        <x:v>0.4</x:v>
      </x:c>
      <x:c r="O975" s="20" t="n">
        <x:v>0.8</x:v>
      </x:c>
      <x:c r="P975" s="20" t="n">
        <x:v>0.75</x:v>
      </x:c>
      <x:c r="Q975" s="2" t="n">
        <x:v>53</x:v>
      </x:c>
      <x:c r="R975" s="2" t="str">
        <x:v>INTP</x:v>
      </x:c>
      <x:c r="S975" s="2" t="str">
        <x:v>华北</x:v>
      </x:c>
      <x:c r="T975" s="2" t="str">
        <x:v>个体经营或自由职业</x:v>
      </x:c>
    </x:row>
    <x:row r="976" ht="24" customHeight="1">
      <x:c r="A976" s="2" t="str">
        <x:v>D040_T07_C080_G075</x:v>
      </x:c>
      <x:c r="B976" s="2" t="str">
        <x:v>A0033</x:v>
      </x:c>
      <x:c r="C976" s="2" t="str">
        <x:v>inside</x:v>
      </x:c>
      <x:c r="D976" s="2" t="n">
        <x:v>7</x:v>
      </x:c>
      <x:c r="E976" s="2" t="n">
        <x:v>1</x:v>
      </x:c>
      <x:c r="F976" s="2" t="n">
        <x:v>7</x:v>
      </x:c>
      <x:c r="G976" s="2" t="str">
        <x:v>observed_post_release</x:v>
      </x:c>
      <x:c r="H976" s="2" t="n">
        <x:f>IF(AND(ISNUMBER(F976),F976&gt;=D976),1,0)</x:f>
        <x:v>1</x:v>
      </x:c>
      <x:c r="I976" s="2" t="n">
        <x:f>IF(AND(ISNUMBER(F976),F976&gt;D976),1,0)</x:f>
        <x:v>0</x:v>
      </x:c>
      <x:c r="J976" s="2" t="n">
        <x:f>IF(H976=1,F976-D976,"")</x:f>
        <x:v>0</x:v>
      </x:c>
      <x:c r="K976" s="2" t="n">
        <x:f>IF(H976=1,F976-E976,"")</x:f>
        <x:v>6</x:v>
      </x:c>
      <x:c r="L976" s="2" t="n">
        <x:v>9</x:v>
      </x:c>
      <x:c r="M976" s="2" t="n">
        <x:v>7</x:v>
      </x:c>
      <x:c r="N976" s="20" t="n">
        <x:v>0.4</x:v>
      </x:c>
      <x:c r="O976" s="20" t="n">
        <x:v>0.8</x:v>
      </x:c>
      <x:c r="P976" s="20" t="n">
        <x:v>0.75</x:v>
      </x:c>
      <x:c r="Q976" s="2" t="n">
        <x:v>55</x:v>
      </x:c>
      <x:c r="R976" s="2" t="str">
        <x:v>ENFP</x:v>
      </x:c>
      <x:c r="S976" s="2" t="str">
        <x:v>华南</x:v>
      </x:c>
      <x:c r="T976" s="2" t="str">
        <x:v>个体经营或自由职业</x:v>
      </x:c>
    </x:row>
    <x:row r="977" ht="24" customHeight="1">
      <x:c r="A977" s="2" t="str">
        <x:v>D040_T07_C080_G075</x:v>
      </x:c>
      <x:c r="B977" s="2" t="str">
        <x:v>A0034</x:v>
      </x:c>
      <x:c r="C977" s="2" t="str">
        <x:v>inside</x:v>
      </x:c>
      <x:c r="D977" s="2" t="n">
        <x:v>7</x:v>
      </x:c>
      <x:c r="E977" s="2" t="n">
        <x:v>1</x:v>
      </x:c>
      <x:c r="F977" s="2" t="n">
        <x:v>7</x:v>
      </x:c>
      <x:c r="G977" s="2" t="str">
        <x:v>observed_post_release</x:v>
      </x:c>
      <x:c r="H977" s="2" t="n">
        <x:f>IF(AND(ISNUMBER(F977),F977&gt;=D977),1,0)</x:f>
        <x:v>1</x:v>
      </x:c>
      <x:c r="I977" s="2" t="n">
        <x:f>IF(AND(ISNUMBER(F977),F977&gt;D977),1,0)</x:f>
        <x:v>0</x:v>
      </x:c>
      <x:c r="J977" s="2" t="n">
        <x:f>IF(H977=1,F977-D977,"")</x:f>
        <x:v>0</x:v>
      </x:c>
      <x:c r="K977" s="2" t="n">
        <x:f>IF(H977=1,F977-E977,"")</x:f>
        <x:v>6</x:v>
      </x:c>
      <x:c r="L977" s="2" t="n">
        <x:v>9</x:v>
      </x:c>
      <x:c r="M977" s="2" t="n">
        <x:v>7</x:v>
      </x:c>
      <x:c r="N977" s="20" t="n">
        <x:v>0.4</x:v>
      </x:c>
      <x:c r="O977" s="20" t="n">
        <x:v>0.8</x:v>
      </x:c>
      <x:c r="P977" s="20" t="n">
        <x:v>0.75</x:v>
      </x:c>
      <x:c r="Q977" s="2" t="n">
        <x:v>36</x:v>
      </x:c>
      <x:c r="R977" s="2" t="str">
        <x:v>INTP</x:v>
      </x:c>
      <x:c r="S977" s="2" t="str">
        <x:v>华南</x:v>
      </x:c>
      <x:c r="T977" s="2" t="str">
        <x:v>专业技术岗位</x:v>
      </x:c>
    </x:row>
    <x:row r="978" ht="24" customHeight="1">
      <x:c r="A978" s="2" t="str">
        <x:v>D040_T07_C080_G075</x:v>
      </x:c>
      <x:c r="B978" s="2" t="str">
        <x:v>A0035</x:v>
      </x:c>
      <x:c r="C978" s="2" t="str">
        <x:v>inside</x:v>
      </x:c>
      <x:c r="D978" s="2" t="n">
        <x:v>7</x:v>
      </x:c>
      <x:c r="E978" s="2" t="n">
        <x:v>1</x:v>
      </x:c>
      <x:c r="F978" s="2" t="n">
        <x:v>7</x:v>
      </x:c>
      <x:c r="G978" s="2" t="str">
        <x:v>observed_post_release</x:v>
      </x:c>
      <x:c r="H978" s="2" t="n">
        <x:f>IF(AND(ISNUMBER(F978),F978&gt;=D978),1,0)</x:f>
        <x:v>1</x:v>
      </x:c>
      <x:c r="I978" s="2" t="n">
        <x:f>IF(AND(ISNUMBER(F978),F978&gt;D978),1,0)</x:f>
        <x:v>0</x:v>
      </x:c>
      <x:c r="J978" s="2" t="n">
        <x:f>IF(H978=1,F978-D978,"")</x:f>
        <x:v>0</x:v>
      </x:c>
      <x:c r="K978" s="2" t="n">
        <x:f>IF(H978=1,F978-E978,"")</x:f>
        <x:v>6</x:v>
      </x:c>
      <x:c r="L978" s="2" t="n">
        <x:v>9</x:v>
      </x:c>
      <x:c r="M978" s="2" t="n">
        <x:v>7</x:v>
      </x:c>
      <x:c r="N978" s="20" t="n">
        <x:v>0.4</x:v>
      </x:c>
      <x:c r="O978" s="20" t="n">
        <x:v>0.8</x:v>
      </x:c>
      <x:c r="P978" s="20" t="n">
        <x:v>0.75</x:v>
      </x:c>
      <x:c r="Q978" s="2" t="n">
        <x:v>42</x:v>
      </x:c>
      <x:c r="R978" s="2" t="str">
        <x:v>ISFJ</x:v>
      </x:c>
      <x:c r="S978" s="2" t="str">
        <x:v>华南</x:v>
      </x:c>
      <x:c r="T978" s="2" t="str">
        <x:v>专业技术岗位</x:v>
      </x:c>
    </x:row>
    <x:row r="979" ht="24" customHeight="1">
      <x:c r="A979" s="2" t="str">
        <x:v>D040_T07_C080_G075</x:v>
      </x:c>
      <x:c r="B979" s="2" t="str">
        <x:v>A0036</x:v>
      </x:c>
      <x:c r="C979" s="2" t="str">
        <x:v>inside</x:v>
      </x:c>
      <x:c r="D979" s="2" t="n">
        <x:v>7</x:v>
      </x:c>
      <x:c r="E979" s="2" t="n">
        <x:v>1</x:v>
      </x:c>
      <x:c r="F979" s="2" t="n">
        <x:v>7</x:v>
      </x:c>
      <x:c r="G979" s="2" t="str">
        <x:v>observed_post_release</x:v>
      </x:c>
      <x:c r="H979" s="2" t="n">
        <x:f>IF(AND(ISNUMBER(F979),F979&gt;=D979),1,0)</x:f>
        <x:v>1</x:v>
      </x:c>
      <x:c r="I979" s="2" t="n">
        <x:f>IF(AND(ISNUMBER(F979),F979&gt;D979),1,0)</x:f>
        <x:v>0</x:v>
      </x:c>
      <x:c r="J979" s="2" t="n">
        <x:f>IF(H979=1,F979-D979,"")</x:f>
        <x:v>0</x:v>
      </x:c>
      <x:c r="K979" s="2" t="n">
        <x:f>IF(H979=1,F979-E979,"")</x:f>
        <x:v>6</x:v>
      </x:c>
      <x:c r="L979" s="2" t="n">
        <x:v>9</x:v>
      </x:c>
      <x:c r="M979" s="2" t="n">
        <x:v>7</x:v>
      </x:c>
      <x:c r="N979" s="20" t="n">
        <x:v>0.4</x:v>
      </x:c>
      <x:c r="O979" s="20" t="n">
        <x:v>0.8</x:v>
      </x:c>
      <x:c r="P979" s="20" t="n">
        <x:v>0.75</x:v>
      </x:c>
      <x:c r="Q979" s="2" t="n">
        <x:v>43</x:v>
      </x:c>
      <x:c r="R979" s="2" t="str">
        <x:v>ISFJ</x:v>
      </x:c>
      <x:c r="S979" s="2" t="str">
        <x:v>华东</x:v>
      </x:c>
      <x:c r="T979" s="2" t="str">
        <x:v>生产运输或体力岗位</x:v>
      </x:c>
    </x:row>
    <x:row r="980" ht="24" customHeight="1">
      <x:c r="A980" s="2" t="str">
        <x:v>D040_T07_C080_G075</x:v>
      </x:c>
      <x:c r="B980" s="2" t="str">
        <x:v>A0037</x:v>
      </x:c>
      <x:c r="C980" s="2" t="str">
        <x:v>inside</x:v>
      </x:c>
      <x:c r="D980" s="2" t="n">
        <x:v>7</x:v>
      </x:c>
      <x:c r="E980" s="2" t="n">
        <x:v>1</x:v>
      </x:c>
      <x:c r="F980" s="2" t="n">
        <x:v>7</x:v>
      </x:c>
      <x:c r="G980" s="2" t="str">
        <x:v>observed_post_release</x:v>
      </x:c>
      <x:c r="H980" s="2" t="n">
        <x:f>IF(AND(ISNUMBER(F980),F980&gt;=D980),1,0)</x:f>
        <x:v>1</x:v>
      </x:c>
      <x:c r="I980" s="2" t="n">
        <x:f>IF(AND(ISNUMBER(F980),F980&gt;D980),1,0)</x:f>
        <x:v>0</x:v>
      </x:c>
      <x:c r="J980" s="2" t="n">
        <x:f>IF(H980=1,F980-D980,"")</x:f>
        <x:v>0</x:v>
      </x:c>
      <x:c r="K980" s="2" t="n">
        <x:f>IF(H980=1,F980-E980,"")</x:f>
        <x:v>6</x:v>
      </x:c>
      <x:c r="L980" s="2" t="n">
        <x:v>9</x:v>
      </x:c>
      <x:c r="M980" s="2" t="n">
        <x:v>7</x:v>
      </x:c>
      <x:c r="N980" s="20" t="n">
        <x:v>0.4</x:v>
      </x:c>
      <x:c r="O980" s="20" t="n">
        <x:v>0.8</x:v>
      </x:c>
      <x:c r="P980" s="20" t="n">
        <x:v>0.75</x:v>
      </x:c>
      <x:c r="Q980" s="2" t="n">
        <x:v>24</x:v>
      </x:c>
      <x:c r="R980" s="2" t="str">
        <x:v>ENTP</x:v>
      </x:c>
      <x:c r="S980" s="2" t="str">
        <x:v>华南</x:v>
      </x:c>
      <x:c r="T980" s="2" t="str">
        <x:v>在校学生</x:v>
      </x:c>
    </x:row>
    <x:row r="981" ht="24" customHeight="1">
      <x:c r="A981" s="2" t="str">
        <x:v>D040_T07_C080_G075</x:v>
      </x:c>
      <x:c r="B981" s="2" t="str">
        <x:v>A0038</x:v>
      </x:c>
      <x:c r="C981" s="2" t="str">
        <x:v>inside</x:v>
      </x:c>
      <x:c r="D981" s="2" t="n">
        <x:v>7</x:v>
      </x:c>
      <x:c r="E981" s="2" t="n">
        <x:v>1</x:v>
      </x:c>
      <x:c r="F981" s="2" t="n">
        <x:v>7</x:v>
      </x:c>
      <x:c r="G981" s="2" t="str">
        <x:v>observed_post_release</x:v>
      </x:c>
      <x:c r="H981" s="2" t="n">
        <x:f>IF(AND(ISNUMBER(F981),F981&gt;=D981),1,0)</x:f>
        <x:v>1</x:v>
      </x:c>
      <x:c r="I981" s="2" t="n">
        <x:f>IF(AND(ISNUMBER(F981),F981&gt;D981),1,0)</x:f>
        <x:v>0</x:v>
      </x:c>
      <x:c r="J981" s="2" t="n">
        <x:f>IF(H981=1,F981-D981,"")</x:f>
        <x:v>0</x:v>
      </x:c>
      <x:c r="K981" s="2" t="n">
        <x:f>IF(H981=1,F981-E981,"")</x:f>
        <x:v>6</x:v>
      </x:c>
      <x:c r="L981" s="2" t="n">
        <x:v>9</x:v>
      </x:c>
      <x:c r="M981" s="2" t="n">
        <x:v>7</x:v>
      </x:c>
      <x:c r="N981" s="20" t="n">
        <x:v>0.4</x:v>
      </x:c>
      <x:c r="O981" s="20" t="n">
        <x:v>0.8</x:v>
      </x:c>
      <x:c r="P981" s="20" t="n">
        <x:v>0.75</x:v>
      </x:c>
      <x:c r="Q981" s="2" t="n">
        <x:v>46</x:v>
      </x:c>
      <x:c r="R981" s="2" t="str">
        <x:v>ISTP</x:v>
      </x:c>
      <x:c r="S981" s="2" t="str">
        <x:v>华东</x:v>
      </x:c>
      <x:c r="T981" s="2" t="str">
        <x:v>行政或办公室岗位</x:v>
      </x:c>
    </x:row>
    <x:row r="982" ht="24" customHeight="1">
      <x:c r="A982" s="2" t="str">
        <x:v>D040_T07_C080_G075</x:v>
      </x:c>
      <x:c r="B982" s="2" t="str">
        <x:v>A0040</x:v>
      </x:c>
      <x:c r="C982" s="2" t="str">
        <x:v>inside</x:v>
      </x:c>
      <x:c r="D982" s="2" t="n">
        <x:v>7</x:v>
      </x:c>
      <x:c r="E982" s="2" t="n">
        <x:v>1</x:v>
      </x:c>
      <x:c r="F982" s="2" t="n">
        <x:v>8</x:v>
      </x:c>
      <x:c r="G982" s="2" t="str">
        <x:v>observed_post_release</x:v>
      </x:c>
      <x:c r="H982" s="2" t="n">
        <x:f>IF(AND(ISNUMBER(F982),F982&gt;=D982),1,0)</x:f>
        <x:v>1</x:v>
      </x:c>
      <x:c r="I982" s="2" t="n">
        <x:f>IF(AND(ISNUMBER(F982),F982&gt;D982),1,0)</x:f>
        <x:v>1</x:v>
      </x:c>
      <x:c r="J982" s="2" t="n">
        <x:f>IF(H982=1,F982-D982,"")</x:f>
        <x:v>1</x:v>
      </x:c>
      <x:c r="K982" s="2" t="n">
        <x:f>IF(H982=1,F982-E982,"")</x:f>
        <x:v>7</x:v>
      </x:c>
      <x:c r="L982" s="2" t="n">
        <x:v>9</x:v>
      </x:c>
      <x:c r="M982" s="2" t="n">
        <x:v>7</x:v>
      </x:c>
      <x:c r="N982" s="20" t="n">
        <x:v>0.4</x:v>
      </x:c>
      <x:c r="O982" s="20" t="n">
        <x:v>0.8</x:v>
      </x:c>
      <x:c r="P982" s="20" t="n">
        <x:v>0.75</x:v>
      </x:c>
      <x:c r="Q982" s="2" t="n">
        <x:v>48</x:v>
      </x:c>
      <x:c r="R982" s="2" t="str">
        <x:v>INFP</x:v>
      </x:c>
      <x:c r="S982" s="2" t="str">
        <x:v>西北</x:v>
      </x:c>
      <x:c r="T982" s="2" t="str">
        <x:v>个体经营或自由职业</x:v>
      </x:c>
    </x:row>
    <x:row r="983" ht="24" customHeight="1">
      <x:c r="A983" s="2" t="str">
        <x:v>D040_T07_C080_G075</x:v>
      </x:c>
      <x:c r="B983" s="2" t="str">
        <x:v>A0041</x:v>
      </x:c>
      <x:c r="C983" s="2" t="str">
        <x:v>inside</x:v>
      </x:c>
      <x:c r="D983" s="2" t="n">
        <x:v>7</x:v>
      </x:c>
      <x:c r="E983" s="2" t="n">
        <x:v>1</x:v>
      </x:c>
      <x:c r="F983" s="2" t="n">
        <x:v>7</x:v>
      </x:c>
      <x:c r="G983" s="2" t="str">
        <x:v>observed_post_release</x:v>
      </x:c>
      <x:c r="H983" s="2" t="n">
        <x:f>IF(AND(ISNUMBER(F983),F983&gt;=D983),1,0)</x:f>
        <x:v>1</x:v>
      </x:c>
      <x:c r="I983" s="2" t="n">
        <x:f>IF(AND(ISNUMBER(F983),F983&gt;D983),1,0)</x:f>
        <x:v>0</x:v>
      </x:c>
      <x:c r="J983" s="2" t="n">
        <x:f>IF(H983=1,F983-D983,"")</x:f>
        <x:v>0</x:v>
      </x:c>
      <x:c r="K983" s="2" t="n">
        <x:f>IF(H983=1,F983-E983,"")</x:f>
        <x:v>6</x:v>
      </x:c>
      <x:c r="L983" s="2" t="n">
        <x:v>9</x:v>
      </x:c>
      <x:c r="M983" s="2" t="n">
        <x:v>7</x:v>
      </x:c>
      <x:c r="N983" s="20" t="n">
        <x:v>0.4</x:v>
      </x:c>
      <x:c r="O983" s="20" t="n">
        <x:v>0.8</x:v>
      </x:c>
      <x:c r="P983" s="20" t="n">
        <x:v>0.75</x:v>
      </x:c>
      <x:c r="Q983" s="2" t="n">
        <x:v>62</x:v>
      </x:c>
      <x:c r="R983" s="2" t="str">
        <x:v>ISFJ</x:v>
      </x:c>
      <x:c r="S983" s="2" t="str">
        <x:v>西北</x:v>
      </x:c>
      <x:c r="T983" s="2" t="str">
        <x:v>个体经营或自由职业</x:v>
      </x:c>
    </x:row>
    <x:row r="984" ht="24" customHeight="1">
      <x:c r="A984" s="2" t="str">
        <x:v>D040_T07_C080_G075</x:v>
      </x:c>
      <x:c r="B984" s="2" t="str">
        <x:v>A0071</x:v>
      </x:c>
      <x:c r="C984" s="2" t="str">
        <x:v>inside</x:v>
      </x:c>
      <x:c r="D984" s="2" t="n">
        <x:v>7</x:v>
      </x:c>
      <x:c r="E984" s="2" t="n">
        <x:v>1</x:v>
      </x:c>
      <x:c r="F984" s="2" t="n">
        <x:v>7</x:v>
      </x:c>
      <x:c r="G984" s="2" t="str">
        <x:v>observed_post_release</x:v>
      </x:c>
      <x:c r="H984" s="2" t="n">
        <x:f>IF(AND(ISNUMBER(F984),F984&gt;=D984),1,0)</x:f>
        <x:v>1</x:v>
      </x:c>
      <x:c r="I984" s="2" t="n">
        <x:f>IF(AND(ISNUMBER(F984),F984&gt;D984),1,0)</x:f>
        <x:v>0</x:v>
      </x:c>
      <x:c r="J984" s="2" t="n">
        <x:f>IF(H984=1,F984-D984,"")</x:f>
        <x:v>0</x:v>
      </x:c>
      <x:c r="K984" s="2" t="n">
        <x:f>IF(H984=1,F984-E984,"")</x:f>
        <x:v>6</x:v>
      </x:c>
      <x:c r="L984" s="2" t="n">
        <x:v>9</x:v>
      </x:c>
      <x:c r="M984" s="2" t="n">
        <x:v>7</x:v>
      </x:c>
      <x:c r="N984" s="20" t="n">
        <x:v>0.4</x:v>
      </x:c>
      <x:c r="O984" s="20" t="n">
        <x:v>0.8</x:v>
      </x:c>
      <x:c r="P984" s="20" t="n">
        <x:v>0.75</x:v>
      </x:c>
      <x:c r="Q984" s="2" t="n">
        <x:v>33</x:v>
      </x:c>
      <x:c r="R984" s="2" t="str">
        <x:v>ISTJ</x:v>
      </x:c>
      <x:c r="S984" s="2" t="str">
        <x:v>华东</x:v>
      </x:c>
      <x:c r="T984" s="2" t="str">
        <x:v>商业服务岗位</x:v>
      </x:c>
    </x:row>
    <x:row r="985" ht="24" customHeight="1">
      <x:c r="A985" s="2" t="str">
        <x:v>D040_T07_C080_G075</x:v>
      </x:c>
      <x:c r="B985" s="2" t="str">
        <x:v>A0189</x:v>
      </x:c>
      <x:c r="C985" s="2" t="str">
        <x:v>inside</x:v>
      </x:c>
      <x:c r="D985" s="2" t="n">
        <x:v>7</x:v>
      </x:c>
      <x:c r="E985" s="2" t="n">
        <x:v>1</x:v>
      </x:c>
      <x:c r="F985" s="2" t="n">
        <x:v>8</x:v>
      </x:c>
      <x:c r="G985" s="2" t="str">
        <x:v>observed_post_release</x:v>
      </x:c>
      <x:c r="H985" s="2" t="n">
        <x:f>IF(AND(ISNUMBER(F985),F985&gt;=D985),1,0)</x:f>
        <x:v>1</x:v>
      </x:c>
      <x:c r="I985" s="2" t="n">
        <x:f>IF(AND(ISNUMBER(F985),F985&gt;D985),1,0)</x:f>
        <x:v>1</x:v>
      </x:c>
      <x:c r="J985" s="2" t="n">
        <x:f>IF(H985=1,F985-D985,"")</x:f>
        <x:v>1</x:v>
      </x:c>
      <x:c r="K985" s="2" t="n">
        <x:f>IF(H985=1,F985-E985,"")</x:f>
        <x:v>7</x:v>
      </x:c>
      <x:c r="L985" s="2" t="n">
        <x:v>9</x:v>
      </x:c>
      <x:c r="M985" s="2" t="n">
        <x:v>8</x:v>
      </x:c>
      <x:c r="N985" s="20" t="n">
        <x:v>0.4</x:v>
      </x:c>
      <x:c r="O985" s="20" t="n">
        <x:v>0.8</x:v>
      </x:c>
      <x:c r="P985" s="20" t="n">
        <x:v>0.75</x:v>
      </x:c>
      <x:c r="Q985" s="2" t="n">
        <x:v>45</x:v>
      </x:c>
      <x:c r="R985" s="2" t="str">
        <x:v>ISFJ</x:v>
      </x:c>
      <x:c r="S985" s="2" t="str">
        <x:v>西北</x:v>
      </x:c>
      <x:c r="T985" s="2" t="str">
        <x:v>生产运输或体力岗位</x:v>
      </x:c>
    </x:row>
    <x:row r="986" ht="24" customHeight="1">
      <x:c r="A986" s="2" t="str">
        <x:v>D040_T07_C080_G075</x:v>
      </x:c>
      <x:c r="B986" s="2" t="str">
        <x:v>A0206</x:v>
      </x:c>
      <x:c r="C986" s="2" t="str">
        <x:v>inside</x:v>
      </x:c>
      <x:c r="D986" s="2" t="n">
        <x:v>7</x:v>
      </x:c>
      <x:c r="E986" s="2" t="n">
        <x:v>1</x:v>
      </x:c>
      <x:c r="F986" s="2" t="n">
        <x:v>7</x:v>
      </x:c>
      <x:c r="G986" s="2" t="str">
        <x:v>observed_post_release</x:v>
      </x:c>
      <x:c r="H986" s="2" t="n">
        <x:f>IF(AND(ISNUMBER(F986),F986&gt;=D986),1,0)</x:f>
        <x:v>1</x:v>
      </x:c>
      <x:c r="I986" s="2" t="n">
        <x:f>IF(AND(ISNUMBER(F986),F986&gt;D986),1,0)</x:f>
        <x:v>0</x:v>
      </x:c>
      <x:c r="J986" s="2" t="n">
        <x:f>IF(H986=1,F986-D986,"")</x:f>
        <x:v>0</x:v>
      </x:c>
      <x:c r="K986" s="2" t="n">
        <x:f>IF(H986=1,F986-E986,"")</x:f>
        <x:v>6</x:v>
      </x:c>
      <x:c r="L986" s="2" t="n">
        <x:v>9</x:v>
      </x:c>
      <x:c r="M986" s="2" t="n">
        <x:v>7</x:v>
      </x:c>
      <x:c r="N986" s="20" t="n">
        <x:v>0.4</x:v>
      </x:c>
      <x:c r="O986" s="20" t="n">
        <x:v>0.8</x:v>
      </x:c>
      <x:c r="P986" s="20" t="n">
        <x:v>0.75</x:v>
      </x:c>
      <x:c r="Q986" s="2" t="n">
        <x:v>21</x:v>
      </x:c>
      <x:c r="R986" s="2" t="str">
        <x:v>ESTP</x:v>
      </x:c>
      <x:c r="S986" s="2" t="str">
        <x:v>西北</x:v>
      </x:c>
      <x:c r="T986" s="2" t="str">
        <x:v>暂未就业或家庭照料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3" hidden="0" customWidth="1"/>
    <x:col min="2" max="2" width="28" hidden="0" customWidth="1"/>
    <x:col min="3" max="3" width="22" hidden="0" customWidth="1"/>
    <x:col min="4" max="4" width="19" hidden="0" customWidth="1"/>
    <x:col min="5" max="5" width="13" hidden="0" customWidth="1"/>
    <x:col min="6" max="6" width="13" hidden="0" customWidth="1"/>
    <x:col min="7" max="7" width="18" hidden="0" customWidth="1"/>
    <x:col min="8" max="8" width="18" hidden="0" customWidth="1"/>
    <x:col min="9" max="9" width="21" hidden="0" customWidth="1"/>
    <x:col min="10" max="10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1" customHeight="1">
      <x:c r="A2" s="3" t="str">
        <x:v>交互与补充结局检验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 t="str">
        <x:v>主交互p为两套联合Holm6；补充结局保留指标内校正。加入模型的联合检验未调p。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8" customHeight="1">
      <x:c r="A6" s="8" t="str">
        <x:v>TBU口径</x:v>
      </x:c>
      <x:c r="B6" s="8" t="str">
        <x:v>检验类型</x:v>
      </x:c>
      <x:c r="C6" s="8" t="str">
        <x:v>因素</x:v>
      </x:c>
      <x:c r="D6" s="8" t="str">
        <x:v>效应或F</x:v>
      </x:c>
      <x:c r="E6" s="8" t="str">
        <x:v>分子df</x:v>
      </x:c>
      <x:c r="F6" s="8" t="str">
        <x:v>分母df</x:v>
      </x:c>
      <x:c r="G6" s="8" t="str">
        <x:v>95%下限</x:v>
      </x:c>
      <x:c r="H6" s="8" t="str">
        <x:v>95%上限</x:v>
      </x:c>
      <x:c r="I6" s="8" t="str">
        <x:v>原始p</x:v>
      </x:c>
      <x:c r="J6" s="8" t="str">
        <x:v>对应族Holm p</x:v>
      </x:c>
    </x:row>
    <x:row r="7" ht="24" customHeight="1">
      <x:c r="A7" s="2" t="str">
        <x:v>POST 严格排除发布当轮</x:v>
      </x:c>
      <x:c r="B7" s="2" t="str">
        <x:v>分类水平差异</x:v>
      </x:c>
      <x:c r="C7" s="2" t="str">
        <x:v>响应时机</x:v>
      </x:c>
      <x:c r="D7" s="9" t="n">
        <x:v>7.537069488712027</x:v>
      </x:c>
      <x:c r="E7" s="2" t="n">
        <x:v>2</x:v>
      </x:c>
      <x:c r="F7" s="2" t="n">
        <x:v>44</x:v>
      </x:c>
      <x:c r="G7" s="9"/>
      <x:c r="H7" s="9"/>
      <x:c r="I7" s="10" t="n">
        <x:v>0.0015318494121913287</x:v>
      </x:c>
      <x:c r="J7" s="10" t="n">
        <x:v>0.004595548236573986</x:v>
      </x:c>
    </x:row>
    <x:row r="8" ht="24" customHeight="1">
      <x:c r="A8" s="2" t="str">
        <x:v>POST 严格排除发布当轮</x:v>
      </x:c>
      <x:c r="B8" s="2" t="str">
        <x:v>分类水平差异</x:v>
      </x:c>
      <x:c r="C8" s="2" t="str">
        <x:v>定向能力</x:v>
      </x:c>
      <x:c r="D8" s="9" t="n">
        <x:v>9.606292205542532</x:v>
      </x:c>
      <x:c r="E8" s="2" t="n">
        <x:v>1</x:v>
      </x:c>
      <x:c r="F8" s="2" t="n">
        <x:v>44</x:v>
      </x:c>
      <x:c r="G8" s="9"/>
      <x:c r="H8" s="9"/>
      <x:c r="I8" s="10" t="n">
        <x:v>0.003375628031047514</x:v>
      </x:c>
      <x:c r="J8" s="10" t="n">
        <x:v>0.006751256062095028</x:v>
      </x:c>
    </x:row>
    <x:row r="9" ht="24" customHeight="1">
      <x:c r="A9" s="2" t="str">
        <x:v>POST 严格排除发布当轮</x:v>
      </x:c>
      <x:c r="B9" s="2" t="str">
        <x:v>分类水平差异</x:v>
      </x:c>
      <x:c r="C9" s="2" t="str">
        <x:v>政府信誉</x:v>
      </x:c>
      <x:c r="D9" s="9" t="n">
        <x:v>16.205432818456103</x:v>
      </x:c>
      <x:c r="E9" s="2" t="n">
        <x:v>2</x:v>
      </x:c>
      <x:c r="F9" s="2" t="n">
        <x:v>44</x:v>
      </x:c>
      <x:c r="G9" s="9"/>
      <x:c r="H9" s="9"/>
      <x:c r="I9" s="10" t="n">
        <x:v>0.000005327779581362696</x:v>
      </x:c>
      <x:c r="J9" s="10" t="n">
        <x:v>0.000021311118325450783</x:v>
      </x:c>
    </x:row>
    <x:row r="10" ht="24" customHeight="1">
      <x:c r="A10" s="2" t="str">
        <x:v>POST 严格排除发布当轮</x:v>
      </x:c>
      <x:c r="B10" s="2" t="str">
        <x:v>分类水平差异</x:v>
      </x:c>
      <x:c r="C10" s="2" t="str">
        <x:v>群体茧房程度</x:v>
      </x:c>
      <x:c r="D10" s="9" t="n">
        <x:v>2.272171450036316</x:v>
      </x:c>
      <x:c r="E10" s="2" t="n">
        <x:v>2</x:v>
      </x:c>
      <x:c r="F10" s="2" t="n">
        <x:v>44</x:v>
      </x:c>
      <x:c r="G10" s="9"/>
      <x:c r="H10" s="9"/>
      <x:c r="I10" s="10" t="n">
        <x:v>0.11505595264291046</x:v>
      </x:c>
      <x:c r="J10" s="10" t="n">
        <x:v>0.11505595264291046</x:v>
      </x:c>
    </x:row>
    <x:row r="11" ht="24" customHeight="1">
      <x:c r="A11" s="2" t="str">
        <x:v>FB 严格排除发布当轮</x:v>
      </x:c>
      <x:c r="B11" s="2" t="str">
        <x:v>分类水平差异</x:v>
      </x:c>
      <x:c r="C11" s="2" t="str">
        <x:v>响应时机</x:v>
      </x:c>
      <x:c r="D11" s="9" t="n">
        <x:v>116.98524710564921</x:v>
      </x:c>
      <x:c r="E11" s="2" t="n">
        <x:v>2</x:v>
      </x:c>
      <x:c r="F11" s="2" t="n">
        <x:v>44</x:v>
      </x:c>
      <x:c r="G11" s="9"/>
      <x:c r="H11" s="9"/>
      <x:c r="I11" s="10" t="n">
        <x:v>2.443360224966443e-18</x:v>
      </x:c>
      <x:c r="J11" s="10" t="n">
        <x:v>9.773440899865772e-18</x:v>
      </x:c>
    </x:row>
    <x:row r="12" ht="24" customHeight="1">
      <x:c r="A12" s="2" t="str">
        <x:v>FB 严格排除发布当轮</x:v>
      </x:c>
      <x:c r="B12" s="2" t="str">
        <x:v>分类水平差异</x:v>
      </x:c>
      <x:c r="C12" s="2" t="str">
        <x:v>定向能力</x:v>
      </x:c>
      <x:c r="D12" s="9" t="n">
        <x:v>5.946393180329322</x:v>
      </x:c>
      <x:c r="E12" s="2" t="n">
        <x:v>1</x:v>
      </x:c>
      <x:c r="F12" s="2" t="n">
        <x:v>44</x:v>
      </x:c>
      <x:c r="G12" s="9"/>
      <x:c r="H12" s="9"/>
      <x:c r="I12" s="10" t="n">
        <x:v>0.01885275820129592</x:v>
      </x:c>
      <x:c r="J12" s="10" t="n">
        <x:v>0.03770551640259184</x:v>
      </x:c>
    </x:row>
    <x:row r="13" ht="24" customHeight="1">
      <x:c r="A13" s="2" t="str">
        <x:v>FB 严格排除发布当轮</x:v>
      </x:c>
      <x:c r="B13" s="2" t="str">
        <x:v>分类水平差异</x:v>
      </x:c>
      <x:c r="C13" s="2" t="str">
        <x:v>政府信誉</x:v>
      </x:c>
      <x:c r="D13" s="9" t="n">
        <x:v>20.6944522112568</x:v>
      </x:c>
      <x:c r="E13" s="2" t="n">
        <x:v>2</x:v>
      </x:c>
      <x:c r="F13" s="2" t="n">
        <x:v>44</x:v>
      </x:c>
      <x:c r="G13" s="9"/>
      <x:c r="H13" s="9"/>
      <x:c r="I13" s="10" t="n">
        <x:v>4.625164374983871e-7</x:v>
      </x:c>
      <x:c r="J13" s="10" t="n">
        <x:v>0.0000013875493124951615</x:v>
      </x:c>
    </x:row>
    <x:row r="14" ht="24" customHeight="1">
      <x:c r="A14" s="2" t="str">
        <x:v>FB 严格排除发布当轮</x:v>
      </x:c>
      <x:c r="B14" s="2" t="str">
        <x:v>分类水平差异</x:v>
      </x:c>
      <x:c r="C14" s="2" t="str">
        <x:v>群体茧房程度</x:v>
      </x:c>
      <x:c r="D14" s="9" t="n">
        <x:v>0.18131509192126669</x:v>
      </x:c>
      <x:c r="E14" s="2" t="n">
        <x:v>2</x:v>
      </x:c>
      <x:c r="F14" s="2" t="n">
        <x:v>44</x:v>
      </x:c>
      <x:c r="G14" s="9"/>
      <x:c r="H14" s="9"/>
      <x:c r="I14" s="10" t="n">
        <x:v>0.8347925658414279</x:v>
      </x:c>
      <x:c r="J14" s="10" t="n">
        <x:v>0.8347925658414279</x:v>
      </x:c>
    </x:row>
    <x:row r="15" ht="24" customHeight="1">
      <x:c r="A15" s="2" t="str">
        <x:v>初始相信队列9轮受限历时</x:v>
      </x:c>
      <x:c r="B15" s="2" t="str">
        <x:v>分类水平差异</x:v>
      </x:c>
      <x:c r="C15" s="2" t="str">
        <x:v>响应时机</x:v>
      </x:c>
      <x:c r="D15" s="9" t="n">
        <x:v>175.74935967981895</x:v>
      </x:c>
      <x:c r="E15" s="2" t="n">
        <x:v>2</x:v>
      </x:c>
      <x:c r="F15" s="2" t="n">
        <x:v>46</x:v>
      </x:c>
      <x:c r="G15" s="9"/>
      <x:c r="H15" s="9"/>
      <x:c r="I15" s="10" t="n">
        <x:v>2.875466094720664e-22</x:v>
      </x:c>
      <x:c r="J15" s="10" t="n">
        <x:v>1.1501864378882657e-21</x:v>
      </x:c>
    </x:row>
    <x:row r="16" ht="24" customHeight="1">
      <x:c r="A16" s="2" t="str">
        <x:v>初始相信队列9轮受限历时</x:v>
      </x:c>
      <x:c r="B16" s="2" t="str">
        <x:v>分类水平差异</x:v>
      </x:c>
      <x:c r="C16" s="2" t="str">
        <x:v>定向能力</x:v>
      </x:c>
      <x:c r="D16" s="9" t="n">
        <x:v>37.48819604508014</x:v>
      </x:c>
      <x:c r="E16" s="2" t="n">
        <x:v>1</x:v>
      </x:c>
      <x:c r="F16" s="2" t="n">
        <x:v>46</x:v>
      </x:c>
      <x:c r="G16" s="9"/>
      <x:c r="H16" s="9"/>
      <x:c r="I16" s="10" t="n">
        <x:v>1.8950713281646184e-7</x:v>
      </x:c>
      <x:c r="J16" s="10" t="n">
        <x:v>3.790142656329237e-7</x:v>
      </x:c>
    </x:row>
    <x:row r="17" ht="24" customHeight="1">
      <x:c r="A17" s="2" t="str">
        <x:v>初始相信队列9轮受限历时</x:v>
      </x:c>
      <x:c r="B17" s="2" t="str">
        <x:v>分类水平差异</x:v>
      </x:c>
      <x:c r="C17" s="2" t="str">
        <x:v>政府信誉</x:v>
      </x:c>
      <x:c r="D17" s="9" t="n">
        <x:v>26.315974375072038</x:v>
      </x:c>
      <x:c r="E17" s="2" t="n">
        <x:v>2</x:v>
      </x:c>
      <x:c r="F17" s="2" t="n">
        <x:v>46</x:v>
      </x:c>
      <x:c r="G17" s="9"/>
      <x:c r="H17" s="9"/>
      <x:c r="I17" s="10" t="n">
        <x:v>2.4045012585185826e-8</x:v>
      </x:c>
      <x:c r="J17" s="10" t="n">
        <x:v>7.213503775555747e-8</x:v>
      </x:c>
    </x:row>
    <x:row r="18" ht="24" customHeight="1">
      <x:c r="A18" s="2" t="str">
        <x:v>初始相信队列9轮受限历时</x:v>
      </x:c>
      <x:c r="B18" s="2" t="str">
        <x:v>分类水平差异</x:v>
      </x:c>
      <x:c r="C18" s="2" t="str">
        <x:v>群体茧房程度</x:v>
      </x:c>
      <x:c r="D18" s="9" t="n">
        <x:v>0.04862843715617454</x:v>
      </x:c>
      <x:c r="E18" s="2" t="n">
        <x:v>2</x:v>
      </x:c>
      <x:c r="F18" s="2" t="n">
        <x:v>46</x:v>
      </x:c>
      <x:c r="G18" s="9"/>
      <x:c r="H18" s="9"/>
      <x:c r="I18" s="10" t="n">
        <x:v>0.9525838899342818</x:v>
      </x:c>
      <x:c r="J18" s="10" t="n">
        <x:v>0.9525838899342818</x:v>
      </x:c>
    </x:row>
    <x:row r="19" ht="24" customHeight="1">
      <x:c r="A19" s="2" t="str">
        <x:v>发布后共同3轮受限等待</x:v>
      </x:c>
      <x:c r="B19" s="2" t="str">
        <x:v>分类水平差异</x:v>
      </x:c>
      <x:c r="C19" s="2" t="str">
        <x:v>响应时机</x:v>
      </x:c>
      <x:c r="D19" s="9" t="n">
        <x:v>1.9625870582844072</x:v>
      </x:c>
      <x:c r="E19" s="2" t="n">
        <x:v>2</x:v>
      </x:c>
      <x:c r="F19" s="2" t="n">
        <x:v>46</x:v>
      </x:c>
      <x:c r="G19" s="9"/>
      <x:c r="H19" s="9"/>
      <x:c r="I19" s="10" t="n">
        <x:v>0.15208262527404015</x:v>
      </x:c>
      <x:c r="J19" s="10" t="n">
        <x:v>0.3041652505480803</x:v>
      </x:c>
    </x:row>
    <x:row r="20" ht="24" customHeight="1">
      <x:c r="A20" s="2" t="str">
        <x:v>发布后共同3轮受限等待</x:v>
      </x:c>
      <x:c r="B20" s="2" t="str">
        <x:v>分类水平差异</x:v>
      </x:c>
      <x:c r="C20" s="2" t="str">
        <x:v>定向能力</x:v>
      </x:c>
      <x:c r="D20" s="9" t="n">
        <x:v>79.78328610256169</x:v>
      </x:c>
      <x:c r="E20" s="2" t="n">
        <x:v>1</x:v>
      </x:c>
      <x:c r="F20" s="2" t="n">
        <x:v>46</x:v>
      </x:c>
      <x:c r="G20" s="9"/>
      <x:c r="H20" s="9"/>
      <x:c r="I20" s="10" t="n">
        <x:v>1.3004214372904662e-11</x:v>
      </x:c>
      <x:c r="J20" s="10" t="n">
        <x:v>5.201685749161865e-11</x:v>
      </x:c>
    </x:row>
    <x:row r="21" ht="24" customHeight="1">
      <x:c r="A21" s="2" t="str">
        <x:v>发布后共同3轮受限等待</x:v>
      </x:c>
      <x:c r="B21" s="2" t="str">
        <x:v>分类水平差异</x:v>
      </x:c>
      <x:c r="C21" s="2" t="str">
        <x:v>政府信誉</x:v>
      </x:c>
      <x:c r="D21" s="9" t="n">
        <x:v>44.75796122876676</x:v>
      </x:c>
      <x:c r="E21" s="2" t="n">
        <x:v>2</x:v>
      </x:c>
      <x:c r="F21" s="2" t="n">
        <x:v>46</x:v>
      </x:c>
      <x:c r="G21" s="9"/>
      <x:c r="H21" s="9"/>
      <x:c r="I21" s="10" t="n">
        <x:v>1.6130678595324595e-11</x:v>
      </x:c>
      <x:c r="J21" s="10" t="n">
        <x:v>5.201685749161865e-11</x:v>
      </x:c>
    </x:row>
    <x:row r="22" ht="24" customHeight="1">
      <x:c r="A22" s="2" t="str">
        <x:v>发布后共同3轮受限等待</x:v>
      </x:c>
      <x:c r="B22" s="2" t="str">
        <x:v>分类水平差异</x:v>
      </x:c>
      <x:c r="C22" s="2" t="str">
        <x:v>群体茧房程度</x:v>
      </x:c>
      <x:c r="D22" s="9" t="n">
        <x:v>0.37512596769755374</x:v>
      </x:c>
      <x:c r="E22" s="2" t="n">
        <x:v>2</x:v>
      </x:c>
      <x:c r="F22" s="2" t="n">
        <x:v>46</x:v>
      </x:c>
      <x:c r="G22" s="9"/>
      <x:c r="H22" s="9"/>
      <x:c r="I22" s="10" t="n">
        <x:v>0.6892855110320085</x:v>
      </x:c>
      <x:c r="J22" s="10" t="n">
        <x:v>0.6892855110320085</x:v>
      </x:c>
    </x:row>
    <x:row r="23" ht="24" customHeight="1">
      <x:c r="A23" s="2" t="str">
        <x:v>POST：政府发布→转为不相信</x:v>
      </x:c>
      <x:c r="B23" s="2" t="str">
        <x:v>交互 RT</x:v>
      </x:c>
      <x:c r="C23" s="2" t="str">
        <x:v>响应时机</x:v>
      </x:c>
      <x:c r="D23" s="9" t="n">
        <x:v>0.22321420310984014</x:v>
      </x:c>
      <x:c r="E23" s="2" t="n">
        <x:v>1</x:v>
      </x:c>
      <x:c r="F23" s="2" t="n">
        <x:v>46</x:v>
      </x:c>
      <x:c r="G23" s="9" t="n">
        <x:v>-0.4348009176152467</x:v>
      </x:c>
      <x:c r="H23" s="9" t="n">
        <x:v>0.8812293238349269</x:v>
      </x:c>
      <x:c r="I23" s="10" t="n">
        <x:v>0.49814423687088927</x:v>
      </x:c>
      <x:c r="J23" s="10" t="n">
        <x:v>1</x:v>
      </x:c>
    </x:row>
    <x:row r="24" ht="24" customHeight="1">
      <x:c r="A24" s="2" t="str">
        <x:v>POST：政府发布→转为不相信</x:v>
      </x:c>
      <x:c r="B24" s="2" t="str">
        <x:v>交互 TC</x:v>
      </x:c>
      <x:c r="C24" s="2" t="str">
        <x:v>定向能力</x:v>
      </x:c>
      <x:c r="D24" s="9" t="n">
        <x:v>1.880030470778086</x:v>
      </x:c>
      <x:c r="E24" s="2" t="n">
        <x:v>1</x:v>
      </x:c>
      <x:c r="F24" s="2" t="n">
        <x:v>46</x:v>
      </x:c>
      <x:c r="G24" s="9" t="n">
        <x:v>-2.466138477676233</x:v>
      </x:c>
      <x:c r="H24" s="9" t="n">
        <x:v>6.226199419232405</x:v>
      </x:c>
      <x:c r="I24" s="10" t="n">
        <x:v>0.3884274384089206</x:v>
      </x:c>
      <x:c r="J24" s="10" t="n">
        <x:v>1</x:v>
      </x:c>
    </x:row>
    <x:row r="25" ht="24" customHeight="1">
      <x:c r="A25" s="2" t="str">
        <x:v>POST：政府发布→转为不相信</x:v>
      </x:c>
      <x:c r="B25" s="2" t="str">
        <x:v>交互 GC</x:v>
      </x:c>
      <x:c r="C25" s="2" t="str">
        <x:v>政府信誉</x:v>
      </x:c>
      <x:c r="D25" s="9" t="n">
        <x:v>-6.284136188318942</x:v>
      </x:c>
      <x:c r="E25" s="2" t="n">
        <x:v>1</x:v>
      </x:c>
      <x:c r="F25" s="2" t="n">
        <x:v>46</x:v>
      </x:c>
      <x:c r="G25" s="9" t="n">
        <x:v>-13.336627885157684</x:v>
      </x:c>
      <x:c r="H25" s="9" t="n">
        <x:v>0.7683555085198002</x:v>
      </x:c>
      <x:c r="I25" s="10" t="n">
        <x:v>0.07945309298352783</x:v>
      </x:c>
      <x:c r="J25" s="10" t="n">
        <x:v>0.476718557901167</x:v>
      </x:c>
    </x:row>
    <x:row r="26" ht="24" customHeight="1">
      <x:c r="A26" s="2" t="str">
        <x:v>FB：首次相信→辟谣后转为不相信</x:v>
      </x:c>
      <x:c r="B26" s="2" t="str">
        <x:v>交互 RT</x:v>
      </x:c>
      <x:c r="C26" s="2" t="str">
        <x:v>响应时机</x:v>
      </x:c>
      <x:c r="D26" s="9" t="n">
        <x:v>0.1618882554299027</x:v>
      </x:c>
      <x:c r="E26" s="2" t="n">
        <x:v>1</x:v>
      </x:c>
      <x:c r="F26" s="2" t="n">
        <x:v>46</x:v>
      </x:c>
      <x:c r="G26" s="9" t="n">
        <x:v>-0.3911149288965906</x:v>
      </x:c>
      <x:c r="H26" s="9" t="n">
        <x:v>0.714891439756396</x:v>
      </x:c>
      <x:c r="I26" s="10" t="n">
        <x:v>0.5585681143677881</x:v>
      </x:c>
      <x:c r="J26" s="10" t="n">
        <x:v>1</x:v>
      </x:c>
    </x:row>
    <x:row r="27" ht="24" customHeight="1">
      <x:c r="A27" s="2" t="str">
        <x:v>FB：首次相信→辟谣后转为不相信</x:v>
      </x:c>
      <x:c r="B27" s="2" t="str">
        <x:v>交互 TC</x:v>
      </x:c>
      <x:c r="C27" s="2" t="str">
        <x:v>定向能力</x:v>
      </x:c>
      <x:c r="D27" s="9" t="n">
        <x:v>1.287572475766324</x:v>
      </x:c>
      <x:c r="E27" s="2" t="n">
        <x:v>1</x:v>
      </x:c>
      <x:c r="F27" s="2" t="n">
        <x:v>46</x:v>
      </x:c>
      <x:c r="G27" s="9" t="n">
        <x:v>-2.3705020845011067</x:v>
      </x:c>
      <x:c r="H27" s="9" t="n">
        <x:v>4.945647036033755</x:v>
      </x:c>
      <x:c r="I27" s="10" t="n">
        <x:v>0.48220942315029447</x:v>
      </x:c>
      <x:c r="J27" s="10" t="n">
        <x:v>1</x:v>
      </x:c>
    </x:row>
    <x:row r="28" ht="24" customHeight="1">
      <x:c r="A28" s="2" t="str">
        <x:v>FB：首次相信→辟谣后转为不相信</x:v>
      </x:c>
      <x:c r="B28" s="2" t="str">
        <x:v>交互 GC</x:v>
      </x:c>
      <x:c r="C28" s="2" t="str">
        <x:v>政府信誉</x:v>
      </x:c>
      <x:c r="D28" s="9" t="n">
        <x:v>-4.003833158015918</x:v>
      </x:c>
      <x:c r="E28" s="2" t="n">
        <x:v>1</x:v>
      </x:c>
      <x:c r="F28" s="2" t="n">
        <x:v>46</x:v>
      </x:c>
      <x:c r="G28" s="9" t="n">
        <x:v>-9.693627951568072</x:v>
      </x:c>
      <x:c r="H28" s="9" t="n">
        <x:v>1.6859616355362368</x:v>
      </x:c>
      <x:c r="I28" s="10" t="n">
        <x:v>0.16338102524613154</x:v>
      </x:c>
      <x:c r="J28" s="10" t="n">
        <x:v>0.8169051262306577</x:v>
      </x:c>
    </x:row>
    <x:row r="29" ht="24" customHeight="1">
      <x:c r="A29" s="2" t="str">
        <x:v>POST 严格排除发布当轮</x:v>
      </x:c>
      <x:c r="B29" s="2" t="str">
        <x:v>交互 RT</x:v>
      </x:c>
      <x:c r="C29" s="2" t="str">
        <x:v>响应时机</x:v>
      </x:c>
      <x:c r="D29" s="9" t="n">
        <x:v>0.08457860543672288</x:v>
      </x:c>
      <x:c r="E29" s="2" t="n">
        <x:v>1</x:v>
      </x:c>
      <x:c r="F29" s="2" t="n">
        <x:v>44</x:v>
      </x:c>
      <x:c r="G29" s="9" t="n">
        <x:v>-0.49264865060053387</x:v>
      </x:c>
      <x:c r="H29" s="9" t="n">
        <x:v>0.6618058614739797</x:v>
      </x:c>
      <x:c r="I29" s="10" t="n">
        <x:v>0.7691514198061236</x:v>
      </x:c>
      <x:c r="J29" s="10" t="n">
        <x:v>0.7691514198061236</x:v>
      </x:c>
    </x:row>
    <x:row r="30" ht="24" customHeight="1">
      <x:c r="A30" s="2" t="str">
        <x:v>POST 严格排除发布当轮</x:v>
      </x:c>
      <x:c r="B30" s="2" t="str">
        <x:v>交互 TC</x:v>
      </x:c>
      <x:c r="C30" s="2" t="str">
        <x:v>定向能力</x:v>
      </x:c>
      <x:c r="D30" s="9" t="n">
        <x:v>2.230637689333632</x:v>
      </x:c>
      <x:c r="E30" s="2" t="n">
        <x:v>1</x:v>
      </x:c>
      <x:c r="F30" s="2" t="n">
        <x:v>44</x:v>
      </x:c>
      <x:c r="G30" s="9" t="n">
        <x:v>-1.910423401992214</x:v>
      </x:c>
      <x:c r="H30" s="9" t="n">
        <x:v>6.371698780659479</x:v>
      </x:c>
      <x:c r="I30" s="10" t="n">
        <x:v>0.28356613703919015</x:v>
      </x:c>
      <x:c r="J30" s="10" t="n">
        <x:v>0.5671322740783803</x:v>
      </x:c>
    </x:row>
    <x:row r="31" ht="24" customHeight="1">
      <x:c r="A31" s="2" t="str">
        <x:v>POST 严格排除发布当轮</x:v>
      </x:c>
      <x:c r="B31" s="2" t="str">
        <x:v>交互 GC</x:v>
      </x:c>
      <x:c r="C31" s="2" t="str">
        <x:v>政府信誉</x:v>
      </x:c>
      <x:c r="D31" s="9" t="n">
        <x:v>-4.943155636633891</x:v>
      </x:c>
      <x:c r="E31" s="2" t="n">
        <x:v>1</x:v>
      </x:c>
      <x:c r="F31" s="2" t="n">
        <x:v>44</x:v>
      </x:c>
      <x:c r="G31" s="9" t="n">
        <x:v>-11.385629645543784</x:v>
      </x:c>
      <x:c r="H31" s="9" t="n">
        <x:v>1.4993183722760017</x:v>
      </x:c>
      <x:c r="I31" s="10" t="n">
        <x:v>0.12918475637871757</x:v>
      </x:c>
      <x:c r="J31" s="10" t="n">
        <x:v>0.3875542691361527</x:v>
      </x:c>
    </x:row>
    <x:row r="32" ht="24" customHeight="1">
      <x:c r="A32" s="2" t="str">
        <x:v>FB 严格排除发布当轮</x:v>
      </x:c>
      <x:c r="B32" s="2" t="str">
        <x:v>交互 RT</x:v>
      </x:c>
      <x:c r="C32" s="2" t="str">
        <x:v>响应时机</x:v>
      </x:c>
      <x:c r="D32" s="9" t="n">
        <x:v>-0.22765734387150255</x:v>
      </x:c>
      <x:c r="E32" s="2" t="n">
        <x:v>1</x:v>
      </x:c>
      <x:c r="F32" s="2" t="n">
        <x:v>44</x:v>
      </x:c>
      <x:c r="G32" s="9" t="n">
        <x:v>-0.8714659935327735</x:v>
      </x:c>
      <x:c r="H32" s="9" t="n">
        <x:v>0.4161513057897685</x:v>
      </x:c>
      <x:c r="I32" s="10" t="n">
        <x:v>0.47982189961586996</x:v>
      </x:c>
      <x:c r="J32" s="10" t="n">
        <x:v>1</x:v>
      </x:c>
    </x:row>
    <x:row r="33" ht="24" customHeight="1">
      <x:c r="A33" s="2" t="str">
        <x:v>FB 严格排除发布当轮</x:v>
      </x:c>
      <x:c r="B33" s="2" t="str">
        <x:v>交互 TC</x:v>
      </x:c>
      <x:c r="C33" s="2" t="str">
        <x:v>定向能力</x:v>
      </x:c>
      <x:c r="D33" s="9" t="n">
        <x:v>1.5507100967210175</x:v>
      </x:c>
      <x:c r="E33" s="2" t="n">
        <x:v>1</x:v>
      </x:c>
      <x:c r="F33" s="2" t="n">
        <x:v>44</x:v>
      </x:c>
      <x:c r="G33" s="9" t="n">
        <x:v>-3.1447663010190734</x:v>
      </x:c>
      <x:c r="H33" s="9" t="n">
        <x:v>6.246186494461108</x:v>
      </x:c>
      <x:c r="I33" s="10" t="n">
        <x:v>0.5091490818487533</x:v>
      </x:c>
      <x:c r="J33" s="10" t="n">
        <x:v>1</x:v>
      </x:c>
    </x:row>
    <x:row r="34" ht="24" customHeight="1">
      <x:c r="A34" s="2" t="str">
        <x:v>FB 严格排除发布当轮</x:v>
      </x:c>
      <x:c r="B34" s="2" t="str">
        <x:v>交互 GC</x:v>
      </x:c>
      <x:c r="C34" s="2" t="str">
        <x:v>政府信誉</x:v>
      </x:c>
      <x:c r="D34" s="9" t="n">
        <x:v>-2.724035083274205</x:v>
      </x:c>
      <x:c r="E34" s="2" t="n">
        <x:v>1</x:v>
      </x:c>
      <x:c r="F34" s="2" t="n">
        <x:v>44</x:v>
      </x:c>
      <x:c r="G34" s="9" t="n">
        <x:v>-9.28451088582998</x:v>
      </x:c>
      <x:c r="H34" s="9" t="n">
        <x:v>3.836440719281569</x:v>
      </x:c>
      <x:c r="I34" s="10" t="n">
        <x:v>0.4072163117579043</x:v>
      </x:c>
      <x:c r="J34" s="10" t="n">
        <x:v>1</x:v>
      </x:c>
    </x:row>
    <x:row r="35" ht="24" customHeight="1">
      <x:c r="A35" s="2" t="str">
        <x:v>初始相信队列9轮受限历时</x:v>
      </x:c>
      <x:c r="B35" s="2" t="str">
        <x:v>交互 RT</x:v>
      </x:c>
      <x:c r="C35" s="2" t="str">
        <x:v>响应时机</x:v>
      </x:c>
      <x:c r="D35" s="9" t="n">
        <x:v>0.02547369359104179</x:v>
      </x:c>
      <x:c r="E35" s="2" t="n">
        <x:v>1</x:v>
      </x:c>
      <x:c r="F35" s="2" t="n">
        <x:v>46</x:v>
      </x:c>
      <x:c r="G35" s="9" t="n">
        <x:v>-0.6326558242213894</x:v>
      </x:c>
      <x:c r="H35" s="9" t="n">
        <x:v>0.683603211403473</x:v>
      </x:c>
      <x:c r="I35" s="10" t="n">
        <x:v>0.938236339421531</x:v>
      </x:c>
      <x:c r="J35" s="10" t="n">
        <x:v>0.938236339421531</x:v>
      </x:c>
    </x:row>
    <x:row r="36" ht="24" customHeight="1">
      <x:c r="A36" s="2" t="str">
        <x:v>初始相信队列9轮受限历时</x:v>
      </x:c>
      <x:c r="B36" s="2" t="str">
        <x:v>交互 TC</x:v>
      </x:c>
      <x:c r="C36" s="2" t="str">
        <x:v>定向能力</x:v>
      </x:c>
      <x:c r="D36" s="9" t="n">
        <x:v>2.4346358218368715</x:v>
      </x:c>
      <x:c r="E36" s="2" t="n">
        <x:v>1</x:v>
      </x:c>
      <x:c r="F36" s="2" t="n">
        <x:v>46</x:v>
      </x:c>
      <x:c r="G36" s="9" t="n">
        <x:v>-2.7472893089164154</x:v>
      </x:c>
      <x:c r="H36" s="9" t="n">
        <x:v>7.6165609525901585</x:v>
      </x:c>
      <x:c r="I36" s="10" t="n">
        <x:v>0.34923116811085386</x:v>
      </x:c>
      <x:c r="J36" s="10" t="n">
        <x:v>0.6984623362217077</x:v>
      </x:c>
    </x:row>
    <x:row r="37" ht="24" customHeight="1">
      <x:c r="A37" s="2" t="str">
        <x:v>初始相信队列9轮受限历时</x:v>
      </x:c>
      <x:c r="B37" s="2" t="str">
        <x:v>交互 GC</x:v>
      </x:c>
      <x:c r="C37" s="2" t="str">
        <x:v>政府信誉</x:v>
      </x:c>
      <x:c r="D37" s="9" t="n">
        <x:v>-8.729425771361264</x:v>
      </x:c>
      <x:c r="E37" s="2" t="n">
        <x:v>1</x:v>
      </x:c>
      <x:c r="F37" s="2" t="n">
        <x:v>46</x:v>
      </x:c>
      <x:c r="G37" s="9" t="n">
        <x:v>-17.022871491245063</x:v>
      </x:c>
      <x:c r="H37" s="9" t="n">
        <x:v>-0.435980051477463</x:v>
      </x:c>
      <x:c r="I37" s="10" t="n">
        <x:v>0.03954607043044173</x:v>
      </x:c>
      <x:c r="J37" s="10" t="n">
        <x:v>0.11863821129132518</x:v>
      </x:c>
    </x:row>
    <x:row r="38" ht="24" customHeight="1">
      <x:c r="A38" s="2" t="str">
        <x:v>发布后共同3轮受限等待</x:v>
      </x:c>
      <x:c r="B38" s="2" t="str">
        <x:v>交互 RT</x:v>
      </x:c>
      <x:c r="C38" s="2" t="str">
        <x:v>响应时机</x:v>
      </x:c>
      <x:c r="D38" s="9" t="n">
        <x:v>0.0655209081131671</x:v>
      </x:c>
      <x:c r="E38" s="2" t="n">
        <x:v>1</x:v>
      </x:c>
      <x:c r="F38" s="2" t="n">
        <x:v>46</x:v>
      </x:c>
      <x:c r="G38" s="9" t="n">
        <x:v>-0.19844322023951125</x:v>
      </x:c>
      <x:c r="H38" s="9" t="n">
        <x:v>0.3294850364658455</x:v>
      </x:c>
      <x:c r="I38" s="10" t="n">
        <x:v>0.6197109460453578</x:v>
      </x:c>
      <x:c r="J38" s="10" t="n">
        <x:v>0.9658537508677683</x:v>
      </x:c>
    </x:row>
    <x:row r="39" ht="24" customHeight="1">
      <x:c r="A39" s="2" t="str">
        <x:v>发布后共同3轮受限等待</x:v>
      </x:c>
      <x:c r="B39" s="2" t="str">
        <x:v>交互 TC</x:v>
      </x:c>
      <x:c r="C39" s="2" t="str">
        <x:v>定向能力</x:v>
      </x:c>
      <x:c r="D39" s="9" t="n">
        <x:v>0.8631341555461338</x:v>
      </x:c>
      <x:c r="E39" s="2" t="n">
        <x:v>1</x:v>
      </x:c>
      <x:c r="F39" s="2" t="n">
        <x:v>46</x:v>
      </x:c>
      <x:c r="G39" s="9" t="n">
        <x:v>-1.5931276712533533</x:v>
      </x:c>
      <x:c r="H39" s="9" t="n">
        <x:v>3.319395982345621</x:v>
      </x:c>
      <x:c r="I39" s="10" t="n">
        <x:v>0.48292687543388413</x:v>
      </x:c>
      <x:c r="J39" s="10" t="n">
        <x:v>0.9658537508677683</x:v>
      </x:c>
    </x:row>
    <x:row r="40" ht="24" customHeight="1">
      <x:c r="A40" s="2" t="str">
        <x:v>发布后共同3轮受限等待</x:v>
      </x:c>
      <x:c r="B40" s="2" t="str">
        <x:v>交互 GC</x:v>
      </x:c>
      <x:c r="C40" s="2" t="str">
        <x:v>政府信誉</x:v>
      </x:c>
      <x:c r="D40" s="9" t="n">
        <x:v>-3.220449541761214</x:v>
      </x:c>
      <x:c r="E40" s="2" t="n">
        <x:v>1</x:v>
      </x:c>
      <x:c r="F40" s="2" t="n">
        <x:v>46</x:v>
      </x:c>
      <x:c r="G40" s="9" t="n">
        <x:v>-7.223095206759644</x:v>
      </x:c>
      <x:c r="H40" s="9" t="n">
        <x:v>0.7821961232372159</x:v>
      </x:c>
      <x:c r="I40" s="10" t="n">
        <x:v>0.11216858932072547</x:v>
      </x:c>
      <x:c r="J40" s="10" t="n">
        <x:v>0.3365057679621764</x:v>
      </x:c>
    </x:row>
    <x:row r="41" ht="24" customHeight="1">
      <x:c r="A41" s="2" t="str">
        <x:v>POST：政府发布→转为不相信</x:v>
      </x:c>
      <x:c r="B41" s="2" t="str">
        <x:v>分类交互总体</x:v>
      </x:c>
      <x:c r="C41" s="2" t="str">
        <x:v>响应时机</x:v>
      </x:c>
      <x:c r="D41" s="9" t="n">
        <x:v>0.3320738350870874</x:v>
      </x:c>
      <x:c r="E41" s="2" t="n">
        <x:v>4</x:v>
      </x:c>
      <x:c r="F41" s="2" t="n">
        <x:v>36</x:v>
      </x:c>
      <x:c r="G41" s="9"/>
      <x:c r="H41" s="9"/>
      <x:c r="I41" s="10" t="n">
        <x:v>0.8545515428661924</x:v>
      </x:c>
      <x:c r="J41" s="10" t="n">
        <x:v>1</x:v>
      </x:c>
    </x:row>
    <x:row r="42" ht="24" customHeight="1">
      <x:c r="A42" s="2" t="str">
        <x:v>POST：政府发布→转为不相信</x:v>
      </x:c>
      <x:c r="B42" s="2" t="str">
        <x:v>分类交互总体</x:v>
      </x:c>
      <x:c r="C42" s="2" t="str">
        <x:v>定向能力</x:v>
      </x:c>
      <x:c r="D42" s="9" t="n">
        <x:v>1.1170929186975982</x:v>
      </x:c>
      <x:c r="E42" s="2" t="n">
        <x:v>2</x:v>
      </x:c>
      <x:c r="F42" s="2" t="n">
        <x:v>36</x:v>
      </x:c>
      <x:c r="G42" s="9"/>
      <x:c r="H42" s="9"/>
      <x:c r="I42" s="10" t="n">
        <x:v>0.3383076146119311</x:v>
      </x:c>
      <x:c r="J42" s="10" t="n">
        <x:v>1</x:v>
      </x:c>
    </x:row>
    <x:row r="43" ht="24" customHeight="1">
      <x:c r="A43" s="2" t="str">
        <x:v>POST：政府发布→转为不相信</x:v>
      </x:c>
      <x:c r="B43" s="2" t="str">
        <x:v>分类交互总体</x:v>
      </x:c>
      <x:c r="C43" s="2" t="str">
        <x:v>政府信誉</x:v>
      </x:c>
      <x:c r="D43" s="9" t="n">
        <x:v>0.8200480653951716</x:v>
      </x:c>
      <x:c r="E43" s="2" t="n">
        <x:v>4</x:v>
      </x:c>
      <x:c r="F43" s="2" t="n">
        <x:v>36</x:v>
      </x:c>
      <x:c r="G43" s="9"/>
      <x:c r="H43" s="9"/>
      <x:c r="I43" s="10" t="n">
        <x:v>0.5209601781897044</x:v>
      </x:c>
      <x:c r="J43" s="10" t="n">
        <x:v>1</x:v>
      </x:c>
    </x:row>
    <x:row r="44" ht="24" customHeight="1">
      <x:c r="A44" s="2" t="str">
        <x:v>FB：首次相信→辟谣后转为不相信</x:v>
      </x:c>
      <x:c r="B44" s="2" t="str">
        <x:v>分类交互总体</x:v>
      </x:c>
      <x:c r="C44" s="2" t="str">
        <x:v>响应时机</x:v>
      </x:c>
      <x:c r="D44" s="9" t="n">
        <x:v>0.5559313221454348</x:v>
      </x:c>
      <x:c r="E44" s="2" t="n">
        <x:v>4</x:v>
      </x:c>
      <x:c r="F44" s="2" t="n">
        <x:v>36</x:v>
      </x:c>
      <x:c r="G44" s="9"/>
      <x:c r="H44" s="9"/>
      <x:c r="I44" s="10" t="n">
        <x:v>0.6959955766805965</x:v>
      </x:c>
      <x:c r="J44" s="10" t="n">
        <x:v>1</x:v>
      </x:c>
    </x:row>
    <x:row r="45" ht="24" customHeight="1">
      <x:c r="A45" s="2" t="str">
        <x:v>FB：首次相信→辟谣后转为不相信</x:v>
      </x:c>
      <x:c r="B45" s="2" t="str">
        <x:v>分类交互总体</x:v>
      </x:c>
      <x:c r="C45" s="2" t="str">
        <x:v>定向能力</x:v>
      </x:c>
      <x:c r="D45" s="9" t="n">
        <x:v>0.6397504733280469</x:v>
      </x:c>
      <x:c r="E45" s="2" t="n">
        <x:v>2</x:v>
      </x:c>
      <x:c r="F45" s="2" t="n">
        <x:v>36</x:v>
      </x:c>
      <x:c r="G45" s="9"/>
      <x:c r="H45" s="9"/>
      <x:c r="I45" s="10" t="n">
        <x:v>0.5333145047402219</x:v>
      </x:c>
      <x:c r="J45" s="10" t="n">
        <x:v>1</x:v>
      </x:c>
    </x:row>
    <x:row r="46" ht="24" customHeight="1">
      <x:c r="A46" s="2" t="str">
        <x:v>FB：首次相信→辟谣后转为不相信</x:v>
      </x:c>
      <x:c r="B46" s="2" t="str">
        <x:v>分类交互总体</x:v>
      </x:c>
      <x:c r="C46" s="2" t="str">
        <x:v>政府信誉</x:v>
      </x:c>
      <x:c r="D46" s="9" t="n">
        <x:v>0.8357431811754086</x:v>
      </x:c>
      <x:c r="E46" s="2" t="n">
        <x:v>4</x:v>
      </x:c>
      <x:c r="F46" s="2" t="n">
        <x:v>36</x:v>
      </x:c>
      <x:c r="G46" s="9"/>
      <x:c r="H46" s="9"/>
      <x:c r="I46" s="10" t="n">
        <x:v>0.5115213485700951</x:v>
      </x:c>
      <x:c r="J46" s="10" t="n">
        <x:v>1</x:v>
      </x:c>
    </x:row>
    <x:row r="47" ht="24" customHeight="1">
      <x:c r="A47" s="2" t="str">
        <x:v>POST 严格排除发布当轮</x:v>
      </x:c>
      <x:c r="B47" s="2" t="str">
        <x:v>分类交互总体</x:v>
      </x:c>
      <x:c r="C47" s="2" t="str">
        <x:v>响应时机</x:v>
      </x:c>
      <x:c r="D47" s="9" t="n">
        <x:v>1.6024644243438013</x:v>
      </x:c>
      <x:c r="E47" s="2" t="n">
        <x:v>4</x:v>
      </x:c>
      <x:c r="F47" s="2" t="n">
        <x:v>34</x:v>
      </x:c>
      <x:c r="G47" s="9"/>
      <x:c r="H47" s="9"/>
      <x:c r="I47" s="10" t="n">
        <x:v>0.19618003979848334</x:v>
      </x:c>
      <x:c r="J47" s="10" t="n">
        <x:v>0.39236007959696667</x:v>
      </x:c>
    </x:row>
    <x:row r="48" ht="24" customHeight="1">
      <x:c r="A48" s="2" t="str">
        <x:v>POST 严格排除发布当轮</x:v>
      </x:c>
      <x:c r="B48" s="2" t="str">
        <x:v>分类交互总体</x:v>
      </x:c>
      <x:c r="C48" s="2" t="str">
        <x:v>定向能力</x:v>
      </x:c>
      <x:c r="D48" s="9" t="n">
        <x:v>0.426263242941986</x:v>
      </x:c>
      <x:c r="E48" s="2" t="n">
        <x:v>2</x:v>
      </x:c>
      <x:c r="F48" s="2" t="n">
        <x:v>34</x:v>
      </x:c>
      <x:c r="G48" s="9"/>
      <x:c r="H48" s="9"/>
      <x:c r="I48" s="10" t="n">
        <x:v>0.6563856369845897</x:v>
      </x:c>
      <x:c r="J48" s="10" t="n">
        <x:v>0.6563856369845897</x:v>
      </x:c>
    </x:row>
    <x:row r="49" ht="24" customHeight="1">
      <x:c r="A49" s="2" t="str">
        <x:v>POST 严格排除发布当轮</x:v>
      </x:c>
      <x:c r="B49" s="2" t="str">
        <x:v>分类交互总体</x:v>
      </x:c>
      <x:c r="C49" s="2" t="str">
        <x:v>政府信誉</x:v>
      </x:c>
      <x:c r="D49" s="9" t="n">
        <x:v>2.1749315668340126</x:v>
      </x:c>
      <x:c r="E49" s="2" t="n">
        <x:v>4</x:v>
      </x:c>
      <x:c r="F49" s="2" t="n">
        <x:v>34</x:v>
      </x:c>
      <x:c r="G49" s="9"/>
      <x:c r="H49" s="9"/>
      <x:c r="I49" s="10" t="n">
        <x:v>0.09281146378931973</x:v>
      </x:c>
      <x:c r="J49" s="10" t="n">
        <x:v>0.2784343913679592</x:v>
      </x:c>
    </x:row>
    <x:row r="50" ht="24" customHeight="1">
      <x:c r="A50" s="2" t="str">
        <x:v>FB 严格排除发布当轮</x:v>
      </x:c>
      <x:c r="B50" s="2" t="str">
        <x:v>分类交互总体</x:v>
      </x:c>
      <x:c r="C50" s="2" t="str">
        <x:v>响应时机</x:v>
      </x:c>
      <x:c r="D50" s="9" t="n">
        <x:v>0.6911612305952062</x:v>
      </x:c>
      <x:c r="E50" s="2" t="n">
        <x:v>4</x:v>
      </x:c>
      <x:c r="F50" s="2" t="n">
        <x:v>34</x:v>
      </x:c>
      <x:c r="G50" s="9"/>
      <x:c r="H50" s="9"/>
      <x:c r="I50" s="10" t="n">
        <x:v>0.603184541890472</x:v>
      </x:c>
      <x:c r="J50" s="10" t="n">
        <x:v>1</x:v>
      </x:c>
    </x:row>
    <x:row r="51" ht="24" customHeight="1">
      <x:c r="A51" s="2" t="str">
        <x:v>FB 严格排除发布当轮</x:v>
      </x:c>
      <x:c r="B51" s="2" t="str">
        <x:v>分类交互总体</x:v>
      </x:c>
      <x:c r="C51" s="2" t="str">
        <x:v>定向能力</x:v>
      </x:c>
      <x:c r="D51" s="9" t="n">
        <x:v>0.17434020037651954</x:v>
      </x:c>
      <x:c r="E51" s="2" t="n">
        <x:v>2</x:v>
      </x:c>
      <x:c r="F51" s="2" t="n">
        <x:v>34</x:v>
      </x:c>
      <x:c r="G51" s="9"/>
      <x:c r="H51" s="9"/>
      <x:c r="I51" s="10" t="n">
        <x:v>0.8407572462818234</x:v>
      </x:c>
      <x:c r="J51" s="10" t="n">
        <x:v>1</x:v>
      </x:c>
    </x:row>
    <x:row r="52" ht="24" customHeight="1">
      <x:c r="A52" s="2" t="str">
        <x:v>FB 严格排除发布当轮</x:v>
      </x:c>
      <x:c r="B52" s="2" t="str">
        <x:v>分类交互总体</x:v>
      </x:c>
      <x:c r="C52" s="2" t="str">
        <x:v>政府信誉</x:v>
      </x:c>
      <x:c r="D52" s="9" t="n">
        <x:v>0.6359513341002094</x:v>
      </x:c>
      <x:c r="E52" s="2" t="n">
        <x:v>4</x:v>
      </x:c>
      <x:c r="F52" s="2" t="n">
        <x:v>34</x:v>
      </x:c>
      <x:c r="G52" s="9"/>
      <x:c r="H52" s="9"/>
      <x:c r="I52" s="10" t="n">
        <x:v>0.6403745005756634</x:v>
      </x:c>
      <x:c r="J52" s="10" t="n">
        <x:v>1</x:v>
      </x:c>
    </x:row>
    <x:row r="53" ht="24" customHeight="1">
      <x:c r="A53" s="2" t="str">
        <x:v>初始相信队列9轮受限历时</x:v>
      </x:c>
      <x:c r="B53" s="2" t="str">
        <x:v>分类交互总体</x:v>
      </x:c>
      <x:c r="C53" s="2" t="str">
        <x:v>响应时机</x:v>
      </x:c>
      <x:c r="D53" s="9" t="n">
        <x:v>0.4738376516647713</x:v>
      </x:c>
      <x:c r="E53" s="2" t="n">
        <x:v>4</x:v>
      </x:c>
      <x:c r="F53" s="2" t="n">
        <x:v>36</x:v>
      </x:c>
      <x:c r="G53" s="9"/>
      <x:c r="H53" s="9"/>
      <x:c r="I53" s="10" t="n">
        <x:v>0.7545971920963329</x:v>
      </x:c>
      <x:c r="J53" s="10" t="n">
        <x:v>0.8348478200910743</x:v>
      </x:c>
    </x:row>
    <x:row r="54" ht="24" customHeight="1">
      <x:c r="A54" s="2" t="str">
        <x:v>初始相信队列9轮受限历时</x:v>
      </x:c>
      <x:c r="B54" s="2" t="str">
        <x:v>分类交互总体</x:v>
      </x:c>
      <x:c r="C54" s="2" t="str">
        <x:v>定向能力</x:v>
      </x:c>
      <x:c r="D54" s="9" t="n">
        <x:v>0.895202159099818</x:v>
      </x:c>
      <x:c r="E54" s="2" t="n">
        <x:v>2</x:v>
      </x:c>
      <x:c r="F54" s="2" t="n">
        <x:v>36</x:v>
      </x:c>
      <x:c r="G54" s="9"/>
      <x:c r="H54" s="9"/>
      <x:c r="I54" s="10" t="n">
        <x:v>0.41742391004553714</x:v>
      </x:c>
      <x:c r="J54" s="10" t="n">
        <x:v>0.8348478200910743</x:v>
      </x:c>
    </x:row>
    <x:row r="55" ht="24" customHeight="1">
      <x:c r="A55" s="2" t="str">
        <x:v>初始相信队列9轮受限历时</x:v>
      </x:c>
      <x:c r="B55" s="2" t="str">
        <x:v>分类交互总体</x:v>
      </x:c>
      <x:c r="C55" s="2" t="str">
        <x:v>政府信誉</x:v>
      </x:c>
      <x:c r="D55" s="9" t="n">
        <x:v>1.6873637531899195</x:v>
      </x:c>
      <x:c r="E55" s="2" t="n">
        <x:v>4</x:v>
      </x:c>
      <x:c r="F55" s="2" t="n">
        <x:v>36</x:v>
      </x:c>
      <x:c r="G55" s="9"/>
      <x:c r="H55" s="9"/>
      <x:c r="I55" s="10" t="n">
        <x:v>0.17427774979462385</x:v>
      </x:c>
      <x:c r="J55" s="10" t="n">
        <x:v>0.5228332493838715</x:v>
      </x:c>
    </x:row>
    <x:row r="56" ht="24" customHeight="1">
      <x:c r="A56" s="2" t="str">
        <x:v>发布后共同3轮受限等待</x:v>
      </x:c>
      <x:c r="B56" s="2" t="str">
        <x:v>分类交互总体</x:v>
      </x:c>
      <x:c r="C56" s="2" t="str">
        <x:v>响应时机</x:v>
      </x:c>
      <x:c r="D56" s="9" t="n">
        <x:v>0.614444976137407</x:v>
      </x:c>
      <x:c r="E56" s="2" t="n">
        <x:v>4</x:v>
      </x:c>
      <x:c r="F56" s="2" t="n">
        <x:v>36</x:v>
      </x:c>
      <x:c r="G56" s="9"/>
      <x:c r="H56" s="9"/>
      <x:c r="I56" s="10" t="n">
        <x:v>0.6549966559705633</x:v>
      </x:c>
      <x:c r="J56" s="10" t="n">
        <x:v>1</x:v>
      </x:c>
    </x:row>
    <x:row r="57" ht="24" customHeight="1">
      <x:c r="A57" s="2" t="str">
        <x:v>发布后共同3轮受限等待</x:v>
      </x:c>
      <x:c r="B57" s="2" t="str">
        <x:v>分类交互总体</x:v>
      </x:c>
      <x:c r="C57" s="2" t="str">
        <x:v>定向能力</x:v>
      </x:c>
      <x:c r="D57" s="9" t="n">
        <x:v>0.22501356896746116</x:v>
      </x:c>
      <x:c r="E57" s="2" t="n">
        <x:v>2</x:v>
      </x:c>
      <x:c r="F57" s="2" t="n">
        <x:v>36</x:v>
      </x:c>
      <x:c r="G57" s="9"/>
      <x:c r="H57" s="9"/>
      <x:c r="I57" s="10" t="n">
        <x:v>0.7996199222322096</x:v>
      </x:c>
      <x:c r="J57" s="10" t="n">
        <x:v>1</x:v>
      </x:c>
    </x:row>
    <x:row r="58" ht="24" customHeight="1">
      <x:c r="A58" s="2" t="str">
        <x:v>发布后共同3轮受限等待</x:v>
      </x:c>
      <x:c r="B58" s="2" t="str">
        <x:v>分类交互总体</x:v>
      </x:c>
      <x:c r="C58" s="2" t="str">
        <x:v>政府信誉</x:v>
      </x:c>
      <x:c r="D58" s="9" t="n">
        <x:v>0.6684789960250513</x:v>
      </x:c>
      <x:c r="E58" s="2" t="n">
        <x:v>4</x:v>
      </x:c>
      <x:c r="F58" s="2" t="n">
        <x:v>36</x:v>
      </x:c>
      <x:c r="G58" s="9"/>
      <x:c r="H58" s="9"/>
      <x:c r="I58" s="10" t="n">
        <x:v>0.6180760748659442</x:v>
      </x:c>
      <x:c r="J58" s="10" t="n">
        <x:v>1</x:v>
      </x:c>
    </x:row>
    <x:row r="59" ht="24" customHeight="1">
      <x:c r="A59" s="2" t="str">
        <x:v>POST：政府发布→转为不相信</x:v>
      </x:c>
      <x:c r="B59" s="2" t="str">
        <x:v>加入 M2</x:v>
      </x:c>
      <x:c r="C59" s="2" t="str">
        <x:v>联合检验</x:v>
      </x:c>
      <x:c r="D59" s="9" t="n">
        <x:v>0.03345306426366465</x:v>
      </x:c>
      <x:c r="E59" s="2" t="n">
        <x:v>1</x:v>
      </x:c>
      <x:c r="F59" s="2" t="n">
        <x:v>49</x:v>
      </x:c>
      <x:c r="G59" s="9"/>
      <x:c r="H59" s="9"/>
      <x:c r="I59" s="10" t="n">
        <x:v>0.8556297632240494</x:v>
      </x:c>
      <x:c r="J59" s="10"/>
    </x:row>
    <x:row r="60" ht="24" customHeight="1">
      <x:c r="A60" s="2" t="str">
        <x:v>POST：政府发布→转为不相信</x:v>
      </x:c>
      <x:c r="B60" s="2" t="str">
        <x:v>加入 M3</x:v>
      </x:c>
      <x:c r="C60" s="2" t="str">
        <x:v>联合检验</x:v>
      </x:c>
      <x:c r="D60" s="9" t="n">
        <x:v>1.7649659591796085</x:v>
      </x:c>
      <x:c r="E60" s="2" t="n">
        <x:v>3</x:v>
      </x:c>
      <x:c r="F60" s="2" t="n">
        <x:v>46</x:v>
      </x:c>
      <x:c r="G60" s="9"/>
      <x:c r="H60" s="9"/>
      <x:c r="I60" s="10" t="n">
        <x:v>0.1670855486613879</x:v>
      </x:c>
      <x:c r="J60" s="10"/>
    </x:row>
    <x:row r="61" ht="24" customHeight="1">
      <x:c r="A61" s="2" t="str">
        <x:v>FB：首次相信→辟谣后转为不相信</x:v>
      </x:c>
      <x:c r="B61" s="2" t="str">
        <x:v>加入 M2</x:v>
      </x:c>
      <x:c r="C61" s="2" t="str">
        <x:v>联合检验</x:v>
      </x:c>
      <x:c r="D61" s="9" t="n">
        <x:v>3.719619160529489</x:v>
      </x:c>
      <x:c r="E61" s="2" t="n">
        <x:v>1</x:v>
      </x:c>
      <x:c r="F61" s="2" t="n">
        <x:v>49</x:v>
      </x:c>
      <x:c r="G61" s="9"/>
      <x:c r="H61" s="9"/>
      <x:c r="I61" s="10" t="n">
        <x:v>0.05958031045850549</x:v>
      </x:c>
      <x:c r="J61" s="10"/>
    </x:row>
    <x:row r="62" ht="24" customHeight="1">
      <x:c r="A62" s="2" t="str">
        <x:v>FB：首次相信→辟谣后转为不相信</x:v>
      </x:c>
      <x:c r="B62" s="2" t="str">
        <x:v>加入 M3</x:v>
      </x:c>
      <x:c r="C62" s="2" t="str">
        <x:v>联合检验</x:v>
      </x:c>
      <x:c r="D62" s="9" t="n">
        <x:v>1.100305394908651</x:v>
      </x:c>
      <x:c r="E62" s="2" t="n">
        <x:v>3</x:v>
      </x:c>
      <x:c r="F62" s="2" t="n">
        <x:v>46</x:v>
      </x:c>
      <x:c r="G62" s="9"/>
      <x:c r="H62" s="9"/>
      <x:c r="I62" s="10" t="n">
        <x:v>0.35864738248036926</x:v>
      </x:c>
      <x:c r="J62" s="10"/>
    </x:row>
    <x:row r="63" ht="24" customHeight="1">
      <x:c r="A63" s="2" t="str">
        <x:v>POST 严格排除发布当轮</x:v>
      </x:c>
      <x:c r="B63" s="2" t="str">
        <x:v>加入 M2</x:v>
      </x:c>
      <x:c r="C63" s="2" t="str">
        <x:v>联合检验</x:v>
      </x:c>
      <x:c r="D63" s="9" t="n">
        <x:v>3.1878257576254767</x:v>
      </x:c>
      <x:c r="E63" s="2" t="n">
        <x:v>1</x:v>
      </x:c>
      <x:c r="F63" s="2" t="n">
        <x:v>47</x:v>
      </x:c>
      <x:c r="G63" s="9"/>
      <x:c r="H63" s="9"/>
      <x:c r="I63" s="10" t="n">
        <x:v>0.08064211879760651</x:v>
      </x:c>
      <x:c r="J63" s="10"/>
    </x:row>
    <x:row r="64" ht="24" customHeight="1">
      <x:c r="A64" s="2" t="str">
        <x:v>POST 严格排除发布当轮</x:v>
      </x:c>
      <x:c r="B64" s="2" t="str">
        <x:v>加入 M3</x:v>
      </x:c>
      <x:c r="C64" s="2" t="str">
        <x:v>联合检验</x:v>
      </x:c>
      <x:c r="D64" s="9" t="n">
        <x:v>1.076946786833238</x:v>
      </x:c>
      <x:c r="E64" s="2" t="n">
        <x:v>3</x:v>
      </x:c>
      <x:c r="F64" s="2" t="n">
        <x:v>44</x:v>
      </x:c>
      <x:c r="G64" s="9"/>
      <x:c r="H64" s="9"/>
      <x:c r="I64" s="10" t="n">
        <x:v>0.3686881450658149</x:v>
      </x:c>
      <x:c r="J64" s="10"/>
    </x:row>
    <x:row r="65" ht="24" customHeight="1">
      <x:c r="A65" s="2" t="str">
        <x:v>FB 严格排除发布当轮</x:v>
      </x:c>
      <x:c r="B65" s="2" t="str">
        <x:v>加入 M2</x:v>
      </x:c>
      <x:c r="C65" s="2" t="str">
        <x:v>联合检验</x:v>
      </x:c>
      <x:c r="D65" s="9" t="n">
        <x:v>0.044405233201869634</x:v>
      </x:c>
      <x:c r="E65" s="2" t="n">
        <x:v>1</x:v>
      </x:c>
      <x:c r="F65" s="2" t="n">
        <x:v>47</x:v>
      </x:c>
      <x:c r="G65" s="9"/>
      <x:c r="H65" s="9"/>
      <x:c r="I65" s="10" t="n">
        <x:v>0.8340124465244975</x:v>
      </x:c>
      <x:c r="J65" s="10"/>
    </x:row>
    <x:row r="66" ht="24" customHeight="1">
      <x:c r="A66" s="2" t="str">
        <x:v>FB 严格排除发布当轮</x:v>
      </x:c>
      <x:c r="B66" s="2" t="str">
        <x:v>加入 M3</x:v>
      </x:c>
      <x:c r="C66" s="2" t="str">
        <x:v>联合检验</x:v>
      </x:c>
      <x:c r="D66" s="9" t="n">
        <x:v>0.4809553955204208</x:v>
      </x:c>
      <x:c r="E66" s="2" t="n">
        <x:v>3</x:v>
      </x:c>
      <x:c r="F66" s="2" t="n">
        <x:v>44</x:v>
      </x:c>
      <x:c r="G66" s="9"/>
      <x:c r="H66" s="9"/>
      <x:c r="I66" s="10" t="n">
        <x:v>0.6971993608048312</x:v>
      </x:c>
      <x:c r="J66" s="10"/>
    </x:row>
    <x:row r="67" ht="24" customHeight="1">
      <x:c r="A67" s="2" t="str">
        <x:v>初始相信队列9轮受限历时</x:v>
      </x:c>
      <x:c r="B67" s="2" t="str">
        <x:v>加入 M2</x:v>
      </x:c>
      <x:c r="C67" s="2" t="str">
        <x:v>联合检验</x:v>
      </x:c>
      <x:c r="D67" s="9" t="n">
        <x:v>0.03143637812469888</x:v>
      </x:c>
      <x:c r="E67" s="2" t="n">
        <x:v>1</x:v>
      </x:c>
      <x:c r="F67" s="2" t="n">
        <x:v>49</x:v>
      </x:c>
      <x:c r="G67" s="9"/>
      <x:c r="H67" s="9"/>
      <x:c r="I67" s="10" t="n">
        <x:v>0.8600012348962793</x:v>
      </x:c>
      <x:c r="J67" s="10"/>
    </x:row>
    <x:row r="68" ht="24" customHeight="1">
      <x:c r="A68" s="2" t="str">
        <x:v>初始相信队列9轮受限历时</x:v>
      </x:c>
      <x:c r="B68" s="2" t="str">
        <x:v>加入 M3</x:v>
      </x:c>
      <x:c r="C68" s="2" t="str">
        <x:v>联合检验</x:v>
      </x:c>
      <x:c r="D68" s="9" t="n">
        <x:v>1.5557054417426561</x:v>
      </x:c>
      <x:c r="E68" s="2" t="n">
        <x:v>3</x:v>
      </x:c>
      <x:c r="F68" s="2" t="n">
        <x:v>46</x:v>
      </x:c>
      <x:c r="G68" s="9"/>
      <x:c r="H68" s="9"/>
      <x:c r="I68" s="10" t="n">
        <x:v>0.2129388978002395</x:v>
      </x:c>
      <x:c r="J68" s="10"/>
    </x:row>
    <x:row r="69" ht="24" customHeight="1">
      <x:c r="A69" s="2" t="str">
        <x:v>发布后共同3轮受限等待</x:v>
      </x:c>
      <x:c r="B69" s="2" t="str">
        <x:v>加入 M2</x:v>
      </x:c>
      <x:c r="C69" s="2" t="str">
        <x:v>联合检验</x:v>
      </x:c>
      <x:c r="D69" s="9" t="n">
        <x:v>0.1031766003290438</x:v>
      </x:c>
      <x:c r="E69" s="2" t="n">
        <x:v>1</x:v>
      </x:c>
      <x:c r="F69" s="2" t="n">
        <x:v>49</x:v>
      </x:c>
      <x:c r="G69" s="9"/>
      <x:c r="H69" s="9"/>
      <x:c r="I69" s="10" t="n">
        <x:v>0.7494164993542037</x:v>
      </x:c>
      <x:c r="J69" s="10"/>
    </x:row>
    <x:row r="70" ht="24" customHeight="1">
      <x:c r="A70" s="2" t="str">
        <x:v>发布后共同3轮受限等待</x:v>
      </x:c>
      <x:c r="B70" s="2" t="str">
        <x:v>加入 M3</x:v>
      </x:c>
      <x:c r="C70" s="2" t="str">
        <x:v>联合检验</x:v>
      </x:c>
      <x:c r="D70" s="9" t="n">
        <x:v>1.0230094546539859</x:v>
      </x:c>
      <x:c r="E70" s="2" t="n">
        <x:v>3</x:v>
      </x:c>
      <x:c r="F70" s="2" t="n">
        <x:v>46</x:v>
      </x:c>
      <x:c r="G70" s="9"/>
      <x:c r="H70" s="9"/>
      <x:c r="I70" s="10" t="n">
        <x:v>0.3911911730145594</x:v>
      </x:c>
      <x:c r="J70" s="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92" hidden="0" customWidth="1"/>
    <x:col min="3" max="3" width="90" hidden="0" customWidth="1"/>
  </x:cols>
  <x:sheetData>
    <x:row r="1" ht="24" customHeight="1">
      <x:c r="A1" s="2"/>
      <x:c r="B1" s="2"/>
      <x:c r="C1" s="2"/>
    </x:row>
    <x:row r="2" ht="31" customHeight="1">
      <x:c r="A2" s="3" t="str">
        <x:v>TBU定义 数据处理与来源</x:v>
      </x:c>
      <x:c r="B2" s="2"/>
      <x:c r="C2" s="2"/>
    </x:row>
    <x:row r="3" ht="24" customHeight="1">
      <x:c r="A3" s="4" t="str">
        <x:v>两种定义并列保留；未重新运行模拟，也未改动原始记录。</x:v>
      </x:c>
      <x:c r="B3" s="2"/>
      <x:c r="C3" s="2"/>
    </x:row>
    <x:row r="4" ht="24" customHeight="1">
      <x:c r="A4" s="2"/>
      <x:c r="B4" s="2"/>
      <x:c r="C4" s="2"/>
    </x:row>
    <x:row r="5" ht="24" customHeight="1">
      <x:c r="A5" s="2"/>
      <x:c r="B5" s="2"/>
      <x:c r="C5" s="2"/>
    </x:row>
    <x:row r="6" ht="38" customHeight="1">
      <x:c r="A6" s="8" t="str">
        <x:v>项目</x:v>
      </x:c>
      <x:c r="B6" s="8" t="str">
        <x:v>定义或来源</x:v>
      </x:c>
      <x:c r="C6" s="8" t="str">
        <x:v>解释</x:v>
      </x:c>
    </x:row>
    <x:row r="7" ht="50" customHeight="1">
      <x:c r="A7" s="24" t="str">
        <x:v>POST TBU</x:v>
      </x:c>
      <x:c r="B7" s="24" t="str">
        <x:v>r−RT，r≥RT</x:v>
      </x:c>
      <x:c r="C7" s="24" t="str">
        <x:v>政府发布到合格转变，发布当轮为0轮等待。</x:v>
      </x:c>
    </x:row>
    <x:row r="8" ht="50" customHeight="1">
      <x:c r="A8" s="24" t="str">
        <x:v>FB TBU</x:v>
      </x:c>
      <x:c r="B8" s="24" t="str">
        <x:v>r−b，同一批r≥RT记录</x:v>
      </x:c>
      <x:c r="C8" s="24" t="str">
        <x:v>首次相信到辟谣后首次转不信；含发布前已相信时间。</x:v>
      </x:c>
    </x:row>
    <x:row r="9" ht="50" customHeight="1">
      <x:c r="A9" s="24" t="str">
        <x:v>计数单位</x:v>
      </x:c>
      <x:c r="B9" s="24" t="str">
        <x:v>54个情景均值</x:v>
      </x:c>
      <x:c r="C9" s="24" t="str">
        <x:v>用户—情景人次不是独立实验重复。</x:v>
      </x:c>
    </x:row>
    <x:row r="10" ht="50" customHeight="1">
      <x:c r="A10" s="24" t="str">
        <x:v>主样本</x:v>
      </x:c>
      <x:c r="B10" s="24" t="str">
        <x:v>757次合格更新、54个情景</x:v>
      </x:c>
      <x:c r="C10" s="24" t="str">
        <x:v>282次同轮更新纳入；475次严格晚于发布单独对照。</x:v>
      </x:c>
    </x:row>
    <x:row r="11" ht="50" customHeight="1">
      <x:c r="A11" s="24" t="str">
        <x:v>右删失</x:v>
      </x:c>
      <x:c r="B11" s="24" t="str">
        <x:v>222份未完成首次更新</x:v>
      </x:c>
      <x:c r="C11" s="24" t="str">
        <x:v>主已转变者均值不包含它们；不填0、不插值。</x:v>
      </x:c>
    </x:row>
    <x:row r="12" ht="50" customHeight="1">
      <x:c r="A12" s="24" t="str">
        <x:v>先于发布已更新</x:v>
      </x:c>
      <x:c r="B12" s="24" t="str">
        <x:v>1份</x:v>
      </x:c>
      <x:c r="C12" s="24" t="str">
        <x:v>不纳入两套匹配的主TBU。</x:v>
      </x:c>
    </x:row>
    <x:row r="13" ht="50" customHeight="1">
      <x:c r="A13" s="24" t="str">
        <x:v>分类水平模型</x:v>
      </x:c>
      <x:c r="B13" s="24" t="str">
        <x:v>RT、TC、GC、DGC均按分类</x:v>
      </x:c>
      <x:c r="C13" s="24" t="str">
        <x:v>HC3 F，总体两套联合Holm8；均值为等设计边际预测。</x:v>
      </x:c>
    </x:row>
    <x:row r="14" ht="50" customHeight="1">
      <x:c r="A14" s="24" t="str">
        <x:v>两两比较</x:v>
      </x:c>
      <x:c r="B14" s="24" t="str">
        <x:v>全部20项保留</x:v>
      </x:c>
      <x:c r="C14" s="24" t="str">
        <x:v>同时提供各自内部Holm10、两套联合Holm20。</x:v>
      </x:c>
    </x:row>
    <x:row r="15" ht="50" customHeight="1">
      <x:c r="A15" s="24" t="str">
        <x:v>连续M1–M3</x:v>
      </x:c>
      <x:c r="B15" s="24" t="str">
        <x:v>{'M1': 'RT_c+TC_c+GC_c', 'M2': 'RT_c+TC_c+GC_c+DGC_c', 'M3': 'RT_c+TC_c+GC_c+DGC_c+DGC_c:(RT_c+TC_c+GC_c)'}</x:v>
      </x:c>
      <x:c r="C15" s="24" t="str">
        <x:v>中心化只改变解释起点，不标准化原单位。</x:v>
      </x:c>
    </x:row>
    <x:row r="16" ht="50" customHeight="1">
      <x:c r="A16" s="24" t="str">
        <x:v>连续交互</x:v>
      </x:c>
      <x:c r="B16" s="24" t="str">
        <x:v>两套共6项</x:v>
      </x:c>
      <x:c r="C16" s="24" t="str">
        <x:v>联合Holm6；95%CI逐项，不是同时置信区间。</x:v>
      </x:c>
    </x:row>
    <x:row r="17" ht="50" customHeight="1">
      <x:c r="A17" s="24" t="str">
        <x:v>补充RBD9</x:v>
      </x:c>
      <x:c r="B17" s="24" t="str">
        <x:v>第1轮相信的911份记录，47个圈内ID</x:v>
      </x:c>
      <x:c r="C17" s="24" t="str">
        <x:v>限制平均首次片段历时，包含尚未转变者，不把9当作真实TBU。</x:v>
      </x:c>
    </x:row>
    <x:row r="18" ht="50" customHeight="1">
      <x:c r="A18" s="24" t="str">
        <x:v>补充PRUD3</x:v>
      </x:c>
      <x:c r="B18" s="24" t="str">
        <x:v>发布前一轮相信者；共同3轮</x:v>
      </x:c>
      <x:c r="C18" s="24" t="str">
        <x:v>发布后3轮之外不继续增加受限等待，队列不同。</x:v>
      </x:c>
    </x:row>
    <x:row r="19" ht="50" customHeight="1">
      <x:c r="A19" s="24" t="str">
        <x:v>来源</x:v>
      </x:c>
      <x:c r="B19" s="24" t="str">
        <x:v>D:/Codex/runs/V7_Optimized_20261027_145124/_batch54/20261027-145124</x:v>
      </x:c>
      <x:c r="C19" s="24" t="str">
        <x:v>54份trajectory/belief_measurements.csv逐一核对SHA256；源结果未改动。</x:v>
      </x:c>
    </x:row>
    <x:row r="20" ht="50" customHeight="1">
      <x:c r="A20" s="24" t="str">
        <x:v>方法参考</x:v>
      </x:c>
      <x:c r="B20" s="24" t="str">
        <x:v>Royston &amp; Parmar (2013), doi:10.1186/1471-2288-13-152</x:v>
      </x:c>
      <x:c r="C20" s="24" t="str">
        <x:v>受限平均历时的解释。</x:v>
      </x:c>
    </x:row>
    <x:row r="21" ht="50" customHeight="1">
      <x:c r="A21" s="24" t="str">
        <x:v>计算更新</x:v>
      </x:c>
      <x:c r="B21" s="24" t="str">
        <x:v>明细公式可更新计数与均值</x:v>
      </x:c>
      <x:c r="C21" s="24" t="str">
        <x:v>统计输出为本次拟合；修改数据后须重新拟合回归。</x:v>
      </x:c>
    </x:row>
    <x:row r="22" ht="50" customHeight="1">
      <x:c r="A22" s="24" t="str">
        <x:v>研究解释</x:v>
      </x:c>
      <x:c r="B22" s="24" t="str">
        <x:v>一次随机实现/每参数格</x:v>
      </x:c>
      <x:c r="C22" s="24" t="str">
        <x:v>无独立重复、无人类校准、无不辟谣对照；不能据p最小选择结局。</x:v>
      </x:c>
    </x:row>
  </x:sheetData>
  <x:pageMargins left="0.7" right="0.7" top="0.75" bottom="0.75" header="0.3" footer="0.3"/>
</x:worksheet>
</file>